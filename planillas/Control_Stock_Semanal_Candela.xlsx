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vo" sheetId="1" state="visible" r:id="rId1"/>
    <sheet name="Config" sheetId="2" state="visible" r:id="rId2"/>
    <sheet name="Insumos" sheetId="3" state="visible" r:id="rId3"/>
    <sheet name="Productos" sheetId="4" state="visible" r:id="rId4"/>
    <sheet name="1 Inv Inicial" sheetId="5" state="visible" r:id="rId5"/>
    <sheet name="2 Ingresos" sheetId="6" state="visible" r:id="rId6"/>
    <sheet name="3 Conteo Diario" sheetId="7" state="visible" r:id="rId7"/>
    <sheet name="4 Prod Panaderia" sheetId="8" state="visible" r:id="rId8"/>
    <sheet name="4 Prod Pasteleria" sheetId="9" state="visible" r:id="rId9"/>
    <sheet name="4 Prod Especialidades" sheetId="10" state="visible" r:id="rId10"/>
    <sheet name="4 Prod Factureria" sheetId="11" state="visible" r:id="rId11"/>
    <sheet name="4 Prod Sandwiches" sheetId="12" state="visible" r:id="rId12"/>
    <sheet name="4 Prod Cocina SL" sheetId="13" state="visible" r:id="rId13"/>
    <sheet name="5 Descartes" sheetId="14" state="visible" r:id="rId14"/>
    <sheet name="6 Inv Final" sheetId="15" state="visible" r:id="rId15"/>
    <sheet name="7 Facturas" sheetId="16" state="visible" r:id="rId16"/>
    <sheet name="8 Fudo Ventas" sheetId="17" state="visible" r:id="rId17"/>
    <sheet name="8 Fudo Stock" sheetId="18" state="visible" r:id="rId18"/>
    <sheet name="8 Fudo Consumos" sheetId="19" state="visible" r:id="rId19"/>
    <sheet name="A Consumo Insumos" sheetId="20" state="visible" r:id="rId20"/>
    <sheet name="B Concil Productos" sheetId="21" state="visible" r:id="rId21"/>
    <sheet name="C Consumo Diario" sheetId="22" state="visible" r:id="rId22"/>
    <sheet name="Tablero" sheetId="23" state="visible" r:id="rId23"/>
    <sheet name="Listas" sheetId="24" state="hidden" r:id="rId24"/>
  </sheets>
  <definedNames>
    <definedName name="_xlnm.Print_Titles" localSheetId="0">'Instructivo'!$1:$3</definedName>
    <definedName name="_xlnm.Print_Area" localSheetId="0">'Instructivo'!$A$1:$G$43</definedName>
    <definedName name="_xlnm.Print_Titles" localSheetId="1">'Config'!$1:$3</definedName>
    <definedName name="_xlnm.Print_Area" localSheetId="1">'Config'!$A$1:$D$48</definedName>
    <definedName name="_xlnm._FilterDatabase" localSheetId="2" hidden="1">'Insumos'!$A$4:$H$163</definedName>
    <definedName name="_xlnm.Print_Titles" localSheetId="2">'Insumos'!$1:$4</definedName>
    <definedName name="_xlnm.Print_Area" localSheetId="2">'Insumos'!$A$1:$H$163</definedName>
    <definedName name="_xlnm._FilterDatabase" localSheetId="3" hidden="1">'Productos'!$A$4:$D$145</definedName>
    <definedName name="_xlnm.Print_Titles" localSheetId="3">'Productos'!$1:$4</definedName>
    <definedName name="_xlnm.Print_Area" localSheetId="3">'Productos'!$A$1:$D$145</definedName>
    <definedName name="_xlnm._FilterDatabase" localSheetId="4" hidden="1">'1 Inv Inicial'!$A$4:$I$163</definedName>
    <definedName name="_xlnm.Print_Titles" localSheetId="4">'1 Inv Inicial'!$1:$4</definedName>
    <definedName name="_xlnm.Print_Area" localSheetId="4">'1 Inv Inicial'!$A$1:$I$163</definedName>
    <definedName name="_xlnm._FilterDatabase" localSheetId="5" hidden="1">'2 Ingresos'!$A$4:$K$255</definedName>
    <definedName name="_xlnm.Print_Titles" localSheetId="5">'2 Ingresos'!$1:$4</definedName>
    <definedName name="_xlnm.Print_Area" localSheetId="5">'2 Ingresos'!$A$1:$K$255</definedName>
    <definedName name="_xlnm._FilterDatabase" localSheetId="6" hidden="1">'3 Conteo Diario'!$A$5:$R$67</definedName>
    <definedName name="_xlnm.Print_Titles" localSheetId="6">'3 Conteo Diario'!$1:$5</definedName>
    <definedName name="_xlnm.Print_Area" localSheetId="6">'3 Conteo Diario'!$A$1:$R$67</definedName>
    <definedName name="_xlnm.Print_Titles" localSheetId="7">'4 Prod Panaderia'!$1:$5</definedName>
    <definedName name="_xlnm.Print_Area" localSheetId="7">'4 Prod Panaderia'!$A$1:$S$56</definedName>
    <definedName name="_xlnm.Print_Titles" localSheetId="8">'4 Prod Pasteleria'!$1:$5</definedName>
    <definedName name="_xlnm.Print_Area" localSheetId="8">'4 Prod Pasteleria'!$A$1:$S$52</definedName>
    <definedName name="_xlnm.Print_Titles" localSheetId="9">'4 Prod Especialidades'!$1:$5</definedName>
    <definedName name="_xlnm.Print_Area" localSheetId="9">'4 Prod Especialidades'!$A$1:$S$50</definedName>
    <definedName name="_xlnm.Print_Titles" localSheetId="10">'4 Prod Factureria'!$1:$5</definedName>
    <definedName name="_xlnm.Print_Area" localSheetId="10">'4 Prod Factureria'!$A$1:$S$30</definedName>
    <definedName name="_xlnm.Print_Titles" localSheetId="11">'4 Prod Sandwiches'!$1:$5</definedName>
    <definedName name="_xlnm.Print_Area" localSheetId="11">'4 Prod Sandwiches'!$A$1:$S$23</definedName>
    <definedName name="_xlnm.Print_Titles" localSheetId="12">'4 Prod Cocina SL'!$1:$5</definedName>
    <definedName name="_xlnm.Print_Area" localSheetId="12">'4 Prod Cocina SL'!$A$1:$S$46</definedName>
    <definedName name="_xlnm._FilterDatabase" localSheetId="13" hidden="1">'5 Descartes'!$A$4:$H$205</definedName>
    <definedName name="_xlnm.Print_Titles" localSheetId="13">'5 Descartes'!$1:$4</definedName>
    <definedName name="_xlnm.Print_Area" localSheetId="13">'5 Descartes'!$A$1:$H$205</definedName>
    <definedName name="_xlnm._FilterDatabase" localSheetId="14" hidden="1">'6 Inv Final'!$A$4:$I$163</definedName>
    <definedName name="_xlnm.Print_Titles" localSheetId="14">'6 Inv Final'!$1:$4</definedName>
    <definedName name="_xlnm.Print_Area" localSheetId="14">'6 Inv Final'!$A$1:$I$163</definedName>
    <definedName name="_xlnm._FilterDatabase" localSheetId="15" hidden="1">'7 Facturas'!$A$4:$J$255</definedName>
    <definedName name="_xlnm.Print_Titles" localSheetId="15">'7 Facturas'!$1:$4</definedName>
    <definedName name="_xlnm.Print_Area" localSheetId="15">'7 Facturas'!$A$1:$J$255</definedName>
    <definedName name="_xlnm._FilterDatabase" localSheetId="16" hidden="1">'8 Fudo Ventas'!$A$4:$E$305</definedName>
    <definedName name="_xlnm.Print_Titles" localSheetId="16">'8 Fudo Ventas'!$1:$4</definedName>
    <definedName name="_xlnm.Print_Area" localSheetId="16">'8 Fudo Ventas'!$A$1:$E$305</definedName>
    <definedName name="_xlnm._FilterDatabase" localSheetId="17" hidden="1">'8 Fudo Stock'!$A$4:$H$205</definedName>
    <definedName name="_xlnm.Print_Titles" localSheetId="17">'8 Fudo Stock'!$1:$4</definedName>
    <definedName name="_xlnm.Print_Area" localSheetId="17">'8 Fudo Stock'!$A$1:$H$205</definedName>
    <definedName name="_xlnm._FilterDatabase" localSheetId="18" hidden="1">'8 Fudo Consumos'!$A$4:$H$255</definedName>
    <definedName name="_xlnm.Print_Titles" localSheetId="18">'8 Fudo Consumos'!$1:$4</definedName>
    <definedName name="_xlnm.Print_Area" localSheetId="18">'8 Fudo Consumos'!$A$1:$H$255</definedName>
    <definedName name="_xlnm._FilterDatabase" localSheetId="19" hidden="1">'A Consumo Insumos'!$A$4:$P$163</definedName>
    <definedName name="_xlnm.Print_Titles" localSheetId="19">'A Consumo Insumos'!$1:$4</definedName>
    <definedName name="_xlnm.Print_Area" localSheetId="19">'A Consumo Insumos'!$A$1:$P$164</definedName>
    <definedName name="_xlnm._FilterDatabase" localSheetId="20" hidden="1">'B Concil Productos'!$A$4:$L$226</definedName>
    <definedName name="_xlnm.Print_Titles" localSheetId="20">'B Concil Productos'!$1:$4</definedName>
    <definedName name="_xlnm.Print_Area" localSheetId="20">'B Concil Productos'!$A$1:$L$227</definedName>
    <definedName name="_xlnm._FilterDatabase" localSheetId="21" hidden="1">'C Consumo Diario'!$A$4:$N$66</definedName>
    <definedName name="_xlnm.Print_Titles" localSheetId="21">'C Consumo Diario'!$1:$4</definedName>
    <definedName name="_xlnm.Print_Area" localSheetId="21">'C Consumo Diario'!$A$1:$N$66</definedName>
    <definedName name="_xlnm.Print_Titles" localSheetId="22">'Tablero'!$1:$3</definedName>
    <definedName name="_xlnm.Print_Area" localSheetId="22">'Tablero'!$A$1:$G$80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0.0%;[Red]-0.0%;-"/>
    <numFmt numFmtId="166" formatCode="#,##0.00;[Red]-#,##0.00;-"/>
    <numFmt numFmtId="167" formatCode="$#,##0.00;[Red]-$#,##0.00;-"/>
    <numFmt numFmtId="168" formatCode="#,##0;[Red]-#,##0;-"/>
  </numFmts>
  <fonts count="22">
    <font>
      <name val="Calibri"/>
      <family val="2"/>
      <color theme="1"/>
      <sz val="11"/>
      <scheme val="minor"/>
    </font>
    <font>
      <name val="Arial"/>
      <b val="1"/>
      <color rgb="002C1A0E"/>
      <sz val="10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4E2A1E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7A5C4A"/>
      <sz val="9"/>
    </font>
    <font>
      <name val="Arial"/>
      <color rgb="002C1A0E"/>
      <sz val="10"/>
    </font>
    <font>
      <name val="Arial"/>
      <b val="1"/>
      <color rgb="00FFFFFF"/>
      <sz val="9"/>
    </font>
    <font>
      <name val="Arial"/>
      <color rgb="00008000"/>
      <sz val="10"/>
    </font>
    <font>
      <name val="Arial"/>
      <color rgb="002C1A0E"/>
      <sz val="9"/>
    </font>
    <font>
      <name val="Arial"/>
      <color rgb="007A5C4A"/>
      <sz val="8"/>
    </font>
    <font>
      <name val="Arial"/>
      <color rgb="00008000"/>
      <sz val="9"/>
    </font>
    <font>
      <name val="Arial"/>
      <b val="1"/>
      <color rgb="00008000"/>
      <sz val="10"/>
    </font>
    <font>
      <name val="Arial"/>
      <b val="1"/>
      <color rgb="001565C0"/>
      <sz val="9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color rgb="007A5C4A"/>
      <sz val="10"/>
    </font>
    <font>
      <name val="Arial"/>
      <b val="1"/>
      <color rgb="002C1A0E"/>
      <sz val="11"/>
    </font>
    <font>
      <name val="Arial"/>
      <color rgb="007A5C4A"/>
      <sz val="9"/>
    </font>
    <font>
      <name val="Arial"/>
      <b val="1"/>
      <color rgb="00C0392B"/>
      <sz val="10"/>
    </font>
  </fonts>
  <fills count="11">
    <fill>
      <patternFill/>
    </fill>
    <fill>
      <patternFill patternType="gray125"/>
    </fill>
    <fill>
      <patternFill patternType="solid">
        <fgColor rgb="004E2A1E"/>
      </patternFill>
    </fill>
    <fill>
      <patternFill patternType="solid">
        <fgColor rgb="006B3A2A"/>
      </patternFill>
    </fill>
    <fill>
      <patternFill patternType="solid">
        <fgColor rgb="00F0C97A"/>
      </patternFill>
    </fill>
    <fill>
      <patternFill patternType="solid">
        <fgColor rgb="00FFF3CD"/>
      </patternFill>
    </fill>
    <fill>
      <patternFill patternType="solid">
        <fgColor rgb="00FFF8F0"/>
      </patternFill>
    </fill>
    <fill>
      <patternFill patternType="solid">
        <fgColor rgb="00FDECEA"/>
      </patternFill>
    </fill>
    <fill>
      <patternFill patternType="solid">
        <fgColor rgb="00EAF7ED"/>
      </patternFill>
    </fill>
    <fill>
      <patternFill patternType="solid">
        <fgColor rgb="00E8D5C0"/>
      </patternFill>
    </fill>
    <fill>
      <patternFill patternType="solid">
        <fgColor rgb="00E3F0FF"/>
      </patternFill>
    </fill>
  </fills>
  <borders count="6">
    <border>
      <left/>
      <right/>
      <top/>
      <bottom/>
      <diagonal/>
    </border>
    <border>
      <left style="thin">
        <color rgb="00E8D5C0"/>
      </left>
      <right style="thin">
        <color rgb="00E8D5C0"/>
      </right>
      <top style="thin">
        <color rgb="00E8D5C0"/>
      </top>
      <bottom style="thin">
        <color rgb="00E8D5C0"/>
      </bottom>
    </border>
    <border>
      <left/>
      <right/>
      <top style="thin">
        <color rgb="00E8D5C0"/>
      </top>
      <bottom/>
      <diagonal/>
    </border>
    <border>
      <left/>
      <right style="thin">
        <color rgb="00E8D5C0"/>
      </right>
      <top style="thin">
        <color rgb="00E8D5C0"/>
      </top>
      <bottom/>
      <diagonal/>
    </border>
    <border>
      <left/>
      <right style="thin">
        <color rgb="00E8D5C0"/>
      </right>
      <top style="thin">
        <color rgb="00E8D5C0"/>
      </top>
      <bottom style="thin">
        <color rgb="00E8D5C0"/>
      </bottom>
      <diagonal/>
    </border>
    <border>
      <left/>
      <right/>
      <top style="thin">
        <color rgb="00E8D5C0"/>
      </top>
      <bottom style="thin">
        <color rgb="00E8D5C0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 inden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11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center"/>
    </xf>
    <xf numFmtId="0" fontId="21" fillId="7" borderId="0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vertical="center"/>
    </xf>
    <xf numFmtId="164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4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0" fillId="0" borderId="5" pivotButton="0" quotePrefix="0" xfId="0"/>
    <xf numFmtId="0" fontId="10" fillId="0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6" fontId="1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6" fillId="3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8" fontId="1" fillId="9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/>
    </xf>
    <xf numFmtId="168" fontId="17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7" fontId="1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center" vertical="center"/>
    </xf>
    <xf numFmtId="168" fontId="7" fillId="1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6" fontId="1" fillId="4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166" fontId="12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7" fillId="3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8" fontId="1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/>
    </xf>
    <xf numFmtId="168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8" fontId="1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167" fontId="19" fillId="4" borderId="1" applyAlignment="1" pivotButton="0" quotePrefix="0" xfId="0">
      <alignment horizontal="center" vertical="center"/>
    </xf>
    <xf numFmtId="168" fontId="19" fillId="4" borderId="1" applyAlignment="1" pivotButton="0" quotePrefix="0" xfId="0">
      <alignment horizontal="center" vertical="center"/>
    </xf>
    <xf numFmtId="165" fontId="19" fillId="4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CEA"/>
        </patternFill>
      </fill>
    </dxf>
    <dxf>
      <fill>
        <patternFill patternType="solid">
          <fgColor rgb="00EAF7ED"/>
        </patternFill>
      </fill>
    </dxf>
    <dxf>
      <font>
        <name val="Arial"/>
        <b val="1"/>
        <color rgb="00C0392B"/>
        <sz val="9"/>
      </font>
      <fill>
        <patternFill patternType="solid">
          <fgColor rgb="00FDECEA"/>
        </patternFill>
      </fill>
    </dxf>
    <dxf>
      <font>
        <name val="Arial"/>
        <b val="1"/>
        <color rgb="00C0392B"/>
        <sz val="10"/>
      </font>
      <fill>
        <patternFill patternType="solid">
          <fgColor rgb="00FDECEA"/>
        </patternFill>
      </fill>
    </dxf>
    <dxf>
      <font>
        <name val="Arial"/>
        <color rgb="002E7D45"/>
        <sz val="9"/>
      </font>
      <fill>
        <patternFill patternType="solid">
          <fgColor rgb="00EA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3" customWidth="1" min="8" max="8"/>
  </cols>
  <sheetData>
    <row r="1" ht="30" customHeight="1">
      <c r="A1" s="1" t="inlineStr">
        <is>
          <t>CONTROL DE STOCK SEMANAL — COMO USAR ESTE LIBRO</t>
        </is>
      </c>
    </row>
    <row r="2" ht="18" customHeight="1">
      <c r="A2" s="2" t="inlineStr">
        <is>
          <t>Candela Cafe &amp; Patisserie  ·  Prueba de 1 semana  ·  6 areas de produccion, 159 insumos, 141 productos</t>
        </is>
      </c>
    </row>
    <row r="3" ht="18" customHeight="1">
      <c r="A3" s="3" t="inlineStr">
        <is>
          <t>Leer esta hoja antes de imprimir nada. Toma 5 minutos y evita una semana perdida.</t>
        </is>
      </c>
    </row>
    <row r="5" ht="22" customHeight="1">
      <c r="B5" s="4" t="inlineStr">
        <is>
          <t>QUE RESPONDE ESTE LIBRO</t>
        </is>
      </c>
    </row>
    <row r="6" ht="39" customHeight="1">
      <c r="B6" s="5" t="inlineStr">
        <is>
          <t>Cuanto insumo hay, cuanto se consumio de verdad en la semana, y si ese consumo se explica con lo que se elaboro. Lo que no se explica queda a la vista, separado en cuatro causas posibles: mal uso del insumo (rinde menos de lo que deberia), consumo del personal sin registrar, insumo que desaparece, y producto que se quema o se tira.</t>
        </is>
      </c>
    </row>
    <row r="7" ht="22" customHeight="1">
      <c r="B7" s="4" t="inlineStr">
        <is>
          <t>ANTES DE ARRANCAR  (el domingo previo, 1 hora)</t>
        </is>
      </c>
    </row>
    <row r="8" ht="26" customHeight="1">
      <c r="B8" s="5" t="inlineStr">
        <is>
          <t>•  1. Hoja CONFIG: poner la fecha del lunes de arranque y el nombre del jefe de cada area. Todas las fechas del libro se completan solas.</t>
        </is>
      </c>
    </row>
    <row r="9" ht="39" customHeight="1">
      <c r="B9" s="5" t="inlineStr">
        <is>
          <t>•  2. Hoja INSUMOS: revisar UNIDAD BASE y CONTENIDO POR BULTO de los 159 insumos. Los puse inferidos del nombre (ej. "Harina 000 x25kg" -&gt; 25 kg por bulto) pero hay que confirmarlos contra el envase real. Si esto esta mal, todo el analisis sale mal.</t>
        </is>
      </c>
    </row>
    <row r="10" ht="26" customHeight="1">
      <c r="B10" s="5" t="inlineStr">
        <is>
          <t>•  3. Hoja INSUMOS, columna CRITICO: vienen 62 marcados como SI (los caros y los de mayor riesgo). Esos son los unicos que se cuentan todos los dias. Sumar o quitar los que hagan falta.</t>
        </is>
      </c>
    </row>
    <row r="11" ht="26" customHeight="1">
      <c r="B11" s="5" t="inlineStr">
        <is>
          <t>•  4. Imprimir: la planilla 1 (una por area, usando el filtro de AREA), la planilla 2, la planilla 3 (una por area) y la planilla 4 de cada area.</t>
        </is>
      </c>
    </row>
    <row r="12" ht="22" customHeight="1">
      <c r="B12" s="4" t="inlineStr">
        <is>
          <t>DURANTE LA SEMANA</t>
        </is>
      </c>
    </row>
    <row r="13" ht="26" customHeight="1">
      <c r="B13" s="5" t="inlineStr">
        <is>
          <t>•  LUNES TEMPRANO, antes de producir — PLANILLA 1 (Inventario inicial): cada jefe de area cuenta TODOS sus insumos. Bultos cerrados + lo que hay suelto del envase abierto. La planilla calcula el total.</t>
        </is>
      </c>
    </row>
    <row r="14" ht="26" customHeight="1">
      <c r="B14" s="5" t="inlineStr">
        <is>
          <t>•  TODOS LOS DIAS, cuando entra mercaderia — PLANILLA 2 (Ingresos): quien recibe anota area, insumo, cantidad y numero de remito. En el momento, no despues. Un ingreso no anotado aparece al final como un faltante que no existe.</t>
        </is>
      </c>
    </row>
    <row r="15" ht="26" customHeight="1">
      <c r="B15" s="5" t="inlineStr">
        <is>
          <t>•  TODOS LOS DIAS, al cierre de la jornada — PLANILLA 3 (Conteo diario): cada jefe cuenta solo sus insumos criticos (unos 10). Son 5 minutos.</t>
        </is>
      </c>
    </row>
    <row r="16" ht="26" customHeight="1">
      <c r="B16" s="5" t="inlineStr">
        <is>
          <t>•  TODOS LOS DIAS, mientras se produce — PLANILLA 4 (Produccion diaria): el jefe de area anota lo ELABORADO y lo DESCARTADO de cada producto. Una planilla por area, ya con los productos del catalogo impresos.</t>
        </is>
      </c>
    </row>
    <row r="17" ht="26" customHeight="1">
      <c r="B17" s="5" t="inlineStr">
        <is>
          <t>•  TODOS LOS DIAS, cada vez que se tira algo — PLANILLA 5 (Descartes): una linea por descarte, con el MOTIVO. Esta es la planilla que despues justifica los faltantes: lo que no se anota aca se lee como perdida sin explicacion.</t>
        </is>
      </c>
    </row>
    <row r="18" ht="26" customHeight="1">
      <c r="B18" s="5" t="inlineStr">
        <is>
          <t>•  DOMINGO AL CIERRE — PLANILLA 6 (Inventario final): mismo conteo que el lunes, mismo criterio, y si se puede la misma persona.</t>
        </is>
      </c>
    </row>
    <row r="19" ht="22" customHeight="1">
      <c r="B19" s="4" t="inlineStr">
        <is>
          <t>DESPUES DE LA SEMANA  (carga de escritorio, 2 a 3 horas)</t>
        </is>
      </c>
    </row>
    <row r="20" ht="26" customHeight="1">
      <c r="B20" s="5" t="inlineStr">
        <is>
          <t>•  HOJA 7 (Facturas): cargar las facturas de compra de la semana. La cantidad va en la unidad base (kg, u, L), no en bultos. El importe permite valorizar todo en pesos y llena el costo unitario.</t>
        </is>
      </c>
    </row>
    <row r="21" ht="15" customHeight="1">
      <c r="B21" s="5" t="inlineStr">
        <is>
          <t>•  HOJA 8a (Fudo Ventas): pegar el export de ventas por producto y mapear cada linea al producto y area de Candela.</t>
        </is>
      </c>
    </row>
    <row r="22" ht="15" customHeight="1">
      <c r="B22" s="5" t="inlineStr">
        <is>
          <t>•  HOJA 8b (Fudo Stock): pegar el reporte de existencias/movimientos y mapear cada insumo.</t>
        </is>
      </c>
    </row>
    <row r="23" ht="26" customHeight="1">
      <c r="B23" s="5" t="inlineStr">
        <is>
          <t>•  HOJA 8c (Fudo Consumos): cargar consumos internos y cortesias. Sin esto, el consumo legitimo del personal se confunde con robo.</t>
        </is>
      </c>
    </row>
    <row r="24" ht="22" customHeight="1">
      <c r="B24" s="4" t="inlineStr">
        <is>
          <t>COMO LEER LOS RESULTADOS</t>
        </is>
      </c>
    </row>
    <row r="25" ht="15" customHeight="1">
      <c r="B25" s="5" t="inlineStr">
        <is>
          <t>Arranque siempre por el TABLERO, bloque 1: si la carga esta incompleta, los numeros no significan nada.</t>
        </is>
      </c>
    </row>
    <row r="26" ht="26" customHeight="1">
      <c r="B26" s="5" t="inlineStr">
        <is>
          <t>•  ANALISIS A (Consumo de insumos): CONSUMO REAL = inicial + ingresos - final. Si el consumo real supera al de Fudo, ese insumo rinde menos de lo que deberia: mal uso, desperdicio o faltante.</t>
        </is>
      </c>
    </row>
    <row r="27" ht="26" customHeight="1">
      <c r="B27" s="5" t="inlineStr">
        <is>
          <t>•  ANALISIS B (Conciliacion de productos): ELABORADO - VENDIDO - CONSUMO INTERNO - DESCARTE. Lo que sobra es salida sin explicar: consumo del personal no registrado, o producto que se fue sin pasar por caja.</t>
        </is>
      </c>
    </row>
    <row r="28" ht="26" customHeight="1">
      <c r="B28" s="5" t="inlineStr">
        <is>
          <t>•  ANALISIS C (Consumo diario): ubica EL DIA del desvio. Un pico atipico en un solo dia apunta a un evento puntual; un desvio parejo toda la semana apunta a una receta mal calculada o a un habito.</t>
        </is>
      </c>
    </row>
    <row r="29" ht="22" customHeight="1">
      <c r="B29" s="4" t="inlineStr">
        <is>
          <t>COMO INTERPRETAR CADA SENAL</t>
        </is>
      </c>
    </row>
    <row r="30" ht="24" customHeight="1">
      <c r="B30" s="6" t="inlineStr">
        <is>
          <t>SENAL EN LA PLANILLA</t>
        </is>
      </c>
      <c r="C30" s="7" t="n"/>
      <c r="D30" s="6" t="inlineStr">
        <is>
          <t>LO QUE PROBABLEMENTE SIGNIFICA</t>
        </is>
      </c>
      <c r="E30" s="7" t="n"/>
      <c r="F30" s="6" t="inlineStr">
        <is>
          <t>QUE HACER</t>
        </is>
      </c>
      <c r="G30" s="7" t="n"/>
    </row>
    <row r="31" ht="30" customHeight="1">
      <c r="B31" s="8" t="inlineStr">
        <is>
          <t>Consumo real muy por encima del de Fudo, parejo toda la semana</t>
        </is>
      </c>
      <c r="C31" s="9" t="n"/>
      <c r="D31" s="8" t="inlineStr">
        <is>
          <t>La receta rinde menos de lo que dice la ficha tecnica, o se desperdicia en el proceso</t>
        </is>
      </c>
      <c r="E31" s="9" t="n"/>
      <c r="F31" s="8" t="inlineStr">
        <is>
          <t>Pesar una produccion completa y recalcular la ficha</t>
        </is>
      </c>
      <c r="G31" s="9" t="n"/>
    </row>
    <row r="32" ht="30" customHeight="1">
      <c r="B32" s="8" t="inlineStr">
        <is>
          <t>Consumo real alto pero concentrado en 1 o 2 dias</t>
        </is>
      </c>
      <c r="C32" s="9" t="n"/>
      <c r="D32" s="8" t="inlineStr">
        <is>
          <t>Un evento puntual: una tanda perdida, un derrame, o un retiro no registrado</t>
        </is>
      </c>
      <c r="E32" s="9" t="n"/>
      <c r="F32" s="8" t="inlineStr">
        <is>
          <t>Cruzar con la planilla 5 y con quien estuvo de turno ese dia</t>
        </is>
      </c>
      <c r="G32" s="9" t="n"/>
    </row>
    <row r="33" ht="30" customHeight="1">
      <c r="B33" s="8" t="inlineStr">
        <is>
          <t>Consumo negativo (el stock final es mayor al posible)</t>
        </is>
      </c>
      <c r="C33" s="9" t="n"/>
      <c r="D33" s="8" t="inlineStr">
        <is>
          <t>Entro mercaderia que nadie anoto en la planilla 2</t>
        </is>
      </c>
      <c r="E33" s="9" t="n"/>
      <c r="F33" s="8" t="inlineStr">
        <is>
          <t>Buscar el remito y reforzar el registro de ingresos</t>
        </is>
      </c>
      <c r="G33" s="9" t="n"/>
    </row>
    <row r="34" ht="30" customHeight="1">
      <c r="B34" s="8" t="inlineStr">
        <is>
          <t>Diferencia sin explicar positiva y grande en un producto</t>
        </is>
      </c>
      <c r="C34" s="9" t="n"/>
      <c r="D34" s="8" t="inlineStr">
        <is>
          <t>Salio producto sin venderse ni registrarse: consumo del personal o faltante</t>
        </is>
      </c>
      <c r="E34" s="9" t="n"/>
      <c r="F34" s="8" t="inlineStr">
        <is>
          <t>Comparar con Fudo consumos internos y con el sobrante en exhibicion</t>
        </is>
      </c>
      <c r="G34" s="9" t="n"/>
    </row>
    <row r="35" ht="30" customHeight="1">
      <c r="B35" s="8" t="inlineStr">
        <is>
          <t>Descarte declarado muy por debajo de lo que se ve en el piso</t>
        </is>
      </c>
      <c r="C35" s="9" t="n"/>
      <c r="D35" s="8" t="inlineStr">
        <is>
          <t>No se esta anotando lo que se tira</t>
        </is>
      </c>
      <c r="E35" s="9" t="n"/>
      <c r="F35" s="8" t="inlineStr">
        <is>
          <t>Insistir en la planilla 5: sin motivo cargado, todo se lee como faltante</t>
        </is>
      </c>
      <c r="G35" s="9" t="n"/>
    </row>
    <row r="36" ht="30" customHeight="1">
      <c r="B36" s="8" t="inlineStr">
        <is>
          <t>Lo recibido no coincide con la factura</t>
        </is>
      </c>
      <c r="C36" s="9" t="n"/>
      <c r="D36" s="8" t="inlineStr">
        <is>
          <t>Se factura mas de lo que entra, o se recibe sin controlar</t>
        </is>
      </c>
      <c r="E36" s="9" t="n"/>
      <c r="F36" s="8" t="inlineStr">
        <is>
          <t>Reclamar al proveedor y pesar en la recepcion</t>
        </is>
      </c>
      <c r="G36" s="9" t="n"/>
    </row>
    <row r="37" ht="22" customHeight="1">
      <c r="B37" s="4" t="inlineStr">
        <is>
          <t>LIMITES DE ESTE METODO  (para no sacar conclusiones de mas)</t>
        </is>
      </c>
    </row>
    <row r="38" ht="26" customHeight="1">
      <c r="B38" s="10" t="inlineStr">
        <is>
          <t>NO se lleva stock de producto terminado. La diferencia del analisis B incluye lo que quedo en exhibicion al cierre del domingo. Lea la tendencia y los casos grandes, no el numero exacto de cada producto.</t>
        </is>
      </c>
    </row>
    <row r="39" ht="26" customHeight="1">
      <c r="B39" s="10" t="inlineStr">
        <is>
          <t>Una sola semana no distingue una causa estable de una casualidad. Sirve para senalar donde mirar, no para acusar a nadie.</t>
        </is>
      </c>
    </row>
    <row r="40" ht="26" customHeight="1">
      <c r="B40" s="10" t="inlineStr">
        <is>
          <t>La calidad del resultado depende del conteo. Si el inventario inicial se hace "a ojo", el libro devuelve numeros prolijos y falsos.</t>
        </is>
      </c>
    </row>
    <row r="41" ht="15" customHeight="1">
      <c r="B41" s="10" t="inlineStr">
        <is>
          <t>Cocina San Luis no tiene productos en el catalogo de la app: su planilla 4 viene en blanco para escribirlos a mano.</t>
        </is>
      </c>
    </row>
    <row r="42" ht="22" customHeight="1">
      <c r="B42" s="4" t="inlineStr">
        <is>
          <t>REGLA DE ORO</t>
        </is>
      </c>
    </row>
    <row r="43" ht="26" customHeight="1">
      <c r="B43" s="5" t="inlineStr">
        <is>
          <t>Solo se escribe en las celdas AMARILLAS. Todo lo que esta en negro o en verde es formula: si se pisa, se rompe el analisis.</t>
        </is>
      </c>
    </row>
  </sheetData>
  <mergeCells count="56">
    <mergeCell ref="B42:G42"/>
    <mergeCell ref="B14:G14"/>
    <mergeCell ref="D34:E34"/>
    <mergeCell ref="B17:G17"/>
    <mergeCell ref="B23:G23"/>
    <mergeCell ref="F34:G34"/>
    <mergeCell ref="B8:G8"/>
    <mergeCell ref="B13:G13"/>
    <mergeCell ref="A1:H1"/>
    <mergeCell ref="B31:C31"/>
    <mergeCell ref="D31:E31"/>
    <mergeCell ref="D36:E36"/>
    <mergeCell ref="B29:G29"/>
    <mergeCell ref="B38:G38"/>
    <mergeCell ref="B19:G19"/>
    <mergeCell ref="B10:G10"/>
    <mergeCell ref="B28:G28"/>
    <mergeCell ref="F30:G30"/>
    <mergeCell ref="B37:G37"/>
    <mergeCell ref="D35:E35"/>
    <mergeCell ref="B9:G9"/>
    <mergeCell ref="F33:G33"/>
    <mergeCell ref="D32:E32"/>
    <mergeCell ref="F36:G36"/>
    <mergeCell ref="B40:G40"/>
    <mergeCell ref="F32:G32"/>
    <mergeCell ref="B15:G15"/>
    <mergeCell ref="F35:G35"/>
    <mergeCell ref="B6:G6"/>
    <mergeCell ref="B24:G24"/>
    <mergeCell ref="B20:G20"/>
    <mergeCell ref="A3:H3"/>
    <mergeCell ref="B5:G5"/>
    <mergeCell ref="A2:H2"/>
    <mergeCell ref="B34:C34"/>
    <mergeCell ref="B41:G41"/>
    <mergeCell ref="F31:G31"/>
    <mergeCell ref="B26:G26"/>
    <mergeCell ref="B7:G7"/>
    <mergeCell ref="B25:G25"/>
    <mergeCell ref="B16:G16"/>
    <mergeCell ref="B30:C30"/>
    <mergeCell ref="D30:E30"/>
    <mergeCell ref="B33:C33"/>
    <mergeCell ref="B22:G22"/>
    <mergeCell ref="D33:E33"/>
    <mergeCell ref="B27:G27"/>
    <mergeCell ref="B36:C36"/>
    <mergeCell ref="B32:C32"/>
    <mergeCell ref="B12:G12"/>
    <mergeCell ref="B18:G18"/>
    <mergeCell ref="B43:G43"/>
    <mergeCell ref="B21:G21"/>
    <mergeCell ref="B35:C35"/>
    <mergeCell ref="B39:G39"/>
    <mergeCell ref="B11:G11"/>
  </mergeCells>
  <printOptions horizontalCentered="1"/>
  <pageMargins left="0.3" right="0.3" top="0.4" bottom="0.4" header="0.5" footer="0.5"/>
  <pageSetup orientation="portrait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26" customWidth="1" min="4" max="4"/>
  </cols>
  <sheetData>
    <row r="1" ht="30" customHeight="1">
      <c r="A1" s="1" t="inlineStr">
        <is>
          <t>CONFIGURACION DE LA SEMANA DE CONTROL</t>
        </is>
      </c>
    </row>
    <row r="2" ht="18" customHeight="1">
      <c r="A2" s="2" t="inlineStr">
        <is>
          <t>Candela Cafe &amp; Patisserie  ·  Complete SOLO las celdas amarillas. Todo el libro se actualiza solo.</t>
        </is>
      </c>
    </row>
    <row r="3" ht="18" customHeight="1">
      <c r="A3" s="3" t="inlineStr">
        <is>
          <t>Esta hoja alimenta las fechas y los desplegables del resto de las planillas.</t>
        </is>
      </c>
    </row>
    <row r="5" ht="22" customHeight="1">
      <c r="A5" s="4" t="inlineStr">
        <is>
          <t>1 · SEMANA DE CONTROL</t>
        </is>
      </c>
    </row>
    <row r="6">
      <c r="A6" s="11" t="inlineStr">
        <is>
          <t>Fecha de inicio (lunes)</t>
        </is>
      </c>
      <c r="B6" s="12" t="n"/>
      <c r="C6" s="13" t="inlineStr">
        <is>
          <t>Escriba la fecha del lunes en que arranca el control.</t>
        </is>
      </c>
    </row>
    <row r="7">
      <c r="A7" s="11" t="inlineStr">
        <is>
          <t>Fecha de cierre (domingo)</t>
        </is>
      </c>
      <c r="B7" s="14">
        <f>IF($B$6="","",$B$6+6)</f>
        <v/>
      </c>
      <c r="C7" s="13" t="inlineStr">
        <is>
          <t>Se calcula solo.</t>
        </is>
      </c>
    </row>
    <row r="9" ht="20" customHeight="1">
      <c r="A9" s="6" t="inlineStr">
        <is>
          <t>DIA</t>
        </is>
      </c>
      <c r="B9" s="6" t="inlineStr">
        <is>
          <t>FECHA</t>
        </is>
      </c>
      <c r="C9" s="6" t="inlineStr">
        <is>
          <t>OBSERVACIONES DEL DIA</t>
        </is>
      </c>
      <c r="D9" s="15" t="n"/>
    </row>
    <row r="10">
      <c r="A10" s="11" t="inlineStr">
        <is>
          <t>Lunes</t>
        </is>
      </c>
      <c r="B10" s="14">
        <f>IF($B$6="","",$B$6+0)</f>
        <v/>
      </c>
      <c r="C10" s="16" t="n"/>
      <c r="D10" s="16" t="n"/>
    </row>
    <row r="11">
      <c r="A11" s="17" t="inlineStr">
        <is>
          <t>Martes</t>
        </is>
      </c>
      <c r="B11" s="14">
        <f>IF($B$6="","",$B$6+1)</f>
        <v/>
      </c>
      <c r="C11" s="16" t="n"/>
      <c r="D11" s="16" t="n"/>
    </row>
    <row r="12">
      <c r="A12" s="11" t="inlineStr">
        <is>
          <t>Miercoles</t>
        </is>
      </c>
      <c r="B12" s="14">
        <f>IF($B$6="","",$B$6+2)</f>
        <v/>
      </c>
      <c r="C12" s="16" t="n"/>
      <c r="D12" s="16" t="n"/>
    </row>
    <row r="13">
      <c r="A13" s="17" t="inlineStr">
        <is>
          <t>Jueves</t>
        </is>
      </c>
      <c r="B13" s="14">
        <f>IF($B$6="","",$B$6+3)</f>
        <v/>
      </c>
      <c r="C13" s="16" t="n"/>
      <c r="D13" s="16" t="n"/>
    </row>
    <row r="14">
      <c r="A14" s="11" t="inlineStr">
        <is>
          <t>Viernes</t>
        </is>
      </c>
      <c r="B14" s="14">
        <f>IF($B$6="","",$B$6+4)</f>
        <v/>
      </c>
      <c r="C14" s="16" t="n"/>
      <c r="D14" s="16" t="n"/>
    </row>
    <row r="15">
      <c r="A15" s="17" t="inlineStr">
        <is>
          <t>Sabado</t>
        </is>
      </c>
      <c r="B15" s="14">
        <f>IF($B$6="","",$B$6+5)</f>
        <v/>
      </c>
      <c r="C15" s="16" t="n"/>
      <c r="D15" s="16" t="n"/>
    </row>
    <row r="16">
      <c r="A16" s="11" t="inlineStr">
        <is>
          <t>Domingo</t>
        </is>
      </c>
      <c r="B16" s="14">
        <f>IF($B$6="","",$B$6+6)</f>
        <v/>
      </c>
      <c r="C16" s="16" t="n"/>
      <c r="D16" s="16" t="n"/>
    </row>
    <row r="18" ht="22" customHeight="1">
      <c r="A18" s="4" t="inlineStr">
        <is>
          <t>2 · RESPONSABLES POR AREA</t>
        </is>
      </c>
    </row>
    <row r="19" ht="22" customHeight="1">
      <c r="A19" s="6" t="inlineStr">
        <is>
          <t>AREA</t>
        </is>
      </c>
      <c r="B19" s="6" t="inlineStr">
        <is>
          <t>DONDE SE ELABORA</t>
        </is>
      </c>
      <c r="C19" s="6" t="inlineStr">
        <is>
          <t>JEFE DE AREA (nombre)</t>
        </is>
      </c>
      <c r="D19" s="6" t="inlineStr">
        <is>
          <t>FIRMA / ACLARACION</t>
        </is>
      </c>
    </row>
    <row r="20">
      <c r="A20" s="11" t="inlineStr">
        <is>
          <t>Panadería</t>
        </is>
      </c>
      <c r="B20" s="18" t="inlineStr">
        <is>
          <t>Central</t>
        </is>
      </c>
      <c r="C20" s="16" t="n"/>
      <c r="D20" s="16" t="n"/>
    </row>
    <row r="21">
      <c r="A21" s="17" t="inlineStr">
        <is>
          <t>Pastelería</t>
        </is>
      </c>
      <c r="B21" s="18" t="inlineStr">
        <is>
          <t>Central</t>
        </is>
      </c>
      <c r="C21" s="16" t="n"/>
      <c r="D21" s="16" t="n"/>
    </row>
    <row r="22">
      <c r="A22" s="11" t="inlineStr">
        <is>
          <t>Especialidades</t>
        </is>
      </c>
      <c r="B22" s="18" t="inlineStr">
        <is>
          <t>Central</t>
        </is>
      </c>
      <c r="C22" s="16" t="n"/>
      <c r="D22" s="16" t="n"/>
    </row>
    <row r="23">
      <c r="A23" s="17" t="inlineStr">
        <is>
          <t>Facturería</t>
        </is>
      </c>
      <c r="B23" s="18" t="inlineStr">
        <is>
          <t>Central</t>
        </is>
      </c>
      <c r="C23" s="16" t="n"/>
      <c r="D23" s="16" t="n"/>
    </row>
    <row r="24">
      <c r="A24" s="11" t="inlineStr">
        <is>
          <t>Sandwiches</t>
        </is>
      </c>
      <c r="B24" s="18" t="inlineStr">
        <is>
          <t>Central</t>
        </is>
      </c>
      <c r="C24" s="16" t="n"/>
      <c r="D24" s="16" t="n"/>
    </row>
    <row r="25">
      <c r="A25" s="17" t="inlineStr">
        <is>
          <t>Cocina San Luis</t>
        </is>
      </c>
      <c r="B25" s="18" t="inlineStr">
        <is>
          <t>Local San Luis</t>
        </is>
      </c>
      <c r="C25" s="16" t="n"/>
      <c r="D25" s="16" t="n"/>
    </row>
    <row r="27" ht="22" customHeight="1">
      <c r="A27" s="4" t="inlineStr">
        <is>
          <t>3 · MOTIVOS DE DESCARTE (desplegable en la hoja "5 Descartes")</t>
        </is>
      </c>
    </row>
    <row r="28">
      <c r="A28" s="9" t="inlineStr">
        <is>
          <t>Quemado / mal cocido</t>
        </is>
      </c>
      <c r="B28" s="15" t="n"/>
      <c r="C28" s="19" t="n"/>
    </row>
    <row r="29">
      <c r="A29" s="20" t="inlineStr">
        <is>
          <t>Mal armado / defectuoso</t>
        </is>
      </c>
      <c r="B29" s="15" t="n"/>
      <c r="C29" s="19" t="n"/>
    </row>
    <row r="30">
      <c r="A30" s="9" t="inlineStr">
        <is>
          <t>Vencido / pasado</t>
        </is>
      </c>
      <c r="B30" s="15" t="n"/>
      <c r="C30" s="19" t="n"/>
    </row>
    <row r="31">
      <c r="A31" s="20" t="inlineStr">
        <is>
          <t>Caido / roto</t>
        </is>
      </c>
      <c r="B31" s="15" t="n"/>
      <c r="C31" s="19" t="n"/>
    </row>
    <row r="32">
      <c r="A32" s="9" t="inlineStr">
        <is>
          <t>Sobrante no vendido</t>
        </is>
      </c>
      <c r="B32" s="15" t="n"/>
      <c r="C32" s="19" t="n"/>
    </row>
    <row r="33">
      <c r="A33" s="20" t="inlineStr">
        <is>
          <t>Prueba / degustacion</t>
        </is>
      </c>
      <c r="B33" s="15" t="n"/>
      <c r="C33" s="19" t="n"/>
    </row>
    <row r="34">
      <c r="A34" s="9" t="inlineStr">
        <is>
          <t>Consumo del personal</t>
        </is>
      </c>
      <c r="B34" s="15" t="n"/>
      <c r="C34" s="19" t="n"/>
    </row>
    <row r="35">
      <c r="A35" s="20" t="inlineStr">
        <is>
          <t>Devolucion de local</t>
        </is>
      </c>
      <c r="B35" s="15" t="n"/>
      <c r="C35" s="19" t="n"/>
    </row>
    <row r="36">
      <c r="A36" s="9" t="inlineStr">
        <is>
          <t>Otro</t>
        </is>
      </c>
      <c r="B36" s="15" t="n"/>
      <c r="C36" s="19" t="n"/>
    </row>
    <row r="38" ht="22" customHeight="1">
      <c r="A38" s="4" t="inlineStr">
        <is>
          <t>4 · LEYENDA DE COLORES Y TIPOS DE LETRA</t>
        </is>
      </c>
    </row>
    <row r="39" ht="16" customHeight="1">
      <c r="A39" s="16" t="inlineStr">
        <is>
          <t>Celda amarilla, letra azul</t>
        </is>
      </c>
      <c r="B39" s="21" t="inlineStr">
        <is>
          <t>La completa una persona a mano. Es el unico lugar donde hay que escribir.</t>
        </is>
      </c>
      <c r="C39" s="22" t="n"/>
      <c r="D39" s="15" t="n"/>
    </row>
    <row r="40" ht="16" customHeight="1">
      <c r="A40" s="11" t="inlineStr">
        <is>
          <t>Letra negra, fondo blanco</t>
        </is>
      </c>
      <c r="B40" s="21" t="inlineStr">
        <is>
          <t>Formula. NO tocar: se calcula sola.</t>
        </is>
      </c>
      <c r="C40" s="22" t="n"/>
      <c r="D40" s="15" t="n"/>
    </row>
    <row r="41" ht="16" customHeight="1">
      <c r="A41" s="23" t="inlineStr">
        <is>
          <t>Letra verde</t>
        </is>
      </c>
      <c r="B41" s="21" t="inlineStr">
        <is>
          <t>Trae el dato de otra hoja del libro. NO tocar.</t>
        </is>
      </c>
      <c r="C41" s="22" t="n"/>
      <c r="D41" s="15" t="n"/>
    </row>
    <row r="42" ht="16" customHeight="1">
      <c r="A42" s="24" t="inlineStr">
        <is>
          <t>Fondo rojo claro</t>
        </is>
      </c>
      <c r="B42" s="21" t="inlineStr">
        <is>
          <t>Alerta: el desvio supera el limite tolerado. Hay que investigar.</t>
        </is>
      </c>
      <c r="C42" s="22" t="n"/>
      <c r="D42" s="15" t="n"/>
    </row>
    <row r="43" ht="16" customHeight="1">
      <c r="A43" s="25" t="inlineStr">
        <is>
          <t>Fondo verde claro</t>
        </is>
      </c>
      <c r="B43" s="21" t="inlineStr">
        <is>
          <t>Dentro de lo esperado.</t>
        </is>
      </c>
      <c r="C43" s="22" t="n"/>
      <c r="D43" s="15" t="n"/>
    </row>
    <row r="45" ht="22" customHeight="1">
      <c r="A45" s="4" t="inlineStr">
        <is>
          <t>5 · LIMITES DE TOLERANCIA (para las alertas del Tablero)</t>
        </is>
      </c>
    </row>
    <row r="46">
      <c r="A46" s="11" t="inlineStr">
        <is>
          <t>Desvio maximo tolerado en insumos (%)</t>
        </is>
      </c>
      <c r="B46" s="26" t="n">
        <v>0.05</v>
      </c>
      <c r="C46" s="13" t="inlineStr">
        <is>
          <t>Diferencia entre consumo real y consumo teorico/Fudo.</t>
        </is>
      </c>
    </row>
    <row r="47">
      <c r="A47" s="11" t="inlineStr">
        <is>
          <t>Descarte maximo tolerado en productos (%)</t>
        </is>
      </c>
      <c r="B47" s="26" t="n">
        <v>0.03</v>
      </c>
      <c r="C47" s="13" t="inlineStr">
        <is>
          <t>Sobre el total elaborado de cada producto.</t>
        </is>
      </c>
    </row>
    <row r="48">
      <c r="A48" s="11" t="inlineStr">
        <is>
          <t>Diferencia maxima tolerada sin explicar (%)</t>
        </is>
      </c>
      <c r="B48" s="26" t="n">
        <v>0.02</v>
      </c>
      <c r="C48" s="13" t="inlineStr">
        <is>
          <t>Elaborado menos vendido, consumos y descartes.</t>
        </is>
      </c>
    </row>
  </sheetData>
  <mergeCells count="23">
    <mergeCell ref="A5:D5"/>
    <mergeCell ref="B42:D42"/>
    <mergeCell ref="A30:B30"/>
    <mergeCell ref="A38:D38"/>
    <mergeCell ref="A36:B36"/>
    <mergeCell ref="B40:D40"/>
    <mergeCell ref="C9:D9"/>
    <mergeCell ref="A1:D1"/>
    <mergeCell ref="A45:D45"/>
    <mergeCell ref="B41:D41"/>
    <mergeCell ref="A33:B33"/>
    <mergeCell ref="A32:B32"/>
    <mergeCell ref="A35:B35"/>
    <mergeCell ref="A18:D18"/>
    <mergeCell ref="A27:D27"/>
    <mergeCell ref="A29:B29"/>
    <mergeCell ref="A3:D3"/>
    <mergeCell ref="A28:B28"/>
    <mergeCell ref="A2:D2"/>
    <mergeCell ref="B43:D43"/>
    <mergeCell ref="B39:D39"/>
    <mergeCell ref="A31:B31"/>
    <mergeCell ref="A34:B34"/>
  </mergeCells>
  <printOptions horizontalCentered="1"/>
  <pageMargins left="0.3" right="0.3" top="0.4" bottom="0.4" header="0.5" footer="0.5"/>
  <pageSetup orientation="portrait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5" customWidth="1" min="4" max="4"/>
    <col width="9" customWidth="1" min="5" max="5"/>
    <col width="12" customWidth="1" min="6" max="6"/>
    <col width="9" customWidth="1" min="7" max="7"/>
    <col width="13" customWidth="1" min="8" max="8"/>
    <col hidden="1" width="40" customWidth="1" min="9" max="9"/>
  </cols>
  <sheetData>
    <row r="1" ht="30" customHeight="1">
      <c r="A1" s="1" t="inlineStr">
        <is>
          <t>MAESTRO DE INSUMOS DE PRODUCCION</t>
        </is>
      </c>
    </row>
    <row r="2" ht="18" customHeight="1">
      <c r="A2" s="2" t="inlineStr">
        <is>
          <t>Traido del catalogo real de la app de Pedidos de Produccion (159 insumos, 6 areas).</t>
        </is>
      </c>
    </row>
    <row r="3" ht="18" customHeight="1">
      <c r="A3" s="3" t="inlineStr">
        <is>
          <t>REVISAR ANTES DE ARRANCAR: la unidad y el contenido por bulto fueron inferidos del nombre. Corrija lo que no coincida con el envase real.</t>
        </is>
      </c>
    </row>
    <row r="4" ht="32" customHeight="1">
      <c r="A4" s="6" t="inlineStr">
        <is>
          <t>AREA</t>
        </is>
      </c>
      <c r="B4" s="6" t="inlineStr">
        <is>
          <t>INSUMO</t>
        </is>
      </c>
      <c r="C4" s="6" t="inlineStr">
        <is>
          <t>CATEGORIA</t>
        </is>
      </c>
      <c r="D4" s="6" t="inlineStr">
        <is>
          <t>PROVEEDOR</t>
        </is>
      </c>
      <c r="E4" s="6" t="inlineStr">
        <is>
          <t>UNIDAD
BASE</t>
        </is>
      </c>
      <c r="F4" s="6" t="inlineStr">
        <is>
          <t>CONTENIDO
POR BULTO</t>
        </is>
      </c>
      <c r="G4" s="6" t="inlineStr">
        <is>
          <t>CRITICO
(conteo diario)</t>
        </is>
      </c>
      <c r="H4" s="6" t="inlineStr">
        <is>
          <t>COSTO POR
UNIDAD $</t>
        </is>
      </c>
      <c r="I4" s="6" t="inlineStr">
        <is>
          <t>CLAVE (no tocar)</t>
        </is>
      </c>
    </row>
    <row r="5">
      <c r="A5" s="27" t="inlineStr">
        <is>
          <t>Panadería</t>
        </is>
      </c>
      <c r="B5" s="11" t="inlineStr">
        <is>
          <t>Aceite de girasol</t>
        </is>
      </c>
      <c r="C5" s="18" t="inlineStr"/>
      <c r="D5" s="18" t="inlineStr"/>
      <c r="E5" s="18" t="inlineStr">
        <is>
          <t>L</t>
        </is>
      </c>
      <c r="F5" s="28" t="n">
        <v>5</v>
      </c>
      <c r="G5" s="18" t="inlineStr">
        <is>
          <t>NO</t>
        </is>
      </c>
      <c r="H5" s="29" t="n"/>
      <c r="I5" s="30">
        <f>$A5&amp;" | "&amp;$B5</f>
        <v/>
      </c>
    </row>
    <row r="6">
      <c r="A6" s="31" t="inlineStr">
        <is>
          <t>Panadería</t>
        </is>
      </c>
      <c r="B6" s="17" t="inlineStr">
        <is>
          <t>Aceite de oliva</t>
        </is>
      </c>
      <c r="C6" s="18" t="inlineStr"/>
      <c r="D6" s="18" t="inlineStr"/>
      <c r="E6" s="18" t="inlineStr">
        <is>
          <t>L</t>
        </is>
      </c>
      <c r="F6" s="28" t="n">
        <v>5</v>
      </c>
      <c r="G6" s="18" t="inlineStr">
        <is>
          <t>NO</t>
        </is>
      </c>
      <c r="H6" s="29" t="n"/>
      <c r="I6" s="32">
        <f>$A6&amp;" | "&amp;$B6</f>
        <v/>
      </c>
    </row>
    <row r="7">
      <c r="A7" s="27" t="inlineStr">
        <is>
          <t>Panadería</t>
        </is>
      </c>
      <c r="B7" s="11" t="inlineStr">
        <is>
          <t>Aditivo</t>
        </is>
      </c>
      <c r="C7" s="18" t="inlineStr"/>
      <c r="D7" s="18" t="inlineStr"/>
      <c r="E7" s="18" t="inlineStr">
        <is>
          <t>kg</t>
        </is>
      </c>
      <c r="F7" s="28" t="n">
        <v>1</v>
      </c>
      <c r="G7" s="18" t="inlineStr">
        <is>
          <t>NO</t>
        </is>
      </c>
      <c r="H7" s="29" t="n"/>
      <c r="I7" s="30">
        <f>$A7&amp;" | "&amp;$B7</f>
        <v/>
      </c>
    </row>
    <row r="8">
      <c r="A8" s="31" t="inlineStr">
        <is>
          <t>Panadería</t>
        </is>
      </c>
      <c r="B8" s="17" t="inlineStr">
        <is>
          <t>Avena</t>
        </is>
      </c>
      <c r="C8" s="18" t="inlineStr"/>
      <c r="D8" s="18" t="inlineStr"/>
      <c r="E8" s="18" t="inlineStr">
        <is>
          <t>kg</t>
        </is>
      </c>
      <c r="F8" s="28" t="n">
        <v>1</v>
      </c>
      <c r="G8" s="18" t="inlineStr">
        <is>
          <t>NO</t>
        </is>
      </c>
      <c r="H8" s="29" t="n"/>
      <c r="I8" s="32">
        <f>$A8&amp;" | "&amp;$B8</f>
        <v/>
      </c>
    </row>
    <row r="9">
      <c r="A9" s="27" t="inlineStr">
        <is>
          <t>Panadería</t>
        </is>
      </c>
      <c r="B9" s="11" t="inlineStr">
        <is>
          <t>Azucar</t>
        </is>
      </c>
      <c r="C9" s="18" t="inlineStr"/>
      <c r="D9" s="18" t="inlineStr"/>
      <c r="E9" s="18" t="inlineStr">
        <is>
          <t>kg</t>
        </is>
      </c>
      <c r="F9" s="28" t="n">
        <v>1</v>
      </c>
      <c r="G9" s="18" t="inlineStr">
        <is>
          <t>SI</t>
        </is>
      </c>
      <c r="H9" s="29" t="n"/>
      <c r="I9" s="30">
        <f>$A9&amp;" | "&amp;$B9</f>
        <v/>
      </c>
    </row>
    <row r="10">
      <c r="A10" s="31" t="inlineStr">
        <is>
          <t>Panadería</t>
        </is>
      </c>
      <c r="B10" s="17" t="inlineStr">
        <is>
          <t>Azucar impalpable</t>
        </is>
      </c>
      <c r="C10" s="18" t="inlineStr"/>
      <c r="D10" s="18" t="inlineStr"/>
      <c r="E10" s="18" t="inlineStr">
        <is>
          <t>kg</t>
        </is>
      </c>
      <c r="F10" s="28" t="n">
        <v>1</v>
      </c>
      <c r="G10" s="18" t="inlineStr">
        <is>
          <t>NO</t>
        </is>
      </c>
      <c r="H10" s="29" t="n"/>
      <c r="I10" s="32">
        <f>$A10&amp;" | "&amp;$B10</f>
        <v/>
      </c>
    </row>
    <row r="11">
      <c r="A11" s="27" t="inlineStr">
        <is>
          <t>Panadería</t>
        </is>
      </c>
      <c r="B11" s="11" t="inlineStr">
        <is>
          <t>Berlina</t>
        </is>
      </c>
      <c r="C11" s="18" t="inlineStr"/>
      <c r="D11" s="18" t="inlineStr"/>
      <c r="E11" s="18" t="inlineStr">
        <is>
          <t>kg</t>
        </is>
      </c>
      <c r="F11" s="28" t="n">
        <v>1</v>
      </c>
      <c r="G11" s="18" t="inlineStr">
        <is>
          <t>NO</t>
        </is>
      </c>
      <c r="H11" s="29" t="n"/>
      <c r="I11" s="30">
        <f>$A11&amp;" | "&amp;$B11</f>
        <v/>
      </c>
    </row>
    <row r="12">
      <c r="A12" s="31" t="inlineStr">
        <is>
          <t>Panadería</t>
        </is>
      </c>
      <c r="B12" s="17" t="inlineStr">
        <is>
          <t>Bicarbonato de amonio</t>
        </is>
      </c>
      <c r="C12" s="18" t="inlineStr"/>
      <c r="D12" s="18" t="inlineStr"/>
      <c r="E12" s="18" t="inlineStr">
        <is>
          <t>kg</t>
        </is>
      </c>
      <c r="F12" s="28" t="n">
        <v>1</v>
      </c>
      <c r="G12" s="18" t="inlineStr">
        <is>
          <t>NO</t>
        </is>
      </c>
      <c r="H12" s="29" t="n"/>
      <c r="I12" s="32">
        <f>$A12&amp;" | "&amp;$B12</f>
        <v/>
      </c>
    </row>
    <row r="13">
      <c r="A13" s="27" t="inlineStr">
        <is>
          <t>Panadería</t>
        </is>
      </c>
      <c r="B13" s="11" t="inlineStr">
        <is>
          <t>Bicarbonato de sodio</t>
        </is>
      </c>
      <c r="C13" s="18" t="inlineStr"/>
      <c r="D13" s="18" t="inlineStr"/>
      <c r="E13" s="18" t="inlineStr">
        <is>
          <t>kg</t>
        </is>
      </c>
      <c r="F13" s="28" t="n">
        <v>1</v>
      </c>
      <c r="G13" s="18" t="inlineStr">
        <is>
          <t>NO</t>
        </is>
      </c>
      <c r="H13" s="29" t="n"/>
      <c r="I13" s="30">
        <f>$A13&amp;" | "&amp;$B13</f>
        <v/>
      </c>
    </row>
    <row r="14">
      <c r="A14" s="31" t="inlineStr">
        <is>
          <t>Panadería</t>
        </is>
      </c>
      <c r="B14" s="17" t="inlineStr">
        <is>
          <t>Canela en polvo</t>
        </is>
      </c>
      <c r="C14" s="18" t="inlineStr"/>
      <c r="D14" s="18" t="inlineStr"/>
      <c r="E14" s="18" t="inlineStr">
        <is>
          <t>kg</t>
        </is>
      </c>
      <c r="F14" s="28" t="n">
        <v>1</v>
      </c>
      <c r="G14" s="18" t="inlineStr">
        <is>
          <t>NO</t>
        </is>
      </c>
      <c r="H14" s="29" t="n"/>
      <c r="I14" s="32">
        <f>$A14&amp;" | "&amp;$B14</f>
        <v/>
      </c>
    </row>
    <row r="15">
      <c r="A15" s="27" t="inlineStr">
        <is>
          <t>Panadería</t>
        </is>
      </c>
      <c r="B15" s="11" t="inlineStr">
        <is>
          <t>Fecula</t>
        </is>
      </c>
      <c r="C15" s="18" t="inlineStr"/>
      <c r="D15" s="18" t="inlineStr"/>
      <c r="E15" s="18" t="inlineStr">
        <is>
          <t>kg</t>
        </is>
      </c>
      <c r="F15" s="28" t="n">
        <v>1</v>
      </c>
      <c r="G15" s="18" t="inlineStr">
        <is>
          <t>NO</t>
        </is>
      </c>
      <c r="H15" s="29" t="n"/>
      <c r="I15" s="30">
        <f>$A15&amp;" | "&amp;$B15</f>
        <v/>
      </c>
    </row>
    <row r="16">
      <c r="A16" s="31" t="inlineStr">
        <is>
          <t>Panadería</t>
        </is>
      </c>
      <c r="B16" s="17" t="inlineStr">
        <is>
          <t>Grasa</t>
        </is>
      </c>
      <c r="C16" s="18" t="inlineStr"/>
      <c r="D16" s="18" t="inlineStr"/>
      <c r="E16" s="18" t="inlineStr">
        <is>
          <t>kg</t>
        </is>
      </c>
      <c r="F16" s="28" t="n">
        <v>1</v>
      </c>
      <c r="G16" s="18" t="inlineStr">
        <is>
          <t>SI</t>
        </is>
      </c>
      <c r="H16" s="29" t="n"/>
      <c r="I16" s="32">
        <f>$A16&amp;" | "&amp;$B16</f>
        <v/>
      </c>
    </row>
    <row r="17">
      <c r="A17" s="27" t="inlineStr">
        <is>
          <t>Panadería</t>
        </is>
      </c>
      <c r="B17" s="11" t="inlineStr">
        <is>
          <t>Harina 000 x25kg</t>
        </is>
      </c>
      <c r="C17" s="18" t="inlineStr"/>
      <c r="D17" s="18" t="inlineStr"/>
      <c r="E17" s="18" t="inlineStr">
        <is>
          <t>kg</t>
        </is>
      </c>
      <c r="F17" s="28" t="n">
        <v>25</v>
      </c>
      <c r="G17" s="18" t="inlineStr">
        <is>
          <t>SI</t>
        </is>
      </c>
      <c r="H17" s="29" t="n"/>
      <c r="I17" s="30">
        <f>$A17&amp;" | "&amp;$B17</f>
        <v/>
      </c>
    </row>
    <row r="18">
      <c r="A18" s="31" t="inlineStr">
        <is>
          <t>Panadería</t>
        </is>
      </c>
      <c r="B18" s="17" t="inlineStr">
        <is>
          <t>Harina 0000 x25kg</t>
        </is>
      </c>
      <c r="C18" s="18" t="inlineStr"/>
      <c r="D18" s="18" t="inlineStr"/>
      <c r="E18" s="18" t="inlineStr">
        <is>
          <t>kg</t>
        </is>
      </c>
      <c r="F18" s="28" t="n">
        <v>25</v>
      </c>
      <c r="G18" s="18" t="inlineStr">
        <is>
          <t>SI</t>
        </is>
      </c>
      <c r="H18" s="29" t="n"/>
      <c r="I18" s="32">
        <f>$A18&amp;" | "&amp;$B18</f>
        <v/>
      </c>
    </row>
    <row r="19">
      <c r="A19" s="27" t="inlineStr">
        <is>
          <t>Panadería</t>
        </is>
      </c>
      <c r="B19" s="11" t="inlineStr">
        <is>
          <t>Huevos</t>
        </is>
      </c>
      <c r="C19" s="18" t="inlineStr"/>
      <c r="D19" s="18" t="inlineStr"/>
      <c r="E19" s="18" t="inlineStr">
        <is>
          <t>u</t>
        </is>
      </c>
      <c r="F19" s="28" t="n">
        <v>30</v>
      </c>
      <c r="G19" s="18" t="inlineStr">
        <is>
          <t>SI</t>
        </is>
      </c>
      <c r="H19" s="29" t="n"/>
      <c r="I19" s="30">
        <f>$A19&amp;" | "&amp;$B19</f>
        <v/>
      </c>
    </row>
    <row r="20">
      <c r="A20" s="31" t="inlineStr">
        <is>
          <t>Panadería</t>
        </is>
      </c>
      <c r="B20" s="17" t="inlineStr">
        <is>
          <t>Levadura</t>
        </is>
      </c>
      <c r="C20" s="18" t="inlineStr"/>
      <c r="D20" s="18" t="inlineStr"/>
      <c r="E20" s="18" t="inlineStr">
        <is>
          <t>kg</t>
        </is>
      </c>
      <c r="F20" s="28" t="n">
        <v>1</v>
      </c>
      <c r="G20" s="18" t="inlineStr">
        <is>
          <t>SI</t>
        </is>
      </c>
      <c r="H20" s="29" t="n"/>
      <c r="I20" s="32">
        <f>$A20&amp;" | "&amp;$B20</f>
        <v/>
      </c>
    </row>
    <row r="21">
      <c r="A21" s="27" t="inlineStr">
        <is>
          <t>Panadería</t>
        </is>
      </c>
      <c r="B21" s="11" t="inlineStr">
        <is>
          <t>Margarina hojaldre</t>
        </is>
      </c>
      <c r="C21" s="18" t="inlineStr"/>
      <c r="D21" s="18" t="inlineStr"/>
      <c r="E21" s="18" t="inlineStr">
        <is>
          <t>kg</t>
        </is>
      </c>
      <c r="F21" s="28" t="n">
        <v>1</v>
      </c>
      <c r="G21" s="18" t="inlineStr">
        <is>
          <t>SI</t>
        </is>
      </c>
      <c r="H21" s="29" t="n"/>
      <c r="I21" s="30">
        <f>$A21&amp;" | "&amp;$B21</f>
        <v/>
      </c>
    </row>
    <row r="22">
      <c r="A22" s="31" t="inlineStr">
        <is>
          <t>Panadería</t>
        </is>
      </c>
      <c r="B22" s="17" t="inlineStr">
        <is>
          <t>Margarina masa</t>
        </is>
      </c>
      <c r="C22" s="18" t="inlineStr"/>
      <c r="D22" s="18" t="inlineStr"/>
      <c r="E22" s="18" t="inlineStr">
        <is>
          <t>kg</t>
        </is>
      </c>
      <c r="F22" s="28" t="n">
        <v>1</v>
      </c>
      <c r="G22" s="18" t="inlineStr">
        <is>
          <t>SI</t>
        </is>
      </c>
      <c r="H22" s="29" t="n"/>
      <c r="I22" s="32">
        <f>$A22&amp;" | "&amp;$B22</f>
        <v/>
      </c>
    </row>
    <row r="23">
      <c r="A23" s="27" t="inlineStr">
        <is>
          <t>Panadería</t>
        </is>
      </c>
      <c r="B23" s="11" t="inlineStr">
        <is>
          <t>Mejorador</t>
        </is>
      </c>
      <c r="C23" s="18" t="inlineStr"/>
      <c r="D23" s="18" t="inlineStr"/>
      <c r="E23" s="18" t="inlineStr">
        <is>
          <t>kg</t>
        </is>
      </c>
      <c r="F23" s="28" t="n">
        <v>1</v>
      </c>
      <c r="G23" s="18" t="inlineStr">
        <is>
          <t>NO</t>
        </is>
      </c>
      <c r="H23" s="29" t="n"/>
      <c r="I23" s="30">
        <f>$A23&amp;" | "&amp;$B23</f>
        <v/>
      </c>
    </row>
    <row r="24">
      <c r="A24" s="31" t="inlineStr">
        <is>
          <t>Panadería</t>
        </is>
      </c>
      <c r="B24" s="17" t="inlineStr">
        <is>
          <t>Mix de semillas</t>
        </is>
      </c>
      <c r="C24" s="18" t="inlineStr"/>
      <c r="D24" s="18" t="inlineStr"/>
      <c r="E24" s="18" t="inlineStr">
        <is>
          <t>kg</t>
        </is>
      </c>
      <c r="F24" s="28" t="n">
        <v>1</v>
      </c>
      <c r="G24" s="18" t="inlineStr">
        <is>
          <t>NO</t>
        </is>
      </c>
      <c r="H24" s="29" t="n"/>
      <c r="I24" s="32">
        <f>$A24&amp;" | "&amp;$B24</f>
        <v/>
      </c>
    </row>
    <row r="25">
      <c r="A25" s="27" t="inlineStr">
        <is>
          <t>Panadería</t>
        </is>
      </c>
      <c r="B25" s="11" t="inlineStr">
        <is>
          <t>Otentic</t>
        </is>
      </c>
      <c r="C25" s="18" t="inlineStr"/>
      <c r="D25" s="18" t="inlineStr"/>
      <c r="E25" s="18" t="inlineStr">
        <is>
          <t>kg</t>
        </is>
      </c>
      <c r="F25" s="28" t="n">
        <v>1</v>
      </c>
      <c r="G25" s="18" t="inlineStr">
        <is>
          <t>NO</t>
        </is>
      </c>
      <c r="H25" s="29" t="n"/>
      <c r="I25" s="30">
        <f>$A25&amp;" | "&amp;$B25</f>
        <v/>
      </c>
    </row>
    <row r="26">
      <c r="A26" s="31" t="inlineStr">
        <is>
          <t>Panadería</t>
        </is>
      </c>
      <c r="B26" s="17" t="inlineStr">
        <is>
          <t>Panes blandos</t>
        </is>
      </c>
      <c r="C26" s="18" t="inlineStr"/>
      <c r="D26" s="18" t="inlineStr"/>
      <c r="E26" s="18" t="inlineStr">
        <is>
          <t>kg</t>
        </is>
      </c>
      <c r="F26" s="28" t="n">
        <v>1</v>
      </c>
      <c r="G26" s="18" t="inlineStr">
        <is>
          <t>NO</t>
        </is>
      </c>
      <c r="H26" s="29" t="n"/>
      <c r="I26" s="32">
        <f>$A26&amp;" | "&amp;$B26</f>
        <v/>
      </c>
    </row>
    <row r="27">
      <c r="A27" s="27" t="inlineStr">
        <is>
          <t>Panadería</t>
        </is>
      </c>
      <c r="B27" s="11" t="inlineStr">
        <is>
          <t>Panes granos andinos</t>
        </is>
      </c>
      <c r="C27" s="18" t="inlineStr"/>
      <c r="D27" s="18" t="inlineStr"/>
      <c r="E27" s="18" t="inlineStr">
        <is>
          <t>kg</t>
        </is>
      </c>
      <c r="F27" s="28" t="n">
        <v>1</v>
      </c>
      <c r="G27" s="18" t="inlineStr">
        <is>
          <t>NO</t>
        </is>
      </c>
      <c r="H27" s="29" t="n"/>
      <c r="I27" s="30">
        <f>$A27&amp;" | "&amp;$B27</f>
        <v/>
      </c>
    </row>
    <row r="28">
      <c r="A28" s="31" t="inlineStr">
        <is>
          <t>Panadería</t>
        </is>
      </c>
      <c r="B28" s="17" t="inlineStr">
        <is>
          <t>Panes multicereal</t>
        </is>
      </c>
      <c r="C28" s="18" t="inlineStr"/>
      <c r="D28" s="18" t="inlineStr"/>
      <c r="E28" s="18" t="inlineStr">
        <is>
          <t>kg</t>
        </is>
      </c>
      <c r="F28" s="28" t="n">
        <v>1</v>
      </c>
      <c r="G28" s="18" t="inlineStr">
        <is>
          <t>NO</t>
        </is>
      </c>
      <c r="H28" s="29" t="n"/>
      <c r="I28" s="32">
        <f>$A28&amp;" | "&amp;$B28</f>
        <v/>
      </c>
    </row>
    <row r="29">
      <c r="A29" s="27" t="inlineStr">
        <is>
          <t>Panadería</t>
        </is>
      </c>
      <c r="B29" s="11" t="inlineStr">
        <is>
          <t>Panes salvado</t>
        </is>
      </c>
      <c r="C29" s="18" t="inlineStr"/>
      <c r="D29" s="18" t="inlineStr"/>
      <c r="E29" s="18" t="inlineStr">
        <is>
          <t>kg</t>
        </is>
      </c>
      <c r="F29" s="28" t="n">
        <v>1</v>
      </c>
      <c r="G29" s="18" t="inlineStr">
        <is>
          <t>NO</t>
        </is>
      </c>
      <c r="H29" s="29" t="n"/>
      <c r="I29" s="30">
        <f>$A29&amp;" | "&amp;$B29</f>
        <v/>
      </c>
    </row>
    <row r="30">
      <c r="A30" s="31" t="inlineStr">
        <is>
          <t>Panadería</t>
        </is>
      </c>
      <c r="B30" s="17" t="inlineStr">
        <is>
          <t>Polvo para hornear</t>
        </is>
      </c>
      <c r="C30" s="18" t="inlineStr"/>
      <c r="D30" s="18" t="inlineStr"/>
      <c r="E30" s="18" t="inlineStr">
        <is>
          <t>kg</t>
        </is>
      </c>
      <c r="F30" s="28" t="n">
        <v>1</v>
      </c>
      <c r="G30" s="18" t="inlineStr">
        <is>
          <t>NO</t>
        </is>
      </c>
      <c r="H30" s="29" t="n"/>
      <c r="I30" s="32">
        <f>$A30&amp;" | "&amp;$B30</f>
        <v/>
      </c>
    </row>
    <row r="31">
      <c r="A31" s="27" t="inlineStr">
        <is>
          <t>Panadería</t>
        </is>
      </c>
      <c r="B31" s="11" t="inlineStr">
        <is>
          <t>Premezcla muffin</t>
        </is>
      </c>
      <c r="C31" s="18" t="inlineStr"/>
      <c r="D31" s="18" t="inlineStr"/>
      <c r="E31" s="18" t="inlineStr">
        <is>
          <t>kg</t>
        </is>
      </c>
      <c r="F31" s="28" t="n">
        <v>1</v>
      </c>
      <c r="G31" s="18" t="inlineStr">
        <is>
          <t>NO</t>
        </is>
      </c>
      <c r="H31" s="29" t="n"/>
      <c r="I31" s="30">
        <f>$A31&amp;" | "&amp;$B31</f>
        <v/>
      </c>
    </row>
    <row r="32">
      <c r="A32" s="31" t="inlineStr">
        <is>
          <t>Panadería</t>
        </is>
      </c>
      <c r="B32" s="17" t="inlineStr">
        <is>
          <t>Premezcla pan de papa</t>
        </is>
      </c>
      <c r="C32" s="18" t="inlineStr"/>
      <c r="D32" s="18" t="inlineStr"/>
      <c r="E32" s="18" t="inlineStr">
        <is>
          <t>kg</t>
        </is>
      </c>
      <c r="F32" s="28" t="n">
        <v>1</v>
      </c>
      <c r="G32" s="18" t="inlineStr">
        <is>
          <t>NO</t>
        </is>
      </c>
      <c r="H32" s="29" t="n"/>
      <c r="I32" s="32">
        <f>$A32&amp;" | "&amp;$B32</f>
        <v/>
      </c>
    </row>
    <row r="33">
      <c r="A33" s="27" t="inlineStr">
        <is>
          <t>Panadería</t>
        </is>
      </c>
      <c r="B33" s="11" t="inlineStr">
        <is>
          <t>Premezcla pan de queso</t>
        </is>
      </c>
      <c r="C33" s="18" t="inlineStr"/>
      <c r="D33" s="18" t="inlineStr"/>
      <c r="E33" s="18" t="inlineStr">
        <is>
          <t>kg</t>
        </is>
      </c>
      <c r="F33" s="28" t="n">
        <v>1</v>
      </c>
      <c r="G33" s="18" t="inlineStr">
        <is>
          <t>NO</t>
        </is>
      </c>
      <c r="H33" s="29" t="n"/>
      <c r="I33" s="30">
        <f>$A33&amp;" | "&amp;$B33</f>
        <v/>
      </c>
    </row>
    <row r="34">
      <c r="A34" s="31" t="inlineStr">
        <is>
          <t>Panadería</t>
        </is>
      </c>
      <c r="B34" s="17" t="inlineStr">
        <is>
          <t>Propionato de calcio</t>
        </is>
      </c>
      <c r="C34" s="18" t="inlineStr"/>
      <c r="D34" s="18" t="inlineStr"/>
      <c r="E34" s="18" t="inlineStr">
        <is>
          <t>kg</t>
        </is>
      </c>
      <c r="F34" s="28" t="n">
        <v>1</v>
      </c>
      <c r="G34" s="18" t="inlineStr">
        <is>
          <t>NO</t>
        </is>
      </c>
      <c r="H34" s="29" t="n"/>
      <c r="I34" s="32">
        <f>$A34&amp;" | "&amp;$B34</f>
        <v/>
      </c>
    </row>
    <row r="35">
      <c r="A35" s="27" t="inlineStr">
        <is>
          <t>Panadería</t>
        </is>
      </c>
      <c r="B35" s="11" t="inlineStr">
        <is>
          <t>Sal</t>
        </is>
      </c>
      <c r="C35" s="18" t="inlineStr"/>
      <c r="D35" s="18" t="inlineStr"/>
      <c r="E35" s="18" t="inlineStr">
        <is>
          <t>kg</t>
        </is>
      </c>
      <c r="F35" s="28" t="n">
        <v>1</v>
      </c>
      <c r="G35" s="18" t="inlineStr">
        <is>
          <t>NO</t>
        </is>
      </c>
      <c r="H35" s="29" t="n"/>
      <c r="I35" s="30">
        <f>$A35&amp;" | "&amp;$B35</f>
        <v/>
      </c>
    </row>
    <row r="36">
      <c r="A36" s="31" t="inlineStr">
        <is>
          <t>Panadería</t>
        </is>
      </c>
      <c r="B36" s="17" t="inlineStr">
        <is>
          <t>Salvado de trigo</t>
        </is>
      </c>
      <c r="C36" s="18" t="inlineStr"/>
      <c r="D36" s="18" t="inlineStr"/>
      <c r="E36" s="18" t="inlineStr">
        <is>
          <t>kg</t>
        </is>
      </c>
      <c r="F36" s="28" t="n">
        <v>1</v>
      </c>
      <c r="G36" s="18" t="inlineStr">
        <is>
          <t>NO</t>
        </is>
      </c>
      <c r="H36" s="29" t="n"/>
      <c r="I36" s="32">
        <f>$A36&amp;" | "&amp;$B36</f>
        <v/>
      </c>
    </row>
    <row r="37">
      <c r="A37" s="27" t="inlineStr">
        <is>
          <t>Panadería</t>
        </is>
      </c>
      <c r="B37" s="11" t="inlineStr">
        <is>
          <t>Semillas de amapola</t>
        </is>
      </c>
      <c r="C37" s="18" t="inlineStr"/>
      <c r="D37" s="18" t="inlineStr"/>
      <c r="E37" s="18" t="inlineStr">
        <is>
          <t>kg</t>
        </is>
      </c>
      <c r="F37" s="28" t="n">
        <v>1</v>
      </c>
      <c r="G37" s="18" t="inlineStr">
        <is>
          <t>NO</t>
        </is>
      </c>
      <c r="H37" s="29" t="n"/>
      <c r="I37" s="30">
        <f>$A37&amp;" | "&amp;$B37</f>
        <v/>
      </c>
    </row>
    <row r="38">
      <c r="A38" s="31" t="inlineStr">
        <is>
          <t>Panadería</t>
        </is>
      </c>
      <c r="B38" s="17" t="inlineStr">
        <is>
          <t>Semillas de sesamo</t>
        </is>
      </c>
      <c r="C38" s="18" t="inlineStr"/>
      <c r="D38" s="18" t="inlineStr"/>
      <c r="E38" s="18" t="inlineStr">
        <is>
          <t>kg</t>
        </is>
      </c>
      <c r="F38" s="28" t="n">
        <v>1</v>
      </c>
      <c r="G38" s="18" t="inlineStr">
        <is>
          <t>NO</t>
        </is>
      </c>
      <c r="H38" s="29" t="n"/>
      <c r="I38" s="32">
        <f>$A38&amp;" | "&amp;$B38</f>
        <v/>
      </c>
    </row>
    <row r="39">
      <c r="A39" s="27" t="inlineStr">
        <is>
          <t>Panadería</t>
        </is>
      </c>
      <c r="B39" s="11" t="inlineStr">
        <is>
          <t>Spekkel</t>
        </is>
      </c>
      <c r="C39" s="18" t="inlineStr"/>
      <c r="D39" s="18" t="inlineStr"/>
      <c r="E39" s="18" t="inlineStr">
        <is>
          <t>kg</t>
        </is>
      </c>
      <c r="F39" s="28" t="n">
        <v>1</v>
      </c>
      <c r="G39" s="18" t="inlineStr">
        <is>
          <t>NO</t>
        </is>
      </c>
      <c r="H39" s="29" t="n"/>
      <c r="I39" s="30">
        <f>$A39&amp;" | "&amp;$B39</f>
        <v/>
      </c>
    </row>
    <row r="40">
      <c r="A40" s="31" t="inlineStr">
        <is>
          <t>Panadería</t>
        </is>
      </c>
      <c r="B40" s="17" t="inlineStr">
        <is>
          <t>Oregano</t>
        </is>
      </c>
      <c r="C40" s="18" t="inlineStr"/>
      <c r="D40" s="18" t="inlineStr"/>
      <c r="E40" s="18" t="inlineStr">
        <is>
          <t>kg</t>
        </is>
      </c>
      <c r="F40" s="28" t="n">
        <v>1</v>
      </c>
      <c r="G40" s="18" t="inlineStr">
        <is>
          <t>NO</t>
        </is>
      </c>
      <c r="H40" s="29" t="n"/>
      <c r="I40" s="32">
        <f>$A40&amp;" | "&amp;$B40</f>
        <v/>
      </c>
    </row>
    <row r="41">
      <c r="A41" s="27" t="inlineStr">
        <is>
          <t>Panadería</t>
        </is>
      </c>
      <c r="B41" s="11" t="inlineStr">
        <is>
          <t>Romero</t>
        </is>
      </c>
      <c r="C41" s="18" t="inlineStr"/>
      <c r="D41" s="18" t="inlineStr"/>
      <c r="E41" s="18" t="inlineStr">
        <is>
          <t>kg</t>
        </is>
      </c>
      <c r="F41" s="28" t="n">
        <v>1</v>
      </c>
      <c r="G41" s="18" t="inlineStr">
        <is>
          <t>NO</t>
        </is>
      </c>
      <c r="H41" s="29" t="n"/>
      <c r="I41" s="30">
        <f>$A41&amp;" | "&amp;$B41</f>
        <v/>
      </c>
    </row>
    <row r="42">
      <c r="A42" s="31" t="inlineStr">
        <is>
          <t>Panadería</t>
        </is>
      </c>
      <c r="B42" s="17" t="inlineStr">
        <is>
          <t>Albahaca</t>
        </is>
      </c>
      <c r="C42" s="18" t="inlineStr"/>
      <c r="D42" s="18" t="inlineStr"/>
      <c r="E42" s="18" t="inlineStr">
        <is>
          <t>kg</t>
        </is>
      </c>
      <c r="F42" s="28" t="n">
        <v>1</v>
      </c>
      <c r="G42" s="18" t="inlineStr">
        <is>
          <t>NO</t>
        </is>
      </c>
      <c r="H42" s="29" t="n"/>
      <c r="I42" s="32">
        <f>$A42&amp;" | "&amp;$B42</f>
        <v/>
      </c>
    </row>
    <row r="43">
      <c r="A43" s="27" t="inlineStr">
        <is>
          <t>Panadería</t>
        </is>
      </c>
      <c r="B43" s="11" t="inlineStr">
        <is>
          <t>Tomates cherry</t>
        </is>
      </c>
      <c r="C43" s="18" t="inlineStr"/>
      <c r="D43" s="18" t="inlineStr">
        <is>
          <t>Verdulería</t>
        </is>
      </c>
      <c r="E43" s="18" t="inlineStr">
        <is>
          <t>kg</t>
        </is>
      </c>
      <c r="F43" s="28" t="n">
        <v>1</v>
      </c>
      <c r="G43" s="18" t="inlineStr">
        <is>
          <t>NO</t>
        </is>
      </c>
      <c r="H43" s="29" t="n"/>
      <c r="I43" s="30">
        <f>$A43&amp;" | "&amp;$B43</f>
        <v/>
      </c>
    </row>
    <row r="44">
      <c r="A44" s="31" t="inlineStr">
        <is>
          <t>Panadería</t>
        </is>
      </c>
      <c r="B44" s="17" t="inlineStr">
        <is>
          <t>Cebolla morada</t>
        </is>
      </c>
      <c r="C44" s="18" t="inlineStr"/>
      <c r="D44" s="18" t="inlineStr">
        <is>
          <t>Verdulería</t>
        </is>
      </c>
      <c r="E44" s="18" t="inlineStr">
        <is>
          <t>kg</t>
        </is>
      </c>
      <c r="F44" s="28" t="n">
        <v>1</v>
      </c>
      <c r="G44" s="18" t="inlineStr">
        <is>
          <t>NO</t>
        </is>
      </c>
      <c r="H44" s="29" t="n"/>
      <c r="I44" s="32">
        <f>$A44&amp;" | "&amp;$B44</f>
        <v/>
      </c>
    </row>
    <row r="45">
      <c r="A45" s="27" t="inlineStr">
        <is>
          <t>Panadería</t>
        </is>
      </c>
      <c r="B45" s="11" t="inlineStr">
        <is>
          <t>Albahaca hidropónica</t>
        </is>
      </c>
      <c r="C45" s="18" t="inlineStr"/>
      <c r="D45" s="18" t="inlineStr">
        <is>
          <t>Verdulería</t>
        </is>
      </c>
      <c r="E45" s="18" t="inlineStr">
        <is>
          <t>kg</t>
        </is>
      </c>
      <c r="F45" s="28" t="n">
        <v>1</v>
      </c>
      <c r="G45" s="18" t="inlineStr">
        <is>
          <t>NO</t>
        </is>
      </c>
      <c r="H45" s="29" t="n"/>
      <c r="I45" s="30">
        <f>$A45&amp;" | "&amp;$B45</f>
        <v/>
      </c>
    </row>
    <row r="46">
      <c r="A46" s="31" t="inlineStr">
        <is>
          <t>Panadería</t>
        </is>
      </c>
      <c r="B46" s="17" t="inlineStr">
        <is>
          <t>Rúcula</t>
        </is>
      </c>
      <c r="C46" s="18" t="inlineStr"/>
      <c r="D46" s="18" t="inlineStr">
        <is>
          <t>Verdulería</t>
        </is>
      </c>
      <c r="E46" s="18" t="inlineStr">
        <is>
          <t>kg</t>
        </is>
      </c>
      <c r="F46" s="28" t="n">
        <v>1</v>
      </c>
      <c r="G46" s="18" t="inlineStr">
        <is>
          <t>NO</t>
        </is>
      </c>
      <c r="H46" s="29" t="n"/>
      <c r="I46" s="32">
        <f>$A46&amp;" | "&amp;$B46</f>
        <v/>
      </c>
    </row>
    <row r="47">
      <c r="A47" s="27" t="inlineStr">
        <is>
          <t>Pastelería</t>
        </is>
      </c>
      <c r="B47" s="11" t="inlineStr">
        <is>
          <t>Almendras</t>
        </is>
      </c>
      <c r="C47" s="18" t="inlineStr"/>
      <c r="D47" s="18" t="inlineStr"/>
      <c r="E47" s="18" t="inlineStr">
        <is>
          <t>kg</t>
        </is>
      </c>
      <c r="F47" s="28" t="n">
        <v>1</v>
      </c>
      <c r="G47" s="18" t="inlineStr">
        <is>
          <t>SI</t>
        </is>
      </c>
      <c r="H47" s="29" t="n"/>
      <c r="I47" s="30">
        <f>$A47&amp;" | "&amp;$B47</f>
        <v/>
      </c>
    </row>
    <row r="48">
      <c r="A48" s="31" t="inlineStr">
        <is>
          <t>Pastelería</t>
        </is>
      </c>
      <c r="B48" s="17" t="inlineStr">
        <is>
          <t>Arandanos congelados</t>
        </is>
      </c>
      <c r="C48" s="18" t="inlineStr"/>
      <c r="D48" s="18" t="inlineStr"/>
      <c r="E48" s="18" t="inlineStr">
        <is>
          <t>kg</t>
        </is>
      </c>
      <c r="F48" s="28" t="n">
        <v>1</v>
      </c>
      <c r="G48" s="18" t="inlineStr">
        <is>
          <t>SI</t>
        </is>
      </c>
      <c r="H48" s="29" t="n"/>
      <c r="I48" s="32">
        <f>$A48&amp;" | "&amp;$B48</f>
        <v/>
      </c>
    </row>
    <row r="49">
      <c r="A49" s="27" t="inlineStr">
        <is>
          <t>Pastelería</t>
        </is>
      </c>
      <c r="B49" s="11" t="inlineStr">
        <is>
          <t>Azucar</t>
        </is>
      </c>
      <c r="C49" s="18" t="inlineStr"/>
      <c r="D49" s="18" t="inlineStr"/>
      <c r="E49" s="18" t="inlineStr">
        <is>
          <t>kg</t>
        </is>
      </c>
      <c r="F49" s="28" t="n">
        <v>1</v>
      </c>
      <c r="G49" s="18" t="inlineStr">
        <is>
          <t>SI</t>
        </is>
      </c>
      <c r="H49" s="29" t="n"/>
      <c r="I49" s="30">
        <f>$A49&amp;" | "&amp;$B49</f>
        <v/>
      </c>
    </row>
    <row r="50">
      <c r="A50" s="31" t="inlineStr">
        <is>
          <t>Pastelería</t>
        </is>
      </c>
      <c r="B50" s="17" t="inlineStr">
        <is>
          <t>Azucar impalpable</t>
        </is>
      </c>
      <c r="C50" s="18" t="inlineStr"/>
      <c r="D50" s="18" t="inlineStr"/>
      <c r="E50" s="18" t="inlineStr">
        <is>
          <t>kg</t>
        </is>
      </c>
      <c r="F50" s="28" t="n">
        <v>1</v>
      </c>
      <c r="G50" s="18" t="inlineStr">
        <is>
          <t>NO</t>
        </is>
      </c>
      <c r="H50" s="29" t="n"/>
      <c r="I50" s="32">
        <f>$A50&amp;" | "&amp;$B50</f>
        <v/>
      </c>
    </row>
    <row r="51">
      <c r="A51" s="27" t="inlineStr">
        <is>
          <t>Pastelería</t>
        </is>
      </c>
      <c r="B51" s="11" t="inlineStr">
        <is>
          <t>Baño alpino</t>
        </is>
      </c>
      <c r="C51" s="18" t="inlineStr"/>
      <c r="D51" s="18" t="inlineStr"/>
      <c r="E51" s="18" t="inlineStr">
        <is>
          <t>kg</t>
        </is>
      </c>
      <c r="F51" s="28" t="n">
        <v>1</v>
      </c>
      <c r="G51" s="18" t="inlineStr">
        <is>
          <t>SI</t>
        </is>
      </c>
      <c r="H51" s="29" t="n"/>
      <c r="I51" s="30">
        <f>$A51&amp;" | "&amp;$B51</f>
        <v/>
      </c>
    </row>
    <row r="52">
      <c r="A52" s="31" t="inlineStr">
        <is>
          <t>Pastelería</t>
        </is>
      </c>
      <c r="B52" s="17" t="inlineStr">
        <is>
          <t>Baño lodiser semiamargo</t>
        </is>
      </c>
      <c r="C52" s="18" t="inlineStr"/>
      <c r="D52" s="18" t="inlineStr"/>
      <c r="E52" s="18" t="inlineStr">
        <is>
          <t>kg</t>
        </is>
      </c>
      <c r="F52" s="28" t="n">
        <v>1</v>
      </c>
      <c r="G52" s="18" t="inlineStr">
        <is>
          <t>SI</t>
        </is>
      </c>
      <c r="H52" s="29" t="n"/>
      <c r="I52" s="32">
        <f>$A52&amp;" | "&amp;$B52</f>
        <v/>
      </c>
    </row>
    <row r="53">
      <c r="A53" s="27" t="inlineStr">
        <is>
          <t>Pastelería</t>
        </is>
      </c>
      <c r="B53" s="11" t="inlineStr">
        <is>
          <t>Cacao</t>
        </is>
      </c>
      <c r="C53" s="18" t="inlineStr"/>
      <c r="D53" s="18" t="inlineStr"/>
      <c r="E53" s="18" t="inlineStr">
        <is>
          <t>kg</t>
        </is>
      </c>
      <c r="F53" s="28" t="n">
        <v>1</v>
      </c>
      <c r="G53" s="18" t="inlineStr">
        <is>
          <t>NO</t>
        </is>
      </c>
      <c r="H53" s="29" t="n"/>
      <c r="I53" s="30">
        <f>$A53&amp;" | "&amp;$B53</f>
        <v/>
      </c>
    </row>
    <row r="54">
      <c r="A54" s="31" t="inlineStr">
        <is>
          <t>Pastelería</t>
        </is>
      </c>
      <c r="B54" s="17" t="inlineStr">
        <is>
          <t>Chocolate chip</t>
        </is>
      </c>
      <c r="C54" s="18" t="inlineStr"/>
      <c r="D54" s="18" t="inlineStr"/>
      <c r="E54" s="18" t="inlineStr">
        <is>
          <t>kg</t>
        </is>
      </c>
      <c r="F54" s="28" t="n">
        <v>1</v>
      </c>
      <c r="G54" s="18" t="inlineStr">
        <is>
          <t>SI</t>
        </is>
      </c>
      <c r="H54" s="29" t="n"/>
      <c r="I54" s="32">
        <f>$A54&amp;" | "&amp;$B54</f>
        <v/>
      </c>
    </row>
    <row r="55">
      <c r="A55" s="27" t="inlineStr">
        <is>
          <t>Pastelería</t>
        </is>
      </c>
      <c r="B55" s="11" t="inlineStr">
        <is>
          <t>Chocolate gotas</t>
        </is>
      </c>
      <c r="C55" s="18" t="inlineStr"/>
      <c r="D55" s="18" t="inlineStr"/>
      <c r="E55" s="18" t="inlineStr">
        <is>
          <t>kg</t>
        </is>
      </c>
      <c r="F55" s="28" t="n">
        <v>1</v>
      </c>
      <c r="G55" s="18" t="inlineStr">
        <is>
          <t>SI</t>
        </is>
      </c>
      <c r="H55" s="29" t="n"/>
      <c r="I55" s="30">
        <f>$A55&amp;" | "&amp;$B55</f>
        <v/>
      </c>
    </row>
    <row r="56">
      <c r="A56" s="31" t="inlineStr">
        <is>
          <t>Pastelería</t>
        </is>
      </c>
      <c r="B56" s="17" t="inlineStr">
        <is>
          <t>Chocolate moldeo</t>
        </is>
      </c>
      <c r="C56" s="18" t="inlineStr"/>
      <c r="D56" s="18" t="inlineStr"/>
      <c r="E56" s="18" t="inlineStr">
        <is>
          <t>kg</t>
        </is>
      </c>
      <c r="F56" s="28" t="n">
        <v>1</v>
      </c>
      <c r="G56" s="18" t="inlineStr">
        <is>
          <t>SI</t>
        </is>
      </c>
      <c r="H56" s="29" t="n"/>
      <c r="I56" s="32">
        <f>$A56&amp;" | "&amp;$B56</f>
        <v/>
      </c>
    </row>
    <row r="57">
      <c r="A57" s="27" t="inlineStr">
        <is>
          <t>Pastelería</t>
        </is>
      </c>
      <c r="B57" s="11" t="inlineStr">
        <is>
          <t>Coco rallado</t>
        </is>
      </c>
      <c r="C57" s="18" t="inlineStr"/>
      <c r="D57" s="18" t="inlineStr"/>
      <c r="E57" s="18" t="inlineStr">
        <is>
          <t>kg</t>
        </is>
      </c>
      <c r="F57" s="28" t="n">
        <v>1</v>
      </c>
      <c r="G57" s="18" t="inlineStr">
        <is>
          <t>NO</t>
        </is>
      </c>
      <c r="H57" s="29" t="n"/>
      <c r="I57" s="30">
        <f>$A57&amp;" | "&amp;$B57</f>
        <v/>
      </c>
    </row>
    <row r="58">
      <c r="A58" s="31" t="inlineStr">
        <is>
          <t>Pastelería</t>
        </is>
      </c>
      <c r="B58" s="17" t="inlineStr">
        <is>
          <t>Confites mini</t>
        </is>
      </c>
      <c r="C58" s="18" t="inlineStr"/>
      <c r="D58" s="18" t="inlineStr"/>
      <c r="E58" s="18" t="inlineStr">
        <is>
          <t>kg</t>
        </is>
      </c>
      <c r="F58" s="28" t="n">
        <v>1</v>
      </c>
      <c r="G58" s="18" t="inlineStr">
        <is>
          <t>NO</t>
        </is>
      </c>
      <c r="H58" s="29" t="n"/>
      <c r="I58" s="32">
        <f>$A58&amp;" | "&amp;$B58</f>
        <v/>
      </c>
    </row>
    <row r="59">
      <c r="A59" s="27" t="inlineStr">
        <is>
          <t>Pastelería</t>
        </is>
      </c>
      <c r="B59" s="11" t="inlineStr">
        <is>
          <t>Crema de leche</t>
        </is>
      </c>
      <c r="C59" s="18" t="inlineStr"/>
      <c r="D59" s="18" t="inlineStr"/>
      <c r="E59" s="18" t="inlineStr">
        <is>
          <t>L</t>
        </is>
      </c>
      <c r="F59" s="28" t="n">
        <v>1</v>
      </c>
      <c r="G59" s="18" t="inlineStr">
        <is>
          <t>SI</t>
        </is>
      </c>
      <c r="H59" s="29" t="n"/>
      <c r="I59" s="30">
        <f>$A59&amp;" | "&amp;$B59</f>
        <v/>
      </c>
    </row>
    <row r="60">
      <c r="A60" s="31" t="inlineStr">
        <is>
          <t>Pastelería</t>
        </is>
      </c>
      <c r="B60" s="17" t="inlineStr">
        <is>
          <t>Crema Vegetal</t>
        </is>
      </c>
      <c r="C60" s="18" t="inlineStr"/>
      <c r="D60" s="18" t="inlineStr"/>
      <c r="E60" s="18" t="inlineStr">
        <is>
          <t>L</t>
        </is>
      </c>
      <c r="F60" s="28" t="n">
        <v>1</v>
      </c>
      <c r="G60" s="18" t="inlineStr">
        <is>
          <t>SI</t>
        </is>
      </c>
      <c r="H60" s="29" t="n"/>
      <c r="I60" s="32">
        <f>$A60&amp;" | "&amp;$B60</f>
        <v/>
      </c>
    </row>
    <row r="61">
      <c r="A61" s="27" t="inlineStr">
        <is>
          <t>Pastelería</t>
        </is>
      </c>
      <c r="B61" s="11" t="inlineStr">
        <is>
          <t>Crocante de mani</t>
        </is>
      </c>
      <c r="C61" s="18" t="inlineStr"/>
      <c r="D61" s="18" t="inlineStr"/>
      <c r="E61" s="18" t="inlineStr">
        <is>
          <t>kg</t>
        </is>
      </c>
      <c r="F61" s="28" t="n">
        <v>1</v>
      </c>
      <c r="G61" s="18" t="inlineStr">
        <is>
          <t>NO</t>
        </is>
      </c>
      <c r="H61" s="29" t="n"/>
      <c r="I61" s="30">
        <f>$A61&amp;" | "&amp;$B61</f>
        <v/>
      </c>
    </row>
    <row r="62">
      <c r="A62" s="31" t="inlineStr">
        <is>
          <t>Pastelería</t>
        </is>
      </c>
      <c r="B62" s="17" t="inlineStr">
        <is>
          <t>Dulce de leche repostero</t>
        </is>
      </c>
      <c r="C62" s="18" t="inlineStr"/>
      <c r="D62" s="18" t="inlineStr"/>
      <c r="E62" s="18" t="inlineStr">
        <is>
          <t>kg</t>
        </is>
      </c>
      <c r="F62" s="28" t="n">
        <v>1</v>
      </c>
      <c r="G62" s="18" t="inlineStr">
        <is>
          <t>SI</t>
        </is>
      </c>
      <c r="H62" s="29" t="n"/>
      <c r="I62" s="32">
        <f>$A62&amp;" | "&amp;$B62</f>
        <v/>
      </c>
    </row>
    <row r="63">
      <c r="A63" s="27" t="inlineStr">
        <is>
          <t>Pastelería</t>
        </is>
      </c>
      <c r="B63" s="11" t="inlineStr">
        <is>
          <t>Dulce de membrillo</t>
        </is>
      </c>
      <c r="C63" s="18" t="inlineStr"/>
      <c r="D63" s="18" t="inlineStr"/>
      <c r="E63" s="18" t="inlineStr">
        <is>
          <t>kg</t>
        </is>
      </c>
      <c r="F63" s="28" t="n">
        <v>1</v>
      </c>
      <c r="G63" s="18" t="inlineStr">
        <is>
          <t>NO</t>
        </is>
      </c>
      <c r="H63" s="29" t="n"/>
      <c r="I63" s="30">
        <f>$A63&amp;" | "&amp;$B63</f>
        <v/>
      </c>
    </row>
    <row r="64">
      <c r="A64" s="31" t="inlineStr">
        <is>
          <t>Pastelería</t>
        </is>
      </c>
      <c r="B64" s="17" t="inlineStr">
        <is>
          <t>Durazno al natural</t>
        </is>
      </c>
      <c r="C64" s="18" t="inlineStr"/>
      <c r="D64" s="18" t="inlineStr"/>
      <c r="E64" s="18" t="inlineStr">
        <is>
          <t>kg</t>
        </is>
      </c>
      <c r="F64" s="28" t="n">
        <v>1</v>
      </c>
      <c r="G64" s="18" t="inlineStr">
        <is>
          <t>NO</t>
        </is>
      </c>
      <c r="H64" s="29" t="n"/>
      <c r="I64" s="32">
        <f>$A64&amp;" | "&amp;$B64</f>
        <v/>
      </c>
    </row>
    <row r="65">
      <c r="A65" s="27" t="inlineStr">
        <is>
          <t>Pastelería</t>
        </is>
      </c>
      <c r="B65" s="11" t="inlineStr">
        <is>
          <t>Esencia de vainilla</t>
        </is>
      </c>
      <c r="C65" s="18" t="inlineStr"/>
      <c r="D65" s="18" t="inlineStr"/>
      <c r="E65" s="18" t="inlineStr">
        <is>
          <t>L</t>
        </is>
      </c>
      <c r="F65" s="28" t="n">
        <v>1</v>
      </c>
      <c r="G65" s="18" t="inlineStr">
        <is>
          <t>NO</t>
        </is>
      </c>
      <c r="H65" s="29" t="n"/>
      <c r="I65" s="30">
        <f>$A65&amp;" | "&amp;$B65</f>
        <v/>
      </c>
    </row>
    <row r="66">
      <c r="A66" s="31" t="inlineStr">
        <is>
          <t>Pastelería</t>
        </is>
      </c>
      <c r="B66" s="17" t="inlineStr">
        <is>
          <t>Fondant</t>
        </is>
      </c>
      <c r="C66" s="18" t="inlineStr"/>
      <c r="D66" s="18" t="inlineStr"/>
      <c r="E66" s="18" t="inlineStr">
        <is>
          <t>kg</t>
        </is>
      </c>
      <c r="F66" s="28" t="n">
        <v>1</v>
      </c>
      <c r="G66" s="18" t="inlineStr">
        <is>
          <t>NO</t>
        </is>
      </c>
      <c r="H66" s="29" t="n"/>
      <c r="I66" s="32">
        <f>$A66&amp;" | "&amp;$B66</f>
        <v/>
      </c>
    </row>
    <row r="67">
      <c r="A67" s="27" t="inlineStr">
        <is>
          <t>Pastelería</t>
        </is>
      </c>
      <c r="B67" s="11" t="inlineStr">
        <is>
          <t>Fruta abrillantada</t>
        </is>
      </c>
      <c r="C67" s="18" t="inlineStr"/>
      <c r="D67" s="18" t="inlineStr"/>
      <c r="E67" s="18" t="inlineStr">
        <is>
          <t>kg</t>
        </is>
      </c>
      <c r="F67" s="28" t="n">
        <v>1</v>
      </c>
      <c r="G67" s="18" t="inlineStr">
        <is>
          <t>NO</t>
        </is>
      </c>
      <c r="H67" s="29" t="n"/>
      <c r="I67" s="30">
        <f>$A67&amp;" | "&amp;$B67</f>
        <v/>
      </c>
    </row>
    <row r="68">
      <c r="A68" s="31" t="inlineStr">
        <is>
          <t>Pastelería</t>
        </is>
      </c>
      <c r="B68" s="17" t="inlineStr">
        <is>
          <t>Frutillas</t>
        </is>
      </c>
      <c r="C68" s="18" t="inlineStr"/>
      <c r="D68" s="18" t="inlineStr"/>
      <c r="E68" s="18" t="inlineStr">
        <is>
          <t>kg</t>
        </is>
      </c>
      <c r="F68" s="28" t="n">
        <v>1</v>
      </c>
      <c r="G68" s="18" t="inlineStr">
        <is>
          <t>NO</t>
        </is>
      </c>
      <c r="H68" s="29" t="n"/>
      <c r="I68" s="32">
        <f>$A68&amp;" | "&amp;$B68</f>
        <v/>
      </c>
    </row>
    <row r="69">
      <c r="A69" s="27" t="inlineStr">
        <is>
          <t>Pastelería</t>
        </is>
      </c>
      <c r="B69" s="11" t="inlineStr">
        <is>
          <t>Frutos del bosque</t>
        </is>
      </c>
      <c r="C69" s="18" t="inlineStr"/>
      <c r="D69" s="18" t="inlineStr"/>
      <c r="E69" s="18" t="inlineStr">
        <is>
          <t>kg</t>
        </is>
      </c>
      <c r="F69" s="28" t="n">
        <v>1</v>
      </c>
      <c r="G69" s="18" t="inlineStr">
        <is>
          <t>SI</t>
        </is>
      </c>
      <c r="H69" s="29" t="n"/>
      <c r="I69" s="30">
        <f>$A69&amp;" | "&amp;$B69</f>
        <v/>
      </c>
    </row>
    <row r="70">
      <c r="A70" s="31" t="inlineStr">
        <is>
          <t>Pastelería</t>
        </is>
      </c>
      <c r="B70" s="17" t="inlineStr">
        <is>
          <t>Galletas chocolinas</t>
        </is>
      </c>
      <c r="C70" s="18" t="inlineStr"/>
      <c r="D70" s="18" t="inlineStr"/>
      <c r="E70" s="18" t="inlineStr">
        <is>
          <t>kg</t>
        </is>
      </c>
      <c r="F70" s="28" t="n">
        <v>1</v>
      </c>
      <c r="G70" s="18" t="inlineStr">
        <is>
          <t>NO</t>
        </is>
      </c>
      <c r="H70" s="29" t="n"/>
      <c r="I70" s="32">
        <f>$A70&amp;" | "&amp;$B70</f>
        <v/>
      </c>
    </row>
    <row r="71">
      <c r="A71" s="27" t="inlineStr">
        <is>
          <t>Pastelería</t>
        </is>
      </c>
      <c r="B71" s="11" t="inlineStr">
        <is>
          <t>Galletas oreo</t>
        </is>
      </c>
      <c r="C71" s="18" t="inlineStr"/>
      <c r="D71" s="18" t="inlineStr"/>
      <c r="E71" s="18" t="inlineStr">
        <is>
          <t>kg</t>
        </is>
      </c>
      <c r="F71" s="28" t="n">
        <v>1</v>
      </c>
      <c r="G71" s="18" t="inlineStr">
        <is>
          <t>NO</t>
        </is>
      </c>
      <c r="H71" s="29" t="n"/>
      <c r="I71" s="30">
        <f>$A71&amp;" | "&amp;$B71</f>
        <v/>
      </c>
    </row>
    <row r="72">
      <c r="A72" s="31" t="inlineStr">
        <is>
          <t>Pastelería</t>
        </is>
      </c>
      <c r="B72" s="17" t="inlineStr">
        <is>
          <t>Huevos</t>
        </is>
      </c>
      <c r="C72" s="18" t="inlineStr"/>
      <c r="D72" s="18" t="inlineStr"/>
      <c r="E72" s="18" t="inlineStr">
        <is>
          <t>u</t>
        </is>
      </c>
      <c r="F72" s="28" t="n">
        <v>30</v>
      </c>
      <c r="G72" s="18" t="inlineStr">
        <is>
          <t>SI</t>
        </is>
      </c>
      <c r="H72" s="29" t="n"/>
      <c r="I72" s="32">
        <f>$A72&amp;" | "&amp;$B72</f>
        <v/>
      </c>
    </row>
    <row r="73">
      <c r="A73" s="27" t="inlineStr">
        <is>
          <t>Pastelería</t>
        </is>
      </c>
      <c r="B73" s="11" t="inlineStr">
        <is>
          <t>Leche entera</t>
        </is>
      </c>
      <c r="C73" s="18" t="inlineStr"/>
      <c r="D73" s="18" t="inlineStr"/>
      <c r="E73" s="18" t="inlineStr">
        <is>
          <t>L</t>
        </is>
      </c>
      <c r="F73" s="28" t="n">
        <v>1</v>
      </c>
      <c r="G73" s="18" t="inlineStr">
        <is>
          <t>SI</t>
        </is>
      </c>
      <c r="H73" s="29" t="n"/>
      <c r="I73" s="30">
        <f>$A73&amp;" | "&amp;$B73</f>
        <v/>
      </c>
    </row>
    <row r="74">
      <c r="A74" s="31" t="inlineStr">
        <is>
          <t>Pastelería</t>
        </is>
      </c>
      <c r="B74" s="17" t="inlineStr">
        <is>
          <t>Manteca</t>
        </is>
      </c>
      <c r="C74" s="18" t="inlineStr"/>
      <c r="D74" s="18" t="inlineStr"/>
      <c r="E74" s="18" t="inlineStr">
        <is>
          <t>kg</t>
        </is>
      </c>
      <c r="F74" s="28" t="n">
        <v>1</v>
      </c>
      <c r="G74" s="18" t="inlineStr">
        <is>
          <t>SI</t>
        </is>
      </c>
      <c r="H74" s="29" t="n"/>
      <c r="I74" s="32">
        <f>$A74&amp;" | "&amp;$B74</f>
        <v/>
      </c>
    </row>
    <row r="75">
      <c r="A75" s="27" t="inlineStr">
        <is>
          <t>Pastelería</t>
        </is>
      </c>
      <c r="B75" s="11" t="inlineStr">
        <is>
          <t>Mermelada durazno</t>
        </is>
      </c>
      <c r="C75" s="18" t="inlineStr"/>
      <c r="D75" s="18" t="inlineStr"/>
      <c r="E75" s="18" t="inlineStr">
        <is>
          <t>kg</t>
        </is>
      </c>
      <c r="F75" s="28" t="n">
        <v>1</v>
      </c>
      <c r="G75" s="18" t="inlineStr">
        <is>
          <t>NO</t>
        </is>
      </c>
      <c r="H75" s="29" t="n"/>
      <c r="I75" s="30">
        <f>$A75&amp;" | "&amp;$B75</f>
        <v/>
      </c>
    </row>
    <row r="76">
      <c r="A76" s="31" t="inlineStr">
        <is>
          <t>Pastelería</t>
        </is>
      </c>
      <c r="B76" s="17" t="inlineStr">
        <is>
          <t>Mermelada membrillo</t>
        </is>
      </c>
      <c r="C76" s="18" t="inlineStr"/>
      <c r="D76" s="18" t="inlineStr"/>
      <c r="E76" s="18" t="inlineStr">
        <is>
          <t>kg</t>
        </is>
      </c>
      <c r="F76" s="28" t="n">
        <v>1</v>
      </c>
      <c r="G76" s="18" t="inlineStr">
        <is>
          <t>NO</t>
        </is>
      </c>
      <c r="H76" s="29" t="n"/>
      <c r="I76" s="32">
        <f>$A76&amp;" | "&amp;$B76</f>
        <v/>
      </c>
    </row>
    <row r="77">
      <c r="A77" s="27" t="inlineStr">
        <is>
          <t>Pastelería</t>
        </is>
      </c>
      <c r="B77" s="11" t="inlineStr">
        <is>
          <t>Miel de abeja</t>
        </is>
      </c>
      <c r="C77" s="18" t="inlineStr"/>
      <c r="D77" s="18" t="inlineStr"/>
      <c r="E77" s="18" t="inlineStr">
        <is>
          <t>kg</t>
        </is>
      </c>
      <c r="F77" s="28" t="n">
        <v>5</v>
      </c>
      <c r="G77" s="18" t="inlineStr">
        <is>
          <t>NO</t>
        </is>
      </c>
      <c r="H77" s="29" t="n"/>
      <c r="I77" s="30">
        <f>$A77&amp;" | "&amp;$B77</f>
        <v/>
      </c>
    </row>
    <row r="78">
      <c r="A78" s="31" t="inlineStr">
        <is>
          <t>Pastelería</t>
        </is>
      </c>
      <c r="B78" s="17" t="inlineStr">
        <is>
          <t>Mix de frutos rojos</t>
        </is>
      </c>
      <c r="C78" s="18" t="inlineStr"/>
      <c r="D78" s="18" t="inlineStr"/>
      <c r="E78" s="18" t="inlineStr">
        <is>
          <t>kg</t>
        </is>
      </c>
      <c r="F78" s="28" t="n">
        <v>1</v>
      </c>
      <c r="G78" s="18" t="inlineStr">
        <is>
          <t>SI</t>
        </is>
      </c>
      <c r="H78" s="29" t="n"/>
      <c r="I78" s="32">
        <f>$A78&amp;" | "&amp;$B78</f>
        <v/>
      </c>
    </row>
    <row r="79">
      <c r="A79" s="27" t="inlineStr">
        <is>
          <t>Pastelería</t>
        </is>
      </c>
      <c r="B79" s="11" t="inlineStr">
        <is>
          <t>Nueces</t>
        </is>
      </c>
      <c r="C79" s="18" t="inlineStr"/>
      <c r="D79" s="18" t="inlineStr"/>
      <c r="E79" s="18" t="inlineStr">
        <is>
          <t>kg</t>
        </is>
      </c>
      <c r="F79" s="28" t="n">
        <v>1</v>
      </c>
      <c r="G79" s="18" t="inlineStr">
        <is>
          <t>SI</t>
        </is>
      </c>
      <c r="H79" s="29" t="n"/>
      <c r="I79" s="30">
        <f>$A79&amp;" | "&amp;$B79</f>
        <v/>
      </c>
    </row>
    <row r="80">
      <c r="A80" s="31" t="inlineStr">
        <is>
          <t>Pastelería</t>
        </is>
      </c>
      <c r="B80" s="17" t="inlineStr">
        <is>
          <t>Nutella</t>
        </is>
      </c>
      <c r="C80" s="18" t="inlineStr"/>
      <c r="D80" s="18" t="inlineStr"/>
      <c r="E80" s="18" t="inlineStr">
        <is>
          <t>kg</t>
        </is>
      </c>
      <c r="F80" s="28" t="n">
        <v>1</v>
      </c>
      <c r="G80" s="18" t="inlineStr">
        <is>
          <t>SI</t>
        </is>
      </c>
      <c r="H80" s="29" t="n"/>
      <c r="I80" s="32">
        <f>$A80&amp;" | "&amp;$B80</f>
        <v/>
      </c>
    </row>
    <row r="81">
      <c r="A81" s="27" t="inlineStr">
        <is>
          <t>Pastelería</t>
        </is>
      </c>
      <c r="B81" s="11" t="inlineStr">
        <is>
          <t>Pistachos</t>
        </is>
      </c>
      <c r="C81" s="18" t="inlineStr"/>
      <c r="D81" s="18" t="inlineStr"/>
      <c r="E81" s="18" t="inlineStr">
        <is>
          <t>kg</t>
        </is>
      </c>
      <c r="F81" s="28" t="n">
        <v>1</v>
      </c>
      <c r="G81" s="18" t="inlineStr">
        <is>
          <t>SI</t>
        </is>
      </c>
      <c r="H81" s="29" t="n"/>
      <c r="I81" s="30">
        <f>$A81&amp;" | "&amp;$B81</f>
        <v/>
      </c>
    </row>
    <row r="82">
      <c r="A82" s="31" t="inlineStr">
        <is>
          <t>Pastelería</t>
        </is>
      </c>
      <c r="B82" s="17" t="inlineStr">
        <is>
          <t>Satin carrot</t>
        </is>
      </c>
      <c r="C82" s="18" t="inlineStr"/>
      <c r="D82" s="18" t="inlineStr"/>
      <c r="E82" s="18" t="inlineStr">
        <is>
          <t>kg</t>
        </is>
      </c>
      <c r="F82" s="28" t="n">
        <v>1</v>
      </c>
      <c r="G82" s="18" t="inlineStr">
        <is>
          <t>NO</t>
        </is>
      </c>
      <c r="H82" s="29" t="n"/>
      <c r="I82" s="32">
        <f>$A82&amp;" | "&amp;$B82</f>
        <v/>
      </c>
    </row>
    <row r="83">
      <c r="A83" s="27" t="inlineStr">
        <is>
          <t>Pastelería</t>
        </is>
      </c>
      <c r="B83" s="11" t="inlineStr">
        <is>
          <t>Tegral brownie</t>
        </is>
      </c>
      <c r="C83" s="18" t="inlineStr"/>
      <c r="D83" s="18" t="inlineStr"/>
      <c r="E83" s="18" t="inlineStr">
        <is>
          <t>kg</t>
        </is>
      </c>
      <c r="F83" s="28" t="n">
        <v>1</v>
      </c>
      <c r="G83" s="18" t="inlineStr">
        <is>
          <t>NO</t>
        </is>
      </c>
      <c r="H83" s="29" t="n"/>
      <c r="I83" s="30">
        <f>$A83&amp;" | "&amp;$B83</f>
        <v/>
      </c>
    </row>
    <row r="84">
      <c r="A84" s="31" t="inlineStr">
        <is>
          <t>Pastelería</t>
        </is>
      </c>
      <c r="B84" s="17" t="inlineStr">
        <is>
          <t>Variegato Maracuya</t>
        </is>
      </c>
      <c r="C84" s="18" t="inlineStr"/>
      <c r="D84" s="18" t="inlineStr"/>
      <c r="E84" s="18" t="inlineStr">
        <is>
          <t>L</t>
        </is>
      </c>
      <c r="F84" s="28" t="n">
        <v>1</v>
      </c>
      <c r="G84" s="18" t="inlineStr">
        <is>
          <t>NO</t>
        </is>
      </c>
      <c r="H84" s="29" t="n"/>
      <c r="I84" s="32">
        <f>$A84&amp;" | "&amp;$B84</f>
        <v/>
      </c>
    </row>
    <row r="85">
      <c r="A85" s="27" t="inlineStr">
        <is>
          <t>Pastelería</t>
        </is>
      </c>
      <c r="B85" s="11" t="inlineStr">
        <is>
          <t>Frutilla</t>
        </is>
      </c>
      <c r="C85" s="18" t="inlineStr"/>
      <c r="D85" s="18" t="inlineStr">
        <is>
          <t>Verdulería</t>
        </is>
      </c>
      <c r="E85" s="18" t="inlineStr">
        <is>
          <t>kg</t>
        </is>
      </c>
      <c r="F85" s="28" t="n">
        <v>1</v>
      </c>
      <c r="G85" s="18" t="inlineStr">
        <is>
          <t>NO</t>
        </is>
      </c>
      <c r="H85" s="29" t="n"/>
      <c r="I85" s="30">
        <f>$A85&amp;" | "&amp;$B85</f>
        <v/>
      </c>
    </row>
    <row r="86">
      <c r="A86" s="31" t="inlineStr">
        <is>
          <t>Pastelería</t>
        </is>
      </c>
      <c r="B86" s="17" t="inlineStr">
        <is>
          <t>Arándanos</t>
        </is>
      </c>
      <c r="C86" s="18" t="inlineStr"/>
      <c r="D86" s="18" t="inlineStr">
        <is>
          <t>Verdulería</t>
        </is>
      </c>
      <c r="E86" s="18" t="inlineStr">
        <is>
          <t>kg</t>
        </is>
      </c>
      <c r="F86" s="28" t="n">
        <v>1</v>
      </c>
      <c r="G86" s="18" t="inlineStr">
        <is>
          <t>NO</t>
        </is>
      </c>
      <c r="H86" s="29" t="n"/>
      <c r="I86" s="32">
        <f>$A86&amp;" | "&amp;$B86</f>
        <v/>
      </c>
    </row>
    <row r="87">
      <c r="A87" s="27" t="inlineStr">
        <is>
          <t>Pastelería</t>
        </is>
      </c>
      <c r="B87" s="11" t="inlineStr">
        <is>
          <t>Limón</t>
        </is>
      </c>
      <c r="C87" s="18" t="inlineStr"/>
      <c r="D87" s="18" t="inlineStr">
        <is>
          <t>Verdulería</t>
        </is>
      </c>
      <c r="E87" s="18" t="inlineStr">
        <is>
          <t>kg</t>
        </is>
      </c>
      <c r="F87" s="28" t="n">
        <v>1</v>
      </c>
      <c r="G87" s="18" t="inlineStr">
        <is>
          <t>NO</t>
        </is>
      </c>
      <c r="H87" s="29" t="n"/>
      <c r="I87" s="30">
        <f>$A87&amp;" | "&amp;$B87</f>
        <v/>
      </c>
    </row>
    <row r="88">
      <c r="A88" s="31" t="inlineStr">
        <is>
          <t>Pastelería</t>
        </is>
      </c>
      <c r="B88" s="17" t="inlineStr">
        <is>
          <t>Durazno</t>
        </is>
      </c>
      <c r="C88" s="18" t="inlineStr"/>
      <c r="D88" s="18" t="inlineStr">
        <is>
          <t>Verdulería</t>
        </is>
      </c>
      <c r="E88" s="18" t="inlineStr">
        <is>
          <t>kg</t>
        </is>
      </c>
      <c r="F88" s="28" t="n">
        <v>1</v>
      </c>
      <c r="G88" s="18" t="inlineStr">
        <is>
          <t>NO</t>
        </is>
      </c>
      <c r="H88" s="29" t="n"/>
      <c r="I88" s="32">
        <f>$A88&amp;" | "&amp;$B88</f>
        <v/>
      </c>
    </row>
    <row r="89">
      <c r="A89" s="27" t="inlineStr">
        <is>
          <t>Pastelería</t>
        </is>
      </c>
      <c r="B89" s="11" t="inlineStr">
        <is>
          <t>Kiwi</t>
        </is>
      </c>
      <c r="C89" s="18" t="inlineStr"/>
      <c r="D89" s="18" t="inlineStr">
        <is>
          <t>Verdulería</t>
        </is>
      </c>
      <c r="E89" s="18" t="inlineStr">
        <is>
          <t>kg</t>
        </is>
      </c>
      <c r="F89" s="28" t="n">
        <v>1</v>
      </c>
      <c r="G89" s="18" t="inlineStr">
        <is>
          <t>NO</t>
        </is>
      </c>
      <c r="H89" s="29" t="n"/>
      <c r="I89" s="30">
        <f>$A89&amp;" | "&amp;$B89</f>
        <v/>
      </c>
    </row>
    <row r="90">
      <c r="A90" s="31" t="inlineStr">
        <is>
          <t>Pastelería</t>
        </is>
      </c>
      <c r="B90" s="17" t="inlineStr">
        <is>
          <t>Ananá</t>
        </is>
      </c>
      <c r="C90" s="18" t="inlineStr"/>
      <c r="D90" s="18" t="inlineStr">
        <is>
          <t>Verdulería</t>
        </is>
      </c>
      <c r="E90" s="18" t="inlineStr">
        <is>
          <t>kg</t>
        </is>
      </c>
      <c r="F90" s="28" t="n">
        <v>1</v>
      </c>
      <c r="G90" s="18" t="inlineStr">
        <is>
          <t>NO</t>
        </is>
      </c>
      <c r="H90" s="29" t="n"/>
      <c r="I90" s="32">
        <f>$A90&amp;" | "&amp;$B90</f>
        <v/>
      </c>
    </row>
    <row r="91">
      <c r="A91" s="27" t="inlineStr">
        <is>
          <t>Especialidades</t>
        </is>
      </c>
      <c r="B91" s="11" t="inlineStr">
        <is>
          <t>Almidón de maiz</t>
        </is>
      </c>
      <c r="C91" s="18" t="inlineStr"/>
      <c r="D91" s="18" t="inlineStr"/>
      <c r="E91" s="18" t="inlineStr">
        <is>
          <t>kg</t>
        </is>
      </c>
      <c r="F91" s="28" t="n">
        <v>1</v>
      </c>
      <c r="G91" s="18" t="inlineStr">
        <is>
          <t>NO</t>
        </is>
      </c>
      <c r="H91" s="29" t="n"/>
      <c r="I91" s="30">
        <f>$A91&amp;" | "&amp;$B91</f>
        <v/>
      </c>
    </row>
    <row r="92">
      <c r="A92" s="31" t="inlineStr">
        <is>
          <t>Especialidades</t>
        </is>
      </c>
      <c r="B92" s="17" t="inlineStr">
        <is>
          <t>Azucar</t>
        </is>
      </c>
      <c r="C92" s="18" t="inlineStr"/>
      <c r="D92" s="18" t="inlineStr"/>
      <c r="E92" s="18" t="inlineStr">
        <is>
          <t>kg</t>
        </is>
      </c>
      <c r="F92" s="28" t="n">
        <v>1</v>
      </c>
      <c r="G92" s="18" t="inlineStr">
        <is>
          <t>SI</t>
        </is>
      </c>
      <c r="H92" s="29" t="n"/>
      <c r="I92" s="32">
        <f>$A92&amp;" | "&amp;$B92</f>
        <v/>
      </c>
    </row>
    <row r="93">
      <c r="A93" s="27" t="inlineStr">
        <is>
          <t>Especialidades</t>
        </is>
      </c>
      <c r="B93" s="11" t="inlineStr">
        <is>
          <t>Dulce de leche repostero</t>
        </is>
      </c>
      <c r="C93" s="18" t="inlineStr"/>
      <c r="D93" s="18" t="inlineStr"/>
      <c r="E93" s="18" t="inlineStr">
        <is>
          <t>kg</t>
        </is>
      </c>
      <c r="F93" s="28" t="n">
        <v>1</v>
      </c>
      <c r="G93" s="18" t="inlineStr">
        <is>
          <t>SI</t>
        </is>
      </c>
      <c r="H93" s="29" t="n"/>
      <c r="I93" s="30">
        <f>$A93&amp;" | "&amp;$B93</f>
        <v/>
      </c>
    </row>
    <row r="94">
      <c r="A94" s="31" t="inlineStr">
        <is>
          <t>Especialidades</t>
        </is>
      </c>
      <c r="B94" s="17" t="inlineStr">
        <is>
          <t>Esencia de vainilla</t>
        </is>
      </c>
      <c r="C94" s="18" t="inlineStr"/>
      <c r="D94" s="18" t="inlineStr"/>
      <c r="E94" s="18" t="inlineStr">
        <is>
          <t>L</t>
        </is>
      </c>
      <c r="F94" s="28" t="n">
        <v>1</v>
      </c>
      <c r="G94" s="18" t="inlineStr">
        <is>
          <t>NO</t>
        </is>
      </c>
      <c r="H94" s="29" t="n"/>
      <c r="I94" s="32">
        <f>$A94&amp;" | "&amp;$B94</f>
        <v/>
      </c>
    </row>
    <row r="95">
      <c r="A95" s="27" t="inlineStr">
        <is>
          <t>Especialidades</t>
        </is>
      </c>
      <c r="B95" s="11" t="inlineStr">
        <is>
          <t>Fecula</t>
        </is>
      </c>
      <c r="C95" s="18" t="inlineStr"/>
      <c r="D95" s="18" t="inlineStr"/>
      <c r="E95" s="18" t="inlineStr">
        <is>
          <t>kg</t>
        </is>
      </c>
      <c r="F95" s="28" t="n">
        <v>1</v>
      </c>
      <c r="G95" s="18" t="inlineStr">
        <is>
          <t>NO</t>
        </is>
      </c>
      <c r="H95" s="29" t="n"/>
      <c r="I95" s="30">
        <f>$A95&amp;" | "&amp;$B95</f>
        <v/>
      </c>
    </row>
    <row r="96">
      <c r="A96" s="31" t="inlineStr">
        <is>
          <t>Especialidades</t>
        </is>
      </c>
      <c r="B96" s="17" t="inlineStr">
        <is>
          <t>Grasa</t>
        </is>
      </c>
      <c r="C96" s="18" t="inlineStr"/>
      <c r="D96" s="18" t="inlineStr"/>
      <c r="E96" s="18" t="inlineStr">
        <is>
          <t>kg</t>
        </is>
      </c>
      <c r="F96" s="28" t="n">
        <v>1</v>
      </c>
      <c r="G96" s="18" t="inlineStr">
        <is>
          <t>SI</t>
        </is>
      </c>
      <c r="H96" s="29" t="n"/>
      <c r="I96" s="32">
        <f>$A96&amp;" | "&amp;$B96</f>
        <v/>
      </c>
    </row>
    <row r="97">
      <c r="A97" s="27" t="inlineStr">
        <is>
          <t>Especialidades</t>
        </is>
      </c>
      <c r="B97" s="11" t="inlineStr">
        <is>
          <t>Huevos</t>
        </is>
      </c>
      <c r="C97" s="18" t="inlineStr"/>
      <c r="D97" s="18" t="inlineStr"/>
      <c r="E97" s="18" t="inlineStr">
        <is>
          <t>u</t>
        </is>
      </c>
      <c r="F97" s="28" t="n">
        <v>30</v>
      </c>
      <c r="G97" s="18" t="inlineStr">
        <is>
          <t>SI</t>
        </is>
      </c>
      <c r="H97" s="29" t="n"/>
      <c r="I97" s="30">
        <f>$A97&amp;" | "&amp;$B97</f>
        <v/>
      </c>
    </row>
    <row r="98">
      <c r="A98" s="31" t="inlineStr">
        <is>
          <t>Especialidades</t>
        </is>
      </c>
      <c r="B98" s="17" t="inlineStr">
        <is>
          <t>Jamon cocido</t>
        </is>
      </c>
      <c r="C98" s="18" t="inlineStr"/>
      <c r="D98" s="18" t="inlineStr"/>
      <c r="E98" s="18" t="inlineStr">
        <is>
          <t>kg</t>
        </is>
      </c>
      <c r="F98" s="28" t="n">
        <v>1</v>
      </c>
      <c r="G98" s="18" t="inlineStr">
        <is>
          <t>SI</t>
        </is>
      </c>
      <c r="H98" s="29" t="n"/>
      <c r="I98" s="32">
        <f>$A98&amp;" | "&amp;$B98</f>
        <v/>
      </c>
    </row>
    <row r="99">
      <c r="A99" s="27" t="inlineStr">
        <is>
          <t>Especialidades</t>
        </is>
      </c>
      <c r="B99" s="11" t="inlineStr">
        <is>
          <t>Leche entera</t>
        </is>
      </c>
      <c r="C99" s="18" t="inlineStr"/>
      <c r="D99" s="18" t="inlineStr"/>
      <c r="E99" s="18" t="inlineStr">
        <is>
          <t>L</t>
        </is>
      </c>
      <c r="F99" s="28" t="n">
        <v>1</v>
      </c>
      <c r="G99" s="18" t="inlineStr">
        <is>
          <t>SI</t>
        </is>
      </c>
      <c r="H99" s="29" t="n"/>
      <c r="I99" s="30">
        <f>$A99&amp;" | "&amp;$B99</f>
        <v/>
      </c>
    </row>
    <row r="100">
      <c r="A100" s="31" t="inlineStr">
        <is>
          <t>Especialidades</t>
        </is>
      </c>
      <c r="B100" s="17" t="inlineStr">
        <is>
          <t>Manteca</t>
        </is>
      </c>
      <c r="C100" s="18" t="inlineStr"/>
      <c r="D100" s="18" t="inlineStr"/>
      <c r="E100" s="18" t="inlineStr">
        <is>
          <t>kg</t>
        </is>
      </c>
      <c r="F100" s="28" t="n">
        <v>1</v>
      </c>
      <c r="G100" s="18" t="inlineStr">
        <is>
          <t>SI</t>
        </is>
      </c>
      <c r="H100" s="29" t="n"/>
      <c r="I100" s="32">
        <f>$A100&amp;" | "&amp;$B100</f>
        <v/>
      </c>
    </row>
    <row r="101">
      <c r="A101" s="27" t="inlineStr">
        <is>
          <t>Especialidades</t>
        </is>
      </c>
      <c r="B101" s="11" t="inlineStr">
        <is>
          <t>Mayonesa</t>
        </is>
      </c>
      <c r="C101" s="18" t="inlineStr"/>
      <c r="D101" s="18" t="inlineStr"/>
      <c r="E101" s="18" t="inlineStr">
        <is>
          <t>kg</t>
        </is>
      </c>
      <c r="F101" s="28" t="n">
        <v>1</v>
      </c>
      <c r="G101" s="18" t="inlineStr">
        <is>
          <t>NO</t>
        </is>
      </c>
      <c r="H101" s="29" t="n"/>
      <c r="I101" s="30">
        <f>$A101&amp;" | "&amp;$B101</f>
        <v/>
      </c>
    </row>
    <row r="102">
      <c r="A102" s="31" t="inlineStr">
        <is>
          <t>Especialidades</t>
        </is>
      </c>
      <c r="B102" s="17" t="inlineStr">
        <is>
          <t>Nueces</t>
        </is>
      </c>
      <c r="C102" s="18" t="inlineStr"/>
      <c r="D102" s="18" t="inlineStr"/>
      <c r="E102" s="18" t="inlineStr">
        <is>
          <t>kg</t>
        </is>
      </c>
      <c r="F102" s="28" t="n">
        <v>1</v>
      </c>
      <c r="G102" s="18" t="inlineStr">
        <is>
          <t>SI</t>
        </is>
      </c>
      <c r="H102" s="29" t="n"/>
      <c r="I102" s="32">
        <f>$A102&amp;" | "&amp;$B102</f>
        <v/>
      </c>
    </row>
    <row r="103">
      <c r="A103" s="27" t="inlineStr">
        <is>
          <t>Especialidades</t>
        </is>
      </c>
      <c r="B103" s="11" t="inlineStr">
        <is>
          <t>Panes blandos</t>
        </is>
      </c>
      <c r="C103" s="18" t="inlineStr"/>
      <c r="D103" s="18" t="inlineStr"/>
      <c r="E103" s="18" t="inlineStr">
        <is>
          <t>kg</t>
        </is>
      </c>
      <c r="F103" s="28" t="n">
        <v>1</v>
      </c>
      <c r="G103" s="18" t="inlineStr">
        <is>
          <t>NO</t>
        </is>
      </c>
      <c r="H103" s="29" t="n"/>
      <c r="I103" s="30">
        <f>$A103&amp;" | "&amp;$B103</f>
        <v/>
      </c>
    </row>
    <row r="104">
      <c r="A104" s="31" t="inlineStr">
        <is>
          <t>Especialidades</t>
        </is>
      </c>
      <c r="B104" s="17" t="inlineStr">
        <is>
          <t>Queso crema</t>
        </is>
      </c>
      <c r="C104" s="18" t="inlineStr"/>
      <c r="D104" s="18" t="inlineStr"/>
      <c r="E104" s="18" t="inlineStr">
        <is>
          <t>kg</t>
        </is>
      </c>
      <c r="F104" s="28" t="n">
        <v>1</v>
      </c>
      <c r="G104" s="18" t="inlineStr">
        <is>
          <t>SI</t>
        </is>
      </c>
      <c r="H104" s="29" t="n"/>
      <c r="I104" s="32">
        <f>$A104&amp;" | "&amp;$B104</f>
        <v/>
      </c>
    </row>
    <row r="105">
      <c r="A105" s="27" t="inlineStr">
        <is>
          <t>Especialidades</t>
        </is>
      </c>
      <c r="B105" s="11" t="inlineStr">
        <is>
          <t>Queso cremoso</t>
        </is>
      </c>
      <c r="C105" s="18" t="inlineStr"/>
      <c r="D105" s="18" t="inlineStr"/>
      <c r="E105" s="18" t="inlineStr">
        <is>
          <t>kg</t>
        </is>
      </c>
      <c r="F105" s="28" t="n">
        <v>1</v>
      </c>
      <c r="G105" s="18" t="inlineStr">
        <is>
          <t>SI</t>
        </is>
      </c>
      <c r="H105" s="29" t="n"/>
      <c r="I105" s="30">
        <f>$A105&amp;" | "&amp;$B105</f>
        <v/>
      </c>
    </row>
    <row r="106">
      <c r="A106" s="31" t="inlineStr">
        <is>
          <t>Especialidades</t>
        </is>
      </c>
      <c r="B106" s="17" t="inlineStr">
        <is>
          <t>Queso sardo</t>
        </is>
      </c>
      <c r="C106" s="18" t="inlineStr"/>
      <c r="D106" s="18" t="inlineStr"/>
      <c r="E106" s="18" t="inlineStr">
        <is>
          <t>kg</t>
        </is>
      </c>
      <c r="F106" s="28" t="n">
        <v>1</v>
      </c>
      <c r="G106" s="18" t="inlineStr">
        <is>
          <t>SI</t>
        </is>
      </c>
      <c r="H106" s="29" t="n"/>
      <c r="I106" s="32">
        <f>$A106&amp;" | "&amp;$B106</f>
        <v/>
      </c>
    </row>
    <row r="107">
      <c r="A107" s="27" t="inlineStr">
        <is>
          <t>Especialidades</t>
        </is>
      </c>
      <c r="B107" s="11" t="inlineStr">
        <is>
          <t>Queso tybo</t>
        </is>
      </c>
      <c r="C107" s="18" t="inlineStr"/>
      <c r="D107" s="18" t="inlineStr"/>
      <c r="E107" s="18" t="inlineStr">
        <is>
          <t>kg</t>
        </is>
      </c>
      <c r="F107" s="28" t="n">
        <v>1</v>
      </c>
      <c r="G107" s="18" t="inlineStr">
        <is>
          <t>SI</t>
        </is>
      </c>
      <c r="H107" s="29" t="n"/>
      <c r="I107" s="30">
        <f>$A107&amp;" | "&amp;$B107</f>
        <v/>
      </c>
    </row>
    <row r="108">
      <c r="A108" s="31" t="inlineStr">
        <is>
          <t>Especialidades</t>
        </is>
      </c>
      <c r="B108" s="17" t="inlineStr">
        <is>
          <t>Sal</t>
        </is>
      </c>
      <c r="C108" s="18" t="inlineStr"/>
      <c r="D108" s="18" t="inlineStr"/>
      <c r="E108" s="18" t="inlineStr">
        <is>
          <t>kg</t>
        </is>
      </c>
      <c r="F108" s="28" t="n">
        <v>1</v>
      </c>
      <c r="G108" s="18" t="inlineStr">
        <is>
          <t>NO</t>
        </is>
      </c>
      <c r="H108" s="29" t="n"/>
      <c r="I108" s="32">
        <f>$A108&amp;" | "&amp;$B108</f>
        <v/>
      </c>
    </row>
    <row r="109">
      <c r="A109" s="27" t="inlineStr">
        <is>
          <t>Especialidades</t>
        </is>
      </c>
      <c r="B109" s="11" t="inlineStr">
        <is>
          <t>Tomates</t>
        </is>
      </c>
      <c r="C109" s="18" t="inlineStr"/>
      <c r="D109" s="18" t="inlineStr"/>
      <c r="E109" s="18" t="inlineStr">
        <is>
          <t>kg</t>
        </is>
      </c>
      <c r="F109" s="28" t="n">
        <v>1</v>
      </c>
      <c r="G109" s="18" t="inlineStr">
        <is>
          <t>NO</t>
        </is>
      </c>
      <c r="H109" s="29" t="n"/>
      <c r="I109" s="30">
        <f>$A109&amp;" | "&amp;$B109</f>
        <v/>
      </c>
    </row>
    <row r="110">
      <c r="A110" s="31" t="inlineStr">
        <is>
          <t>Especialidades</t>
        </is>
      </c>
      <c r="B110" s="17" t="inlineStr">
        <is>
          <t>Tomates cherrys</t>
        </is>
      </c>
      <c r="C110" s="18" t="inlineStr"/>
      <c r="D110" s="18" t="inlineStr"/>
      <c r="E110" s="18" t="inlineStr">
        <is>
          <t>kg</t>
        </is>
      </c>
      <c r="F110" s="28" t="n">
        <v>1</v>
      </c>
      <c r="G110" s="18" t="inlineStr">
        <is>
          <t>NO</t>
        </is>
      </c>
      <c r="H110" s="29" t="n"/>
      <c r="I110" s="32">
        <f>$A110&amp;" | "&amp;$B110</f>
        <v/>
      </c>
    </row>
    <row r="111">
      <c r="A111" s="27" t="inlineStr">
        <is>
          <t>Especialidades</t>
        </is>
      </c>
      <c r="B111" s="11" t="inlineStr">
        <is>
          <t>Naranja</t>
        </is>
      </c>
      <c r="C111" s="18" t="inlineStr"/>
      <c r="D111" s="18" t="inlineStr">
        <is>
          <t>Verdulería</t>
        </is>
      </c>
      <c r="E111" s="18" t="inlineStr">
        <is>
          <t>kg</t>
        </is>
      </c>
      <c r="F111" s="28" t="n">
        <v>1</v>
      </c>
      <c r="G111" s="18" t="inlineStr">
        <is>
          <t>NO</t>
        </is>
      </c>
      <c r="H111" s="29" t="n"/>
      <c r="I111" s="30">
        <f>$A111&amp;" | "&amp;$B111</f>
        <v/>
      </c>
    </row>
    <row r="112">
      <c r="A112" s="31" t="inlineStr">
        <is>
          <t>Especialidades</t>
        </is>
      </c>
      <c r="B112" s="17" t="inlineStr">
        <is>
          <t>Limón</t>
        </is>
      </c>
      <c r="C112" s="18" t="inlineStr"/>
      <c r="D112" s="18" t="inlineStr">
        <is>
          <t>Verdulería</t>
        </is>
      </c>
      <c r="E112" s="18" t="inlineStr">
        <is>
          <t>kg</t>
        </is>
      </c>
      <c r="F112" s="28" t="n">
        <v>1</v>
      </c>
      <c r="G112" s="18" t="inlineStr">
        <is>
          <t>NO</t>
        </is>
      </c>
      <c r="H112" s="29" t="n"/>
      <c r="I112" s="32">
        <f>$A112&amp;" | "&amp;$B112</f>
        <v/>
      </c>
    </row>
    <row r="113">
      <c r="A113" s="27" t="inlineStr">
        <is>
          <t>Especialidades</t>
        </is>
      </c>
      <c r="B113" s="11" t="inlineStr">
        <is>
          <t>Durazno</t>
        </is>
      </c>
      <c r="C113" s="18" t="inlineStr"/>
      <c r="D113" s="18" t="inlineStr">
        <is>
          <t>Verdulería</t>
        </is>
      </c>
      <c r="E113" s="18" t="inlineStr">
        <is>
          <t>kg</t>
        </is>
      </c>
      <c r="F113" s="28" t="n">
        <v>1</v>
      </c>
      <c r="G113" s="18" t="inlineStr">
        <is>
          <t>NO</t>
        </is>
      </c>
      <c r="H113" s="29" t="n"/>
      <c r="I113" s="30">
        <f>$A113&amp;" | "&amp;$B113</f>
        <v/>
      </c>
    </row>
    <row r="114">
      <c r="A114" s="31" t="inlineStr">
        <is>
          <t>Facturería</t>
        </is>
      </c>
      <c r="B114" s="17" t="inlineStr">
        <is>
          <t>Azucar</t>
        </is>
      </c>
      <c r="C114" s="18" t="inlineStr"/>
      <c r="D114" s="18" t="inlineStr"/>
      <c r="E114" s="18" t="inlineStr">
        <is>
          <t>kg</t>
        </is>
      </c>
      <c r="F114" s="28" t="n">
        <v>1</v>
      </c>
      <c r="G114" s="18" t="inlineStr">
        <is>
          <t>SI</t>
        </is>
      </c>
      <c r="H114" s="29" t="n"/>
      <c r="I114" s="32">
        <f>$A114&amp;" | "&amp;$B114</f>
        <v/>
      </c>
    </row>
    <row r="115">
      <c r="A115" s="27" t="inlineStr">
        <is>
          <t>Facturería</t>
        </is>
      </c>
      <c r="B115" s="11" t="inlineStr">
        <is>
          <t>Berlina</t>
        </is>
      </c>
      <c r="C115" s="18" t="inlineStr"/>
      <c r="D115" s="18" t="inlineStr"/>
      <c r="E115" s="18" t="inlineStr">
        <is>
          <t>kg</t>
        </is>
      </c>
      <c r="F115" s="28" t="n">
        <v>1</v>
      </c>
      <c r="G115" s="18" t="inlineStr">
        <is>
          <t>NO</t>
        </is>
      </c>
      <c r="H115" s="29" t="n"/>
      <c r="I115" s="30">
        <f>$A115&amp;" | "&amp;$B115</f>
        <v/>
      </c>
    </row>
    <row r="116">
      <c r="A116" s="31" t="inlineStr">
        <is>
          <t>Facturería</t>
        </is>
      </c>
      <c r="B116" s="17" t="inlineStr">
        <is>
          <t>Cacao</t>
        </is>
      </c>
      <c r="C116" s="18" t="inlineStr"/>
      <c r="D116" s="18" t="inlineStr"/>
      <c r="E116" s="18" t="inlineStr">
        <is>
          <t>kg</t>
        </is>
      </c>
      <c r="F116" s="28" t="n">
        <v>1</v>
      </c>
      <c r="G116" s="18" t="inlineStr">
        <is>
          <t>NO</t>
        </is>
      </c>
      <c r="H116" s="29" t="n"/>
      <c r="I116" s="32">
        <f>$A116&amp;" | "&amp;$B116</f>
        <v/>
      </c>
    </row>
    <row r="117">
      <c r="A117" s="27" t="inlineStr">
        <is>
          <t>Facturería</t>
        </is>
      </c>
      <c r="B117" s="11" t="inlineStr">
        <is>
          <t>Crema de leche</t>
        </is>
      </c>
      <c r="C117" s="18" t="inlineStr"/>
      <c r="D117" s="18" t="inlineStr"/>
      <c r="E117" s="18" t="inlineStr">
        <is>
          <t>L</t>
        </is>
      </c>
      <c r="F117" s="28" t="n">
        <v>1</v>
      </c>
      <c r="G117" s="18" t="inlineStr">
        <is>
          <t>SI</t>
        </is>
      </c>
      <c r="H117" s="29" t="n"/>
      <c r="I117" s="30">
        <f>$A117&amp;" | "&amp;$B117</f>
        <v/>
      </c>
    </row>
    <row r="118">
      <c r="A118" s="31" t="inlineStr">
        <is>
          <t>Facturería</t>
        </is>
      </c>
      <c r="B118" s="17" t="inlineStr">
        <is>
          <t>Crema Vegetal</t>
        </is>
      </c>
      <c r="C118" s="18" t="inlineStr"/>
      <c r="D118" s="18" t="inlineStr"/>
      <c r="E118" s="18" t="inlineStr">
        <is>
          <t>L</t>
        </is>
      </c>
      <c r="F118" s="28" t="n">
        <v>1</v>
      </c>
      <c r="G118" s="18" t="inlineStr">
        <is>
          <t>SI</t>
        </is>
      </c>
      <c r="H118" s="29" t="n"/>
      <c r="I118" s="32">
        <f>$A118&amp;" | "&amp;$B118</f>
        <v/>
      </c>
    </row>
    <row r="119">
      <c r="A119" s="27" t="inlineStr">
        <is>
          <t>Facturería</t>
        </is>
      </c>
      <c r="B119" s="11" t="inlineStr">
        <is>
          <t>Dulce de leche repostero</t>
        </is>
      </c>
      <c r="C119" s="18" t="inlineStr"/>
      <c r="D119" s="18" t="inlineStr"/>
      <c r="E119" s="18" t="inlineStr">
        <is>
          <t>kg</t>
        </is>
      </c>
      <c r="F119" s="28" t="n">
        <v>1</v>
      </c>
      <c r="G119" s="18" t="inlineStr">
        <is>
          <t>SI</t>
        </is>
      </c>
      <c r="H119" s="29" t="n"/>
      <c r="I119" s="30">
        <f>$A119&amp;" | "&amp;$B119</f>
        <v/>
      </c>
    </row>
    <row r="120">
      <c r="A120" s="31" t="inlineStr">
        <is>
          <t>Facturería</t>
        </is>
      </c>
      <c r="B120" s="17" t="inlineStr">
        <is>
          <t>Dulce de membrillo</t>
        </is>
      </c>
      <c r="C120" s="18" t="inlineStr"/>
      <c r="D120" s="18" t="inlineStr"/>
      <c r="E120" s="18" t="inlineStr">
        <is>
          <t>kg</t>
        </is>
      </c>
      <c r="F120" s="28" t="n">
        <v>1</v>
      </c>
      <c r="G120" s="18" t="inlineStr">
        <is>
          <t>NO</t>
        </is>
      </c>
      <c r="H120" s="29" t="n"/>
      <c r="I120" s="32">
        <f>$A120&amp;" | "&amp;$B120</f>
        <v/>
      </c>
    </row>
    <row r="121">
      <c r="A121" s="27" t="inlineStr">
        <is>
          <t>Facturería</t>
        </is>
      </c>
      <c r="B121" s="11" t="inlineStr">
        <is>
          <t>Esencia de vainilla</t>
        </is>
      </c>
      <c r="C121" s="18" t="inlineStr"/>
      <c r="D121" s="18" t="inlineStr"/>
      <c r="E121" s="18" t="inlineStr">
        <is>
          <t>L</t>
        </is>
      </c>
      <c r="F121" s="28" t="n">
        <v>1</v>
      </c>
      <c r="G121" s="18" t="inlineStr">
        <is>
          <t>NO</t>
        </is>
      </c>
      <c r="H121" s="29" t="n"/>
      <c r="I121" s="30">
        <f>$A121&amp;" | "&amp;$B121</f>
        <v/>
      </c>
    </row>
    <row r="122">
      <c r="A122" s="31" t="inlineStr">
        <is>
          <t>Facturería</t>
        </is>
      </c>
      <c r="B122" s="17" t="inlineStr">
        <is>
          <t>Grasa</t>
        </is>
      </c>
      <c r="C122" s="18" t="inlineStr"/>
      <c r="D122" s="18" t="inlineStr"/>
      <c r="E122" s="18" t="inlineStr">
        <is>
          <t>kg</t>
        </is>
      </c>
      <c r="F122" s="28" t="n">
        <v>1</v>
      </c>
      <c r="G122" s="18" t="inlineStr">
        <is>
          <t>SI</t>
        </is>
      </c>
      <c r="H122" s="29" t="n"/>
      <c r="I122" s="32">
        <f>$A122&amp;" | "&amp;$B122</f>
        <v/>
      </c>
    </row>
    <row r="123">
      <c r="A123" s="27" t="inlineStr">
        <is>
          <t>Facturería</t>
        </is>
      </c>
      <c r="B123" s="11" t="inlineStr">
        <is>
          <t>Huevos</t>
        </is>
      </c>
      <c r="C123" s="18" t="inlineStr"/>
      <c r="D123" s="18" t="inlineStr"/>
      <c r="E123" s="18" t="inlineStr">
        <is>
          <t>u</t>
        </is>
      </c>
      <c r="F123" s="28" t="n">
        <v>30</v>
      </c>
      <c r="G123" s="18" t="inlineStr">
        <is>
          <t>SI</t>
        </is>
      </c>
      <c r="H123" s="29" t="n"/>
      <c r="I123" s="30">
        <f>$A123&amp;" | "&amp;$B123</f>
        <v/>
      </c>
    </row>
    <row r="124">
      <c r="A124" s="31" t="inlineStr">
        <is>
          <t>Facturería</t>
        </is>
      </c>
      <c r="B124" s="17" t="inlineStr">
        <is>
          <t>Leche entera</t>
        </is>
      </c>
      <c r="C124" s="18" t="inlineStr"/>
      <c r="D124" s="18" t="inlineStr"/>
      <c r="E124" s="18" t="inlineStr">
        <is>
          <t>L</t>
        </is>
      </c>
      <c r="F124" s="28" t="n">
        <v>1</v>
      </c>
      <c r="G124" s="18" t="inlineStr">
        <is>
          <t>SI</t>
        </is>
      </c>
      <c r="H124" s="29" t="n"/>
      <c r="I124" s="32">
        <f>$A124&amp;" | "&amp;$B124</f>
        <v/>
      </c>
    </row>
    <row r="125">
      <c r="A125" s="27" t="inlineStr">
        <is>
          <t>Facturería</t>
        </is>
      </c>
      <c r="B125" s="11" t="inlineStr">
        <is>
          <t>Levadura</t>
        </is>
      </c>
      <c r="C125" s="18" t="inlineStr"/>
      <c r="D125" s="18" t="inlineStr"/>
      <c r="E125" s="18" t="inlineStr">
        <is>
          <t>kg</t>
        </is>
      </c>
      <c r="F125" s="28" t="n">
        <v>1</v>
      </c>
      <c r="G125" s="18" t="inlineStr">
        <is>
          <t>SI</t>
        </is>
      </c>
      <c r="H125" s="29" t="n"/>
      <c r="I125" s="30">
        <f>$A125&amp;" | "&amp;$B125</f>
        <v/>
      </c>
    </row>
    <row r="126">
      <c r="A126" s="31" t="inlineStr">
        <is>
          <t>Facturería</t>
        </is>
      </c>
      <c r="B126" s="17" t="inlineStr">
        <is>
          <t>Manteca</t>
        </is>
      </c>
      <c r="C126" s="18" t="inlineStr"/>
      <c r="D126" s="18" t="inlineStr"/>
      <c r="E126" s="18" t="inlineStr">
        <is>
          <t>kg</t>
        </is>
      </c>
      <c r="F126" s="28" t="n">
        <v>1</v>
      </c>
      <c r="G126" s="18" t="inlineStr">
        <is>
          <t>SI</t>
        </is>
      </c>
      <c r="H126" s="29" t="n"/>
      <c r="I126" s="32">
        <f>$A126&amp;" | "&amp;$B126</f>
        <v/>
      </c>
    </row>
    <row r="127">
      <c r="A127" s="27" t="inlineStr">
        <is>
          <t>Facturería</t>
        </is>
      </c>
      <c r="B127" s="11" t="inlineStr">
        <is>
          <t>Margarina masa</t>
        </is>
      </c>
      <c r="C127" s="18" t="inlineStr"/>
      <c r="D127" s="18" t="inlineStr"/>
      <c r="E127" s="18" t="inlineStr">
        <is>
          <t>kg</t>
        </is>
      </c>
      <c r="F127" s="28" t="n">
        <v>1</v>
      </c>
      <c r="G127" s="18" t="inlineStr">
        <is>
          <t>SI</t>
        </is>
      </c>
      <c r="H127" s="29" t="n"/>
      <c r="I127" s="30">
        <f>$A127&amp;" | "&amp;$B127</f>
        <v/>
      </c>
    </row>
    <row r="128">
      <c r="A128" s="31" t="inlineStr">
        <is>
          <t>Facturería</t>
        </is>
      </c>
      <c r="B128" s="17" t="inlineStr">
        <is>
          <t>Mermelada membrillo</t>
        </is>
      </c>
      <c r="C128" s="18" t="inlineStr"/>
      <c r="D128" s="18" t="inlineStr"/>
      <c r="E128" s="18" t="inlineStr">
        <is>
          <t>kg</t>
        </is>
      </c>
      <c r="F128" s="28" t="n">
        <v>1</v>
      </c>
      <c r="G128" s="18" t="inlineStr">
        <is>
          <t>NO</t>
        </is>
      </c>
      <c r="H128" s="29" t="n"/>
      <c r="I128" s="32">
        <f>$A128&amp;" | "&amp;$B128</f>
        <v/>
      </c>
    </row>
    <row r="129">
      <c r="A129" s="27" t="inlineStr">
        <is>
          <t>Facturería</t>
        </is>
      </c>
      <c r="B129" s="11" t="inlineStr">
        <is>
          <t>Sal</t>
        </is>
      </c>
      <c r="C129" s="18" t="inlineStr"/>
      <c r="D129" s="18" t="inlineStr"/>
      <c r="E129" s="18" t="inlineStr">
        <is>
          <t>kg</t>
        </is>
      </c>
      <c r="F129" s="28" t="n">
        <v>1</v>
      </c>
      <c r="G129" s="18" t="inlineStr">
        <is>
          <t>NO</t>
        </is>
      </c>
      <c r="H129" s="29" t="n"/>
      <c r="I129" s="30">
        <f>$A129&amp;" | "&amp;$B129</f>
        <v/>
      </c>
    </row>
    <row r="130">
      <c r="A130" s="31" t="inlineStr">
        <is>
          <t>Sandwiches</t>
        </is>
      </c>
      <c r="B130" s="17" t="inlineStr">
        <is>
          <t>Rúcula hidropónica</t>
        </is>
      </c>
      <c r="C130" s="18" t="inlineStr"/>
      <c r="D130" s="18" t="inlineStr">
        <is>
          <t>Verdulería</t>
        </is>
      </c>
      <c r="E130" s="18" t="inlineStr">
        <is>
          <t>kg</t>
        </is>
      </c>
      <c r="F130" s="28" t="n">
        <v>1</v>
      </c>
      <c r="G130" s="18" t="inlineStr">
        <is>
          <t>NO</t>
        </is>
      </c>
      <c r="H130" s="29" t="n"/>
      <c r="I130" s="32">
        <f>$A130&amp;" | "&amp;$B130</f>
        <v/>
      </c>
    </row>
    <row r="131">
      <c r="A131" s="27" t="inlineStr">
        <is>
          <t>Sandwiches</t>
        </is>
      </c>
      <c r="B131" s="11" t="inlineStr">
        <is>
          <t>Lechuga hidropónica</t>
        </is>
      </c>
      <c r="C131" s="18" t="inlineStr"/>
      <c r="D131" s="18" t="inlineStr">
        <is>
          <t>Verdulería</t>
        </is>
      </c>
      <c r="E131" s="18" t="inlineStr">
        <is>
          <t>kg</t>
        </is>
      </c>
      <c r="F131" s="28" t="n">
        <v>1</v>
      </c>
      <c r="G131" s="18" t="inlineStr">
        <is>
          <t>NO</t>
        </is>
      </c>
      <c r="H131" s="29" t="n"/>
      <c r="I131" s="30">
        <f>$A131&amp;" | "&amp;$B131</f>
        <v/>
      </c>
    </row>
    <row r="132">
      <c r="A132" s="31" t="inlineStr">
        <is>
          <t>Sandwiches</t>
        </is>
      </c>
      <c r="B132" s="17" t="inlineStr">
        <is>
          <t>Tomates</t>
        </is>
      </c>
      <c r="C132" s="18" t="inlineStr"/>
      <c r="D132" s="18" t="inlineStr">
        <is>
          <t>Verdulería</t>
        </is>
      </c>
      <c r="E132" s="18" t="inlineStr">
        <is>
          <t>kg</t>
        </is>
      </c>
      <c r="F132" s="28" t="n">
        <v>1</v>
      </c>
      <c r="G132" s="18" t="inlineStr">
        <is>
          <t>NO</t>
        </is>
      </c>
      <c r="H132" s="29" t="n"/>
      <c r="I132" s="32">
        <f>$A132&amp;" | "&amp;$B132</f>
        <v/>
      </c>
    </row>
    <row r="133">
      <c r="A133" s="27" t="inlineStr">
        <is>
          <t>Sandwiches</t>
        </is>
      </c>
      <c r="B133" s="11" t="inlineStr">
        <is>
          <t>Tomates cherry</t>
        </is>
      </c>
      <c r="C133" s="18" t="inlineStr"/>
      <c r="D133" s="18" t="inlineStr">
        <is>
          <t>Verdulería</t>
        </is>
      </c>
      <c r="E133" s="18" t="inlineStr">
        <is>
          <t>kg</t>
        </is>
      </c>
      <c r="F133" s="28" t="n">
        <v>1</v>
      </c>
      <c r="G133" s="18" t="inlineStr">
        <is>
          <t>NO</t>
        </is>
      </c>
      <c r="H133" s="29" t="n"/>
      <c r="I133" s="30">
        <f>$A133&amp;" | "&amp;$B133</f>
        <v/>
      </c>
    </row>
    <row r="134">
      <c r="A134" s="31" t="inlineStr">
        <is>
          <t>Sandwiches</t>
        </is>
      </c>
      <c r="B134" s="17" t="inlineStr">
        <is>
          <t>Albahaca hidropónica</t>
        </is>
      </c>
      <c r="C134" s="18" t="inlineStr"/>
      <c r="D134" s="18" t="inlineStr">
        <is>
          <t>Verdulería</t>
        </is>
      </c>
      <c r="E134" s="18" t="inlineStr">
        <is>
          <t>kg</t>
        </is>
      </c>
      <c r="F134" s="28" t="n">
        <v>1</v>
      </c>
      <c r="G134" s="18" t="inlineStr">
        <is>
          <t>NO</t>
        </is>
      </c>
      <c r="H134" s="29" t="n"/>
      <c r="I134" s="32">
        <f>$A134&amp;" | "&amp;$B134</f>
        <v/>
      </c>
    </row>
    <row r="135">
      <c r="A135" s="27" t="inlineStr">
        <is>
          <t>Cocina San Luis</t>
        </is>
      </c>
      <c r="B135" s="11" t="inlineStr">
        <is>
          <t>Detergente</t>
        </is>
      </c>
      <c r="C135" s="18" t="inlineStr">
        <is>
          <t>Limpieza</t>
        </is>
      </c>
      <c r="D135" s="18" t="inlineStr"/>
      <c r="E135" s="18" t="inlineStr">
        <is>
          <t>L</t>
        </is>
      </c>
      <c r="F135" s="28" t="n">
        <v>5</v>
      </c>
      <c r="G135" s="18" t="inlineStr">
        <is>
          <t>NO</t>
        </is>
      </c>
      <c r="H135" s="29" t="n"/>
      <c r="I135" s="30">
        <f>$A135&amp;" | "&amp;$B135</f>
        <v/>
      </c>
    </row>
    <row r="136">
      <c r="A136" s="31" t="inlineStr">
        <is>
          <t>Cocina San Luis</t>
        </is>
      </c>
      <c r="B136" s="17" t="inlineStr">
        <is>
          <t>Lavandina</t>
        </is>
      </c>
      <c r="C136" s="18" t="inlineStr">
        <is>
          <t>Limpieza</t>
        </is>
      </c>
      <c r="D136" s="18" t="inlineStr"/>
      <c r="E136" s="18" t="inlineStr">
        <is>
          <t>L</t>
        </is>
      </c>
      <c r="F136" s="28" t="n">
        <v>5</v>
      </c>
      <c r="G136" s="18" t="inlineStr">
        <is>
          <t>NO</t>
        </is>
      </c>
      <c r="H136" s="29" t="n"/>
      <c r="I136" s="32">
        <f>$A136&amp;" | "&amp;$B136</f>
        <v/>
      </c>
    </row>
    <row r="137">
      <c r="A137" s="27" t="inlineStr">
        <is>
          <t>Cocina San Luis</t>
        </is>
      </c>
      <c r="B137" s="11" t="inlineStr">
        <is>
          <t>Queso de máquina barra</t>
        </is>
      </c>
      <c r="C137" s="18" t="inlineStr">
        <is>
          <t>Fiambres y Lácteos</t>
        </is>
      </c>
      <c r="D137" s="18" t="inlineStr"/>
      <c r="E137" s="18" t="inlineStr">
        <is>
          <t>kg</t>
        </is>
      </c>
      <c r="F137" s="28" t="n">
        <v>1</v>
      </c>
      <c r="G137" s="18" t="inlineStr">
        <is>
          <t>SI</t>
        </is>
      </c>
      <c r="H137" s="29" t="n"/>
      <c r="I137" s="30">
        <f>$A137&amp;" | "&amp;$B137</f>
        <v/>
      </c>
    </row>
    <row r="138">
      <c r="A138" s="31" t="inlineStr">
        <is>
          <t>Cocina San Luis</t>
        </is>
      </c>
      <c r="B138" s="17" t="inlineStr">
        <is>
          <t>Queso cheddar fetas</t>
        </is>
      </c>
      <c r="C138" s="18" t="inlineStr">
        <is>
          <t>Fiambres y Lácteos</t>
        </is>
      </c>
      <c r="D138" s="18" t="inlineStr"/>
      <c r="E138" s="18" t="inlineStr">
        <is>
          <t>kg</t>
        </is>
      </c>
      <c r="F138" s="28" t="n">
        <v>1</v>
      </c>
      <c r="G138" s="18" t="inlineStr">
        <is>
          <t>SI</t>
        </is>
      </c>
      <c r="H138" s="29" t="n"/>
      <c r="I138" s="32">
        <f>$A138&amp;" | "&amp;$B138</f>
        <v/>
      </c>
    </row>
    <row r="139">
      <c r="A139" s="27" t="inlineStr">
        <is>
          <t>Cocina San Luis</t>
        </is>
      </c>
      <c r="B139" s="11" t="inlineStr">
        <is>
          <t>Queso roquefort</t>
        </is>
      </c>
      <c r="C139" s="18" t="inlineStr">
        <is>
          <t>Fiambres y Lácteos</t>
        </is>
      </c>
      <c r="D139" s="18" t="inlineStr"/>
      <c r="E139" s="18" t="inlineStr">
        <is>
          <t>kg</t>
        </is>
      </c>
      <c r="F139" s="28" t="n">
        <v>1</v>
      </c>
      <c r="G139" s="18" t="inlineStr">
        <is>
          <t>SI</t>
        </is>
      </c>
      <c r="H139" s="29" t="n"/>
      <c r="I139" s="30">
        <f>$A139&amp;" | "&amp;$B139</f>
        <v/>
      </c>
    </row>
    <row r="140">
      <c r="A140" s="31" t="inlineStr">
        <is>
          <t>Cocina San Luis</t>
        </is>
      </c>
      <c r="B140" s="17" t="inlineStr">
        <is>
          <t>Queso parmesano rallo</t>
        </is>
      </c>
      <c r="C140" s="18" t="inlineStr">
        <is>
          <t>Fiambres y Lácteos</t>
        </is>
      </c>
      <c r="D140" s="18" t="inlineStr"/>
      <c r="E140" s="18" t="inlineStr">
        <is>
          <t>kg</t>
        </is>
      </c>
      <c r="F140" s="28" t="n">
        <v>1</v>
      </c>
      <c r="G140" s="18" t="inlineStr">
        <is>
          <t>SI</t>
        </is>
      </c>
      <c r="H140" s="29" t="n"/>
      <c r="I140" s="32">
        <f>$A140&amp;" | "&amp;$B140</f>
        <v/>
      </c>
    </row>
    <row r="141">
      <c r="A141" s="27" t="inlineStr">
        <is>
          <t>Cocina San Luis</t>
        </is>
      </c>
      <c r="B141" s="11" t="inlineStr">
        <is>
          <t>Queso crema s/sabor</t>
        </is>
      </c>
      <c r="C141" s="18" t="inlineStr">
        <is>
          <t>Fiambres y Lácteos</t>
        </is>
      </c>
      <c r="D141" s="18" t="inlineStr"/>
      <c r="E141" s="18" t="inlineStr">
        <is>
          <t>kg</t>
        </is>
      </c>
      <c r="F141" s="28" t="n">
        <v>1</v>
      </c>
      <c r="G141" s="18" t="inlineStr">
        <is>
          <t>NO</t>
        </is>
      </c>
      <c r="H141" s="29" t="n"/>
      <c r="I141" s="30">
        <f>$A141&amp;" | "&amp;$B141</f>
        <v/>
      </c>
    </row>
    <row r="142">
      <c r="A142" s="31" t="inlineStr">
        <is>
          <t>Cocina San Luis</t>
        </is>
      </c>
      <c r="B142" s="17" t="inlineStr">
        <is>
          <t>Jamón cocido paladini</t>
        </is>
      </c>
      <c r="C142" s="18" t="inlineStr">
        <is>
          <t>Fiambres y Lácteos</t>
        </is>
      </c>
      <c r="D142" s="18" t="inlineStr"/>
      <c r="E142" s="18" t="inlineStr">
        <is>
          <t>kg</t>
        </is>
      </c>
      <c r="F142" s="28" t="n">
        <v>1</v>
      </c>
      <c r="G142" s="18" t="inlineStr">
        <is>
          <t>SI</t>
        </is>
      </c>
      <c r="H142" s="29" t="n"/>
      <c r="I142" s="32">
        <f>$A142&amp;" | "&amp;$B142</f>
        <v/>
      </c>
    </row>
    <row r="143">
      <c r="A143" s="27" t="inlineStr">
        <is>
          <t>Cocina San Luis</t>
        </is>
      </c>
      <c r="B143" s="11" t="inlineStr">
        <is>
          <t>Salame milán</t>
        </is>
      </c>
      <c r="C143" s="18" t="inlineStr">
        <is>
          <t>Fiambres y Lácteos</t>
        </is>
      </c>
      <c r="D143" s="18" t="inlineStr"/>
      <c r="E143" s="18" t="inlineStr">
        <is>
          <t>kg</t>
        </is>
      </c>
      <c r="F143" s="28" t="n">
        <v>1</v>
      </c>
      <c r="G143" s="18" t="inlineStr">
        <is>
          <t>SI</t>
        </is>
      </c>
      <c r="H143" s="29" t="n"/>
      <c r="I143" s="30">
        <f>$A143&amp;" | "&amp;$B143</f>
        <v/>
      </c>
    </row>
    <row r="144">
      <c r="A144" s="31" t="inlineStr">
        <is>
          <t>Cocina San Luis</t>
        </is>
      </c>
      <c r="B144" s="17" t="inlineStr">
        <is>
          <t>Lomo ahumado feteado</t>
        </is>
      </c>
      <c r="C144" s="18" t="inlineStr">
        <is>
          <t>Fiambres y Lácteos</t>
        </is>
      </c>
      <c r="D144" s="18" t="inlineStr"/>
      <c r="E144" s="18" t="inlineStr">
        <is>
          <t>kg</t>
        </is>
      </c>
      <c r="F144" s="28" t="n">
        <v>1</v>
      </c>
      <c r="G144" s="18" t="inlineStr">
        <is>
          <t>SI</t>
        </is>
      </c>
      <c r="H144" s="29" t="n"/>
      <c r="I144" s="32">
        <f>$A144&amp;" | "&amp;$B144</f>
        <v/>
      </c>
    </row>
    <row r="145">
      <c r="A145" s="27" t="inlineStr">
        <is>
          <t>Cocina San Luis</t>
        </is>
      </c>
      <c r="B145" s="11" t="inlineStr">
        <is>
          <t>Panceta ahumada feteada</t>
        </is>
      </c>
      <c r="C145" s="18" t="inlineStr">
        <is>
          <t>Fiambres y Lácteos</t>
        </is>
      </c>
      <c r="D145" s="18" t="inlineStr"/>
      <c r="E145" s="18" t="inlineStr">
        <is>
          <t>kg</t>
        </is>
      </c>
      <c r="F145" s="28" t="n">
        <v>1</v>
      </c>
      <c r="G145" s="18" t="inlineStr">
        <is>
          <t>SI</t>
        </is>
      </c>
      <c r="H145" s="29" t="n"/>
      <c r="I145" s="30">
        <f>$A145&amp;" | "&amp;$B145</f>
        <v/>
      </c>
    </row>
    <row r="146">
      <c r="A146" s="31" t="inlineStr">
        <is>
          <t>Cocina San Luis</t>
        </is>
      </c>
      <c r="B146" s="17" t="inlineStr">
        <is>
          <t>Salchicha viena f/larga</t>
        </is>
      </c>
      <c r="C146" s="18" t="inlineStr">
        <is>
          <t>Fiambres y Lácteos</t>
        </is>
      </c>
      <c r="D146" s="18" t="inlineStr"/>
      <c r="E146" s="18" t="inlineStr">
        <is>
          <t>kg</t>
        </is>
      </c>
      <c r="F146" s="28" t="n">
        <v>1</v>
      </c>
      <c r="G146" s="18" t="inlineStr">
        <is>
          <t>NO</t>
        </is>
      </c>
      <c r="H146" s="29" t="n"/>
      <c r="I146" s="32">
        <f>$A146&amp;" | "&amp;$B146</f>
        <v/>
      </c>
    </row>
    <row r="147">
      <c r="A147" s="27" t="inlineStr">
        <is>
          <t>Cocina San Luis</t>
        </is>
      </c>
      <c r="B147" s="11" t="inlineStr">
        <is>
          <t>Leche entera</t>
        </is>
      </c>
      <c r="C147" s="18" t="inlineStr">
        <is>
          <t>Fiambres y Lácteos</t>
        </is>
      </c>
      <c r="D147" s="18" t="inlineStr"/>
      <c r="E147" s="18" t="inlineStr">
        <is>
          <t>L</t>
        </is>
      </c>
      <c r="F147" s="28" t="n">
        <v>1</v>
      </c>
      <c r="G147" s="18" t="inlineStr">
        <is>
          <t>SI</t>
        </is>
      </c>
      <c r="H147" s="29" t="n"/>
      <c r="I147" s="30">
        <f>$A147&amp;" | "&amp;$B147</f>
        <v/>
      </c>
    </row>
    <row r="148">
      <c r="A148" s="31" t="inlineStr">
        <is>
          <t>Cocina San Luis</t>
        </is>
      </c>
      <c r="B148" s="17" t="inlineStr">
        <is>
          <t>Crema de leche</t>
        </is>
      </c>
      <c r="C148" s="18" t="inlineStr">
        <is>
          <t>Fiambres y Lácteos</t>
        </is>
      </c>
      <c r="D148" s="18" t="inlineStr"/>
      <c r="E148" s="18" t="inlineStr">
        <is>
          <t>L</t>
        </is>
      </c>
      <c r="F148" s="28" t="n">
        <v>1</v>
      </c>
      <c r="G148" s="18" t="inlineStr">
        <is>
          <t>SI</t>
        </is>
      </c>
      <c r="H148" s="29" t="n"/>
      <c r="I148" s="32">
        <f>$A148&amp;" | "&amp;$B148</f>
        <v/>
      </c>
    </row>
    <row r="149">
      <c r="A149" s="27" t="inlineStr">
        <is>
          <t>Cocina San Luis</t>
        </is>
      </c>
      <c r="B149" s="11" t="inlineStr">
        <is>
          <t>Pomelo</t>
        </is>
      </c>
      <c r="C149" s="18" t="inlineStr">
        <is>
          <t>Verdulería</t>
        </is>
      </c>
      <c r="D149" s="18" t="inlineStr">
        <is>
          <t>Verdulería</t>
        </is>
      </c>
      <c r="E149" s="18" t="inlineStr">
        <is>
          <t>kg</t>
        </is>
      </c>
      <c r="F149" s="28" t="n">
        <v>1</v>
      </c>
      <c r="G149" s="18" t="inlineStr">
        <is>
          <t>NO</t>
        </is>
      </c>
      <c r="H149" s="29" t="n"/>
      <c r="I149" s="30">
        <f>$A149&amp;" | "&amp;$B149</f>
        <v/>
      </c>
    </row>
    <row r="150">
      <c r="A150" s="31" t="inlineStr">
        <is>
          <t>Cocina San Luis</t>
        </is>
      </c>
      <c r="B150" s="17" t="inlineStr">
        <is>
          <t>Naranja</t>
        </is>
      </c>
      <c r="C150" s="18" t="inlineStr">
        <is>
          <t>Verdulería</t>
        </is>
      </c>
      <c r="D150" s="18" t="inlineStr">
        <is>
          <t>Verdulería</t>
        </is>
      </c>
      <c r="E150" s="18" t="inlineStr">
        <is>
          <t>kg</t>
        </is>
      </c>
      <c r="F150" s="28" t="n">
        <v>1</v>
      </c>
      <c r="G150" s="18" t="inlineStr">
        <is>
          <t>NO</t>
        </is>
      </c>
      <c r="H150" s="29" t="n"/>
      <c r="I150" s="32">
        <f>$A150&amp;" | "&amp;$B150</f>
        <v/>
      </c>
    </row>
    <row r="151">
      <c r="A151" s="27" t="inlineStr">
        <is>
          <t>Cocina San Luis</t>
        </is>
      </c>
      <c r="B151" s="11" t="inlineStr">
        <is>
          <t>Limón</t>
        </is>
      </c>
      <c r="C151" s="18" t="inlineStr">
        <is>
          <t>Verdulería</t>
        </is>
      </c>
      <c r="D151" s="18" t="inlineStr">
        <is>
          <t>Verdulería</t>
        </is>
      </c>
      <c r="E151" s="18" t="inlineStr">
        <is>
          <t>kg</t>
        </is>
      </c>
      <c r="F151" s="28" t="n">
        <v>1</v>
      </c>
      <c r="G151" s="18" t="inlineStr">
        <is>
          <t>NO</t>
        </is>
      </c>
      <c r="H151" s="29" t="n"/>
      <c r="I151" s="30">
        <f>$A151&amp;" | "&amp;$B151</f>
        <v/>
      </c>
    </row>
    <row r="152">
      <c r="A152" s="31" t="inlineStr">
        <is>
          <t>Cocina San Luis</t>
        </is>
      </c>
      <c r="B152" s="17" t="inlineStr">
        <is>
          <t>Lechuga crespa</t>
        </is>
      </c>
      <c r="C152" s="18" t="inlineStr">
        <is>
          <t>Verdulería</t>
        </is>
      </c>
      <c r="D152" s="18" t="inlineStr">
        <is>
          <t>Verdulería</t>
        </is>
      </c>
      <c r="E152" s="18" t="inlineStr">
        <is>
          <t>kg</t>
        </is>
      </c>
      <c r="F152" s="28" t="n">
        <v>1</v>
      </c>
      <c r="G152" s="18" t="inlineStr">
        <is>
          <t>NO</t>
        </is>
      </c>
      <c r="H152" s="29" t="n"/>
      <c r="I152" s="32">
        <f>$A152&amp;" | "&amp;$B152</f>
        <v/>
      </c>
    </row>
    <row r="153">
      <c r="A153" s="27" t="inlineStr">
        <is>
          <t>Cocina San Luis</t>
        </is>
      </c>
      <c r="B153" s="11" t="inlineStr">
        <is>
          <t>Tomate x kg</t>
        </is>
      </c>
      <c r="C153" s="18" t="inlineStr">
        <is>
          <t>Verdulería</t>
        </is>
      </c>
      <c r="D153" s="18" t="inlineStr">
        <is>
          <t>Verdulería</t>
        </is>
      </c>
      <c r="E153" s="18" t="inlineStr">
        <is>
          <t>kg</t>
        </is>
      </c>
      <c r="F153" s="28" t="n">
        <v>1</v>
      </c>
      <c r="G153" s="18" t="inlineStr">
        <is>
          <t>NO</t>
        </is>
      </c>
      <c r="H153" s="29" t="n"/>
      <c r="I153" s="30">
        <f>$A153&amp;" | "&amp;$B153</f>
        <v/>
      </c>
    </row>
    <row r="154">
      <c r="A154" s="31" t="inlineStr">
        <is>
          <t>Cocina San Luis</t>
        </is>
      </c>
      <c r="B154" s="17" t="inlineStr">
        <is>
          <t>Tomate Cherry x kg</t>
        </is>
      </c>
      <c r="C154" s="18" t="inlineStr">
        <is>
          <t>Verdulería</t>
        </is>
      </c>
      <c r="D154" s="18" t="inlineStr">
        <is>
          <t>Verdulería</t>
        </is>
      </c>
      <c r="E154" s="18" t="inlineStr">
        <is>
          <t>kg</t>
        </is>
      </c>
      <c r="F154" s="28" t="n">
        <v>1</v>
      </c>
      <c r="G154" s="18" t="inlineStr">
        <is>
          <t>NO</t>
        </is>
      </c>
      <c r="H154" s="29" t="n"/>
      <c r="I154" s="32">
        <f>$A154&amp;" | "&amp;$B154</f>
        <v/>
      </c>
    </row>
    <row r="155">
      <c r="A155" s="27" t="inlineStr">
        <is>
          <t>Cocina San Luis</t>
        </is>
      </c>
      <c r="B155" s="11" t="inlineStr">
        <is>
          <t>Rúcula</t>
        </is>
      </c>
      <c r="C155" s="18" t="inlineStr">
        <is>
          <t>Verdulería</t>
        </is>
      </c>
      <c r="D155" s="18" t="inlineStr">
        <is>
          <t>Verdulería</t>
        </is>
      </c>
      <c r="E155" s="18" t="inlineStr">
        <is>
          <t>kg</t>
        </is>
      </c>
      <c r="F155" s="28" t="n">
        <v>1</v>
      </c>
      <c r="G155" s="18" t="inlineStr">
        <is>
          <t>NO</t>
        </is>
      </c>
      <c r="H155" s="29" t="n"/>
      <c r="I155" s="30">
        <f>$A155&amp;" | "&amp;$B155</f>
        <v/>
      </c>
    </row>
    <row r="156">
      <c r="A156" s="31" t="inlineStr">
        <is>
          <t>Cocina San Luis</t>
        </is>
      </c>
      <c r="B156" s="17" t="inlineStr">
        <is>
          <t>Ciruela x kg</t>
        </is>
      </c>
      <c r="C156" s="18" t="inlineStr">
        <is>
          <t>Verdulería</t>
        </is>
      </c>
      <c r="D156" s="18" t="inlineStr">
        <is>
          <t>Verdulería</t>
        </is>
      </c>
      <c r="E156" s="18" t="inlineStr">
        <is>
          <t>kg</t>
        </is>
      </c>
      <c r="F156" s="28" t="n">
        <v>1</v>
      </c>
      <c r="G156" s="18" t="inlineStr">
        <is>
          <t>NO</t>
        </is>
      </c>
      <c r="H156" s="29" t="n"/>
      <c r="I156" s="32">
        <f>$A156&amp;" | "&amp;$B156</f>
        <v/>
      </c>
    </row>
    <row r="157">
      <c r="A157" s="27" t="inlineStr">
        <is>
          <t>Cocina San Luis</t>
        </is>
      </c>
      <c r="B157" s="11" t="inlineStr">
        <is>
          <t>Kiwi x kg</t>
        </is>
      </c>
      <c r="C157" s="18" t="inlineStr">
        <is>
          <t>Verdulería</t>
        </is>
      </c>
      <c r="D157" s="18" t="inlineStr">
        <is>
          <t>Verdulería</t>
        </is>
      </c>
      <c r="E157" s="18" t="inlineStr">
        <is>
          <t>kg</t>
        </is>
      </c>
      <c r="F157" s="28" t="n">
        <v>1</v>
      </c>
      <c r="G157" s="18" t="inlineStr">
        <is>
          <t>NO</t>
        </is>
      </c>
      <c r="H157" s="29" t="n"/>
      <c r="I157" s="30">
        <f>$A157&amp;" | "&amp;$B157</f>
        <v/>
      </c>
    </row>
    <row r="158">
      <c r="A158" s="31" t="inlineStr">
        <is>
          <t>Cocina San Luis</t>
        </is>
      </c>
      <c r="B158" s="17" t="inlineStr">
        <is>
          <t>Banana x unidad</t>
        </is>
      </c>
      <c r="C158" s="18" t="inlineStr">
        <is>
          <t>Verdulería</t>
        </is>
      </c>
      <c r="D158" s="18" t="inlineStr">
        <is>
          <t>Verdulería</t>
        </is>
      </c>
      <c r="E158" s="18" t="inlineStr">
        <is>
          <t>u</t>
        </is>
      </c>
      <c r="F158" s="28" t="n">
        <v>1</v>
      </c>
      <c r="G158" s="18" t="inlineStr">
        <is>
          <t>NO</t>
        </is>
      </c>
      <c r="H158" s="29" t="n"/>
      <c r="I158" s="32">
        <f>$A158&amp;" | "&amp;$B158</f>
        <v/>
      </c>
    </row>
    <row r="159">
      <c r="A159" s="27" t="inlineStr">
        <is>
          <t>Cocina San Luis</t>
        </is>
      </c>
      <c r="B159" s="11" t="inlineStr">
        <is>
          <t>Palta x kg</t>
        </is>
      </c>
      <c r="C159" s="18" t="inlineStr">
        <is>
          <t>Verdulería</t>
        </is>
      </c>
      <c r="D159" s="18" t="inlineStr">
        <is>
          <t>Verdulería</t>
        </is>
      </c>
      <c r="E159" s="18" t="inlineStr">
        <is>
          <t>kg</t>
        </is>
      </c>
      <c r="F159" s="28" t="n">
        <v>1</v>
      </c>
      <c r="G159" s="18" t="inlineStr">
        <is>
          <t>SI</t>
        </is>
      </c>
      <c r="H159" s="29" t="n"/>
      <c r="I159" s="30">
        <f>$A159&amp;" | "&amp;$B159</f>
        <v/>
      </c>
    </row>
    <row r="160">
      <c r="A160" s="31" t="inlineStr">
        <is>
          <t>Cocina San Luis</t>
        </is>
      </c>
      <c r="B160" s="17" t="inlineStr">
        <is>
          <t>Frutilla x kg</t>
        </is>
      </c>
      <c r="C160" s="18" t="inlineStr">
        <is>
          <t>Verdulería</t>
        </is>
      </c>
      <c r="D160" s="18" t="inlineStr">
        <is>
          <t>Verdulería</t>
        </is>
      </c>
      <c r="E160" s="18" t="inlineStr">
        <is>
          <t>kg</t>
        </is>
      </c>
      <c r="F160" s="28" t="n">
        <v>1</v>
      </c>
      <c r="G160" s="18" t="inlineStr">
        <is>
          <t>SI</t>
        </is>
      </c>
      <c r="H160" s="29" t="n"/>
      <c r="I160" s="32">
        <f>$A160&amp;" | "&amp;$B160</f>
        <v/>
      </c>
    </row>
    <row r="161">
      <c r="A161" s="27" t="inlineStr">
        <is>
          <t>Cocina San Luis</t>
        </is>
      </c>
      <c r="B161" s="11" t="inlineStr">
        <is>
          <t>Arándanos x caja</t>
        </is>
      </c>
      <c r="C161" s="18" t="inlineStr">
        <is>
          <t>Verdulería</t>
        </is>
      </c>
      <c r="D161" s="18" t="inlineStr">
        <is>
          <t>Verdulería</t>
        </is>
      </c>
      <c r="E161" s="18" t="inlineStr">
        <is>
          <t>caja</t>
        </is>
      </c>
      <c r="F161" s="28" t="n">
        <v>1</v>
      </c>
      <c r="G161" s="18" t="inlineStr">
        <is>
          <t>SI</t>
        </is>
      </c>
      <c r="H161" s="29" t="n"/>
      <c r="I161" s="30">
        <f>$A161&amp;" | "&amp;$B161</f>
        <v/>
      </c>
    </row>
    <row r="162">
      <c r="A162" s="31" t="inlineStr">
        <is>
          <t>Cocina San Luis</t>
        </is>
      </c>
      <c r="B162" s="17" t="inlineStr">
        <is>
          <t>Menta</t>
        </is>
      </c>
      <c r="C162" s="18" t="inlineStr">
        <is>
          <t>Verdulería</t>
        </is>
      </c>
      <c r="D162" s="18" t="inlineStr">
        <is>
          <t>Verdulería</t>
        </is>
      </c>
      <c r="E162" s="18" t="inlineStr">
        <is>
          <t>kg</t>
        </is>
      </c>
      <c r="F162" s="28" t="n">
        <v>1</v>
      </c>
      <c r="G162" s="18" t="inlineStr">
        <is>
          <t>NO</t>
        </is>
      </c>
      <c r="H162" s="29" t="n"/>
      <c r="I162" s="32">
        <f>$A162&amp;" | "&amp;$B162</f>
        <v/>
      </c>
    </row>
    <row r="163">
      <c r="A163" s="27" t="inlineStr">
        <is>
          <t>Cocina San Luis</t>
        </is>
      </c>
      <c r="B163" s="11" t="inlineStr">
        <is>
          <t>Jengibre x unidad</t>
        </is>
      </c>
      <c r="C163" s="18" t="inlineStr">
        <is>
          <t>Verdulería</t>
        </is>
      </c>
      <c r="D163" s="18" t="inlineStr">
        <is>
          <t>Verdulería</t>
        </is>
      </c>
      <c r="E163" s="18" t="inlineStr">
        <is>
          <t>u</t>
        </is>
      </c>
      <c r="F163" s="28" t="n">
        <v>1</v>
      </c>
      <c r="G163" s="18" t="inlineStr">
        <is>
          <t>NO</t>
        </is>
      </c>
      <c r="H163" s="29" t="n"/>
      <c r="I163" s="30">
        <f>$A163&amp;" | "&amp;$B163</f>
        <v/>
      </c>
    </row>
    <row r="165">
      <c r="B165" s="33" t="inlineStr">
        <is>
          <t>El COSTO POR UNIDAD se completa desde las facturas de la semana (hoja "7 Facturas"). Sin costo, el analisis sale en cantidades; con costo, sale ademas en pesos.</t>
        </is>
      </c>
    </row>
  </sheetData>
  <autoFilter ref="A4:H163"/>
  <mergeCells count="4">
    <mergeCell ref="A1:I1"/>
    <mergeCell ref="A3:I3"/>
    <mergeCell ref="A2:I2"/>
    <mergeCell ref="B165:H165"/>
  </mergeCells>
  <dataValidations count="2">
    <dataValidation sqref="E5:E163" showDropDown="0" showInputMessage="0" showErrorMessage="0" allowBlank="1" type="list">
      <formula1>Listas!$D$2:$D$7</formula1>
    </dataValidation>
    <dataValidation sqref="G5:G163" showDropDown="0" showInputMessage="0" showErrorMessage="0" allowBlank="1" type="list">
      <formula1>"SI,NO"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8" customWidth="1" min="2" max="2"/>
    <col width="10" customWidth="1" min="3" max="3"/>
    <col width="18" customWidth="1" min="4" max="4"/>
    <col hidden="1" width="40" customWidth="1" min="5" max="5"/>
  </cols>
  <sheetData>
    <row r="1" ht="30" customHeight="1">
      <c r="A1" s="1" t="inlineStr">
        <is>
          <t>MAESTRO DE PRODUCTOS ELABORADOS</t>
        </is>
      </c>
    </row>
    <row r="2" ht="18" customHeight="1">
      <c r="A2" s="2" t="inlineStr">
        <is>
          <t>Traido del catalogo real de la app (141 productos).</t>
        </is>
      </c>
    </row>
    <row r="3" ht="18" customHeight="1">
      <c r="A3" s="3" t="inlineStr">
        <is>
          <t>Cocina San Luis no tiene productos en el catalogo: se cargan a mano en su planilla de produccion.</t>
        </is>
      </c>
    </row>
    <row r="4" ht="24" customHeight="1">
      <c r="A4" s="6" t="inlineStr">
        <is>
          <t>AREA</t>
        </is>
      </c>
      <c r="B4" s="6" t="inlineStr">
        <is>
          <t>PRODUCTO</t>
        </is>
      </c>
      <c r="C4" s="6" t="inlineStr">
        <is>
          <t>UNIDAD</t>
        </is>
      </c>
      <c r="D4" s="6" t="inlineStr">
        <is>
          <t>DONDE SE ELABORA</t>
        </is>
      </c>
      <c r="E4" s="6" t="inlineStr">
        <is>
          <t>CLAVE (no tocar)</t>
        </is>
      </c>
    </row>
    <row r="5">
      <c r="A5" s="27" t="inlineStr">
        <is>
          <t>Panadería</t>
        </is>
      </c>
      <c r="B5" s="9" t="inlineStr">
        <is>
          <t>Bagel</t>
        </is>
      </c>
      <c r="C5" s="34" t="inlineStr">
        <is>
          <t>u</t>
        </is>
      </c>
      <c r="D5" s="35" t="inlineStr">
        <is>
          <t>Central</t>
        </is>
      </c>
      <c r="E5" s="30">
        <f>$A5&amp;" | "&amp;$B5</f>
        <v/>
      </c>
    </row>
    <row r="6">
      <c r="A6" s="31" t="inlineStr">
        <is>
          <t>Panadería</t>
        </is>
      </c>
      <c r="B6" s="20" t="inlineStr">
        <is>
          <t>Bizcochos</t>
        </is>
      </c>
      <c r="C6" s="36" t="inlineStr">
        <is>
          <t>kg</t>
        </is>
      </c>
      <c r="D6" s="37" t="inlineStr">
        <is>
          <t>Central</t>
        </is>
      </c>
      <c r="E6" s="32">
        <f>$A6&amp;" | "&amp;$B6</f>
        <v/>
      </c>
    </row>
    <row r="7">
      <c r="A7" s="27" t="inlineStr">
        <is>
          <t>Panadería</t>
        </is>
      </c>
      <c r="B7" s="9" t="inlineStr">
        <is>
          <t>Bizcochos de margarina</t>
        </is>
      </c>
      <c r="C7" s="34" t="inlineStr">
        <is>
          <t>kg</t>
        </is>
      </c>
      <c r="D7" s="35" t="inlineStr">
        <is>
          <t>Central</t>
        </is>
      </c>
      <c r="E7" s="30">
        <f>$A7&amp;" | "&amp;$B7</f>
        <v/>
      </c>
    </row>
    <row r="8">
      <c r="A8" s="31" t="inlineStr">
        <is>
          <t>Panadería</t>
        </is>
      </c>
      <c r="B8" s="20" t="inlineStr">
        <is>
          <t>Bizcochos redondos</t>
        </is>
      </c>
      <c r="C8" s="36" t="inlineStr">
        <is>
          <t>kg</t>
        </is>
      </c>
      <c r="D8" s="37" t="inlineStr">
        <is>
          <t>Central</t>
        </is>
      </c>
      <c r="E8" s="32">
        <f>$A8&amp;" | "&amp;$B8</f>
        <v/>
      </c>
    </row>
    <row r="9">
      <c r="A9" s="27" t="inlineStr">
        <is>
          <t>Panadería</t>
        </is>
      </c>
      <c r="B9" s="9" t="inlineStr">
        <is>
          <t>Bollitos B/N</t>
        </is>
      </c>
      <c r="C9" s="34" t="inlineStr">
        <is>
          <t>u</t>
        </is>
      </c>
      <c r="D9" s="35" t="inlineStr">
        <is>
          <t>Central</t>
        </is>
      </c>
      <c r="E9" s="30">
        <f>$A9&amp;" | "&amp;$B9</f>
        <v/>
      </c>
    </row>
    <row r="10">
      <c r="A10" s="31" t="inlineStr">
        <is>
          <t>Panadería</t>
        </is>
      </c>
      <c r="B10" s="20" t="inlineStr">
        <is>
          <t>Bollos grandes</t>
        </is>
      </c>
      <c r="C10" s="36" t="inlineStr">
        <is>
          <t>u</t>
        </is>
      </c>
      <c r="D10" s="37" t="inlineStr">
        <is>
          <t>Central</t>
        </is>
      </c>
      <c r="E10" s="32">
        <f>$A10&amp;" | "&amp;$B10</f>
        <v/>
      </c>
    </row>
    <row r="11">
      <c r="A11" s="27" t="inlineStr">
        <is>
          <t>Panadería</t>
        </is>
      </c>
      <c r="B11" s="9" t="inlineStr">
        <is>
          <t>Caseras</t>
        </is>
      </c>
      <c r="C11" s="34" t="inlineStr">
        <is>
          <t>u</t>
        </is>
      </c>
      <c r="D11" s="35" t="inlineStr">
        <is>
          <t>Central</t>
        </is>
      </c>
      <c r="E11" s="30">
        <f>$A11&amp;" | "&amp;$B11</f>
        <v/>
      </c>
    </row>
    <row r="12">
      <c r="A12" s="31" t="inlineStr">
        <is>
          <t>Panadería</t>
        </is>
      </c>
      <c r="B12" s="20" t="inlineStr">
        <is>
          <t>Caseritas</t>
        </is>
      </c>
      <c r="C12" s="36" t="inlineStr">
        <is>
          <t>u</t>
        </is>
      </c>
      <c r="D12" s="37" t="inlineStr">
        <is>
          <t>Central</t>
        </is>
      </c>
      <c r="E12" s="32">
        <f>$A12&amp;" | "&amp;$B12</f>
        <v/>
      </c>
    </row>
    <row r="13">
      <c r="A13" s="27" t="inlineStr">
        <is>
          <t>Panadería</t>
        </is>
      </c>
      <c r="B13" s="9" t="inlineStr">
        <is>
          <t>Chatas</t>
        </is>
      </c>
      <c r="C13" s="34" t="inlineStr">
        <is>
          <t>kg</t>
        </is>
      </c>
      <c r="D13" s="35" t="inlineStr">
        <is>
          <t>Central</t>
        </is>
      </c>
      <c r="E13" s="30">
        <f>$A13&amp;" | "&amp;$B13</f>
        <v/>
      </c>
    </row>
    <row r="14">
      <c r="A14" s="31" t="inlineStr">
        <is>
          <t>Panadería</t>
        </is>
      </c>
      <c r="B14" s="20" t="inlineStr">
        <is>
          <t>Cremona</t>
        </is>
      </c>
      <c r="C14" s="36" t="inlineStr">
        <is>
          <t>u</t>
        </is>
      </c>
      <c r="D14" s="37" t="inlineStr">
        <is>
          <t>Central</t>
        </is>
      </c>
      <c r="E14" s="32">
        <f>$A14&amp;" | "&amp;$B14</f>
        <v/>
      </c>
    </row>
    <row r="15">
      <c r="A15" s="27" t="inlineStr">
        <is>
          <t>Panadería</t>
        </is>
      </c>
      <c r="B15" s="9" t="inlineStr">
        <is>
          <t>Focaccia</t>
        </is>
      </c>
      <c r="C15" s="34" t="inlineStr">
        <is>
          <t>u</t>
        </is>
      </c>
      <c r="D15" s="35" t="inlineStr">
        <is>
          <t>Central</t>
        </is>
      </c>
      <c r="E15" s="30">
        <f>$A15&amp;" | "&amp;$B15</f>
        <v/>
      </c>
    </row>
    <row r="16">
      <c r="A16" s="31" t="inlineStr">
        <is>
          <t>Panadería</t>
        </is>
      </c>
      <c r="B16" s="20" t="inlineStr">
        <is>
          <t>Libritos</t>
        </is>
      </c>
      <c r="C16" s="36" t="inlineStr">
        <is>
          <t>u</t>
        </is>
      </c>
      <c r="D16" s="37" t="inlineStr">
        <is>
          <t>Central</t>
        </is>
      </c>
      <c r="E16" s="32">
        <f>$A16&amp;" | "&amp;$B16</f>
        <v/>
      </c>
    </row>
    <row r="17">
      <c r="A17" s="27" t="inlineStr">
        <is>
          <t>Panadería</t>
        </is>
      </c>
      <c r="B17" s="9" t="inlineStr">
        <is>
          <t>Mini Baguette</t>
        </is>
      </c>
      <c r="C17" s="34" t="inlineStr">
        <is>
          <t>u</t>
        </is>
      </c>
      <c r="D17" s="35" t="inlineStr">
        <is>
          <t>Central</t>
        </is>
      </c>
      <c r="E17" s="30">
        <f>$A17&amp;" | "&amp;$B17</f>
        <v/>
      </c>
    </row>
    <row r="18">
      <c r="A18" s="31" t="inlineStr">
        <is>
          <t>Panadería</t>
        </is>
      </c>
      <c r="B18" s="20" t="inlineStr">
        <is>
          <t>Miñon</t>
        </is>
      </c>
      <c r="C18" s="36" t="inlineStr">
        <is>
          <t>kg</t>
        </is>
      </c>
      <c r="D18" s="37" t="inlineStr">
        <is>
          <t>Central</t>
        </is>
      </c>
      <c r="E18" s="32">
        <f>$A18&amp;" | "&amp;$B18</f>
        <v/>
      </c>
    </row>
    <row r="19">
      <c r="A19" s="27" t="inlineStr">
        <is>
          <t>Panadería</t>
        </is>
      </c>
      <c r="B19" s="9" t="inlineStr">
        <is>
          <t>Pan de hamburguesa x6</t>
        </is>
      </c>
      <c r="C19" s="34" t="inlineStr">
        <is>
          <t>u</t>
        </is>
      </c>
      <c r="D19" s="35" t="inlineStr">
        <is>
          <t>Central</t>
        </is>
      </c>
      <c r="E19" s="30">
        <f>$A19&amp;" | "&amp;$B19</f>
        <v/>
      </c>
    </row>
    <row r="20">
      <c r="A20" s="31" t="inlineStr">
        <is>
          <t>Panadería</t>
        </is>
      </c>
      <c r="B20" s="20" t="inlineStr">
        <is>
          <t>Pan de leche</t>
        </is>
      </c>
      <c r="C20" s="36" t="inlineStr">
        <is>
          <t>u</t>
        </is>
      </c>
      <c r="D20" s="37" t="inlineStr">
        <is>
          <t>Central</t>
        </is>
      </c>
      <c r="E20" s="32">
        <f>$A20&amp;" | "&amp;$B20</f>
        <v/>
      </c>
    </row>
    <row r="21">
      <c r="A21" s="27" t="inlineStr">
        <is>
          <t>Panadería</t>
        </is>
      </c>
      <c r="B21" s="9" t="inlineStr">
        <is>
          <t>Pan de papa grande</t>
        </is>
      </c>
      <c r="C21" s="34" t="inlineStr">
        <is>
          <t>u</t>
        </is>
      </c>
      <c r="D21" s="35" t="inlineStr">
        <is>
          <t>Central</t>
        </is>
      </c>
      <c r="E21" s="30">
        <f>$A21&amp;" | "&amp;$B21</f>
        <v/>
      </c>
    </row>
    <row r="22">
      <c r="A22" s="31" t="inlineStr">
        <is>
          <t>Panadería</t>
        </is>
      </c>
      <c r="B22" s="20" t="inlineStr">
        <is>
          <t>Pan de papa x4</t>
        </is>
      </c>
      <c r="C22" s="36" t="inlineStr">
        <is>
          <t>u</t>
        </is>
      </c>
      <c r="D22" s="37" t="inlineStr">
        <is>
          <t>Central</t>
        </is>
      </c>
      <c r="E22" s="32">
        <f>$A22&amp;" | "&amp;$B22</f>
        <v/>
      </c>
    </row>
    <row r="23">
      <c r="A23" s="27" t="inlineStr">
        <is>
          <t>Panadería</t>
        </is>
      </c>
      <c r="B23" s="9" t="inlineStr">
        <is>
          <t>Pan de Viena</t>
        </is>
      </c>
      <c r="C23" s="34" t="inlineStr">
        <is>
          <t>u</t>
        </is>
      </c>
      <c r="D23" s="35" t="inlineStr">
        <is>
          <t>Central</t>
        </is>
      </c>
      <c r="E23" s="30">
        <f>$A23&amp;" | "&amp;$B23</f>
        <v/>
      </c>
    </row>
    <row r="24">
      <c r="A24" s="31" t="inlineStr">
        <is>
          <t>Panadería</t>
        </is>
      </c>
      <c r="B24" s="20" t="inlineStr">
        <is>
          <t>Pan lactal blanco</t>
        </is>
      </c>
      <c r="C24" s="36" t="inlineStr">
        <is>
          <t>u</t>
        </is>
      </c>
      <c r="D24" s="37" t="inlineStr">
        <is>
          <t>Central</t>
        </is>
      </c>
      <c r="E24" s="32">
        <f>$A24&amp;" | "&amp;$B24</f>
        <v/>
      </c>
    </row>
    <row r="25">
      <c r="A25" s="27" t="inlineStr">
        <is>
          <t>Panadería</t>
        </is>
      </c>
      <c r="B25" s="9" t="inlineStr">
        <is>
          <t>Pan lactal granos andinos</t>
        </is>
      </c>
      <c r="C25" s="34" t="inlineStr">
        <is>
          <t>u</t>
        </is>
      </c>
      <c r="D25" s="35" t="inlineStr">
        <is>
          <t>Central</t>
        </is>
      </c>
      <c r="E25" s="30">
        <f>$A25&amp;" | "&amp;$B25</f>
        <v/>
      </c>
    </row>
    <row r="26">
      <c r="A26" s="31" t="inlineStr">
        <is>
          <t>Panadería</t>
        </is>
      </c>
      <c r="B26" s="20" t="inlineStr">
        <is>
          <t>Pan lactal multicereal</t>
        </is>
      </c>
      <c r="C26" s="36" t="inlineStr">
        <is>
          <t>u</t>
        </is>
      </c>
      <c r="D26" s="37" t="inlineStr">
        <is>
          <t>Central</t>
        </is>
      </c>
      <c r="E26" s="32">
        <f>$A26&amp;" | "&amp;$B26</f>
        <v/>
      </c>
    </row>
    <row r="27">
      <c r="A27" s="27" t="inlineStr">
        <is>
          <t>Panadería</t>
        </is>
      </c>
      <c r="B27" s="9" t="inlineStr">
        <is>
          <t>Pan lactal salvado</t>
        </is>
      </c>
      <c r="C27" s="34" t="inlineStr">
        <is>
          <t>u</t>
        </is>
      </c>
      <c r="D27" s="35" t="inlineStr">
        <is>
          <t>Central</t>
        </is>
      </c>
      <c r="E27" s="30">
        <f>$A27&amp;" | "&amp;$B27</f>
        <v/>
      </c>
    </row>
    <row r="28">
      <c r="A28" s="31" t="inlineStr">
        <is>
          <t>Panadería</t>
        </is>
      </c>
      <c r="B28" s="20" t="inlineStr">
        <is>
          <t>Pan tostadas blanco</t>
        </is>
      </c>
      <c r="C28" s="36" t="inlineStr">
        <is>
          <t>u</t>
        </is>
      </c>
      <c r="D28" s="37" t="inlineStr">
        <is>
          <t>Central</t>
        </is>
      </c>
      <c r="E28" s="32">
        <f>$A28&amp;" | "&amp;$B28</f>
        <v/>
      </c>
    </row>
    <row r="29">
      <c r="A29" s="27" t="inlineStr">
        <is>
          <t>Panadería</t>
        </is>
      </c>
      <c r="B29" s="9" t="inlineStr">
        <is>
          <t>Pan tostadas granos andinos</t>
        </is>
      </c>
      <c r="C29" s="34" t="inlineStr">
        <is>
          <t>u</t>
        </is>
      </c>
      <c r="D29" s="35" t="inlineStr">
        <is>
          <t>Central</t>
        </is>
      </c>
      <c r="E29" s="30">
        <f>$A29&amp;" | "&amp;$B29</f>
        <v/>
      </c>
    </row>
    <row r="30">
      <c r="A30" s="31" t="inlineStr">
        <is>
          <t>Panadería</t>
        </is>
      </c>
      <c r="B30" s="20" t="inlineStr">
        <is>
          <t>Pan tostadas multicereal</t>
        </is>
      </c>
      <c r="C30" s="36" t="inlineStr">
        <is>
          <t>u</t>
        </is>
      </c>
      <c r="D30" s="37" t="inlineStr">
        <is>
          <t>Central</t>
        </is>
      </c>
      <c r="E30" s="32">
        <f>$A30&amp;" | "&amp;$B30</f>
        <v/>
      </c>
    </row>
    <row r="31">
      <c r="A31" s="27" t="inlineStr">
        <is>
          <t>Panadería</t>
        </is>
      </c>
      <c r="B31" s="9" t="inlineStr">
        <is>
          <t>Pan tostadas salvado</t>
        </is>
      </c>
      <c r="C31" s="34" t="inlineStr">
        <is>
          <t>u</t>
        </is>
      </c>
      <c r="D31" s="35" t="inlineStr">
        <is>
          <t>Central</t>
        </is>
      </c>
      <c r="E31" s="30">
        <f>$A31&amp;" | "&amp;$B31</f>
        <v/>
      </c>
    </row>
    <row r="32">
      <c r="A32" s="31" t="inlineStr">
        <is>
          <t>Panadería</t>
        </is>
      </c>
      <c r="B32" s="20" t="inlineStr">
        <is>
          <t>Pizzetas x4</t>
        </is>
      </c>
      <c r="C32" s="36" t="inlineStr">
        <is>
          <t>u</t>
        </is>
      </c>
      <c r="D32" s="37" t="inlineStr">
        <is>
          <t>Central</t>
        </is>
      </c>
      <c r="E32" s="32">
        <f>$A32&amp;" | "&amp;$B32</f>
        <v/>
      </c>
    </row>
    <row r="33">
      <c r="A33" s="27" t="inlineStr">
        <is>
          <t>Panadería</t>
        </is>
      </c>
      <c r="B33" s="9" t="inlineStr">
        <is>
          <t>Pre-pizzas</t>
        </is>
      </c>
      <c r="C33" s="34" t="inlineStr">
        <is>
          <t>u</t>
        </is>
      </c>
      <c r="D33" s="35" t="inlineStr">
        <is>
          <t>Central</t>
        </is>
      </c>
      <c r="E33" s="30">
        <f>$A33&amp;" | "&amp;$B33</f>
        <v/>
      </c>
    </row>
    <row r="34">
      <c r="A34" s="31" t="inlineStr">
        <is>
          <t>Panadería</t>
        </is>
      </c>
      <c r="B34" s="20" t="inlineStr">
        <is>
          <t>Salvado</t>
        </is>
      </c>
      <c r="C34" s="36" t="inlineStr">
        <is>
          <t>u</t>
        </is>
      </c>
      <c r="D34" s="37" t="inlineStr">
        <is>
          <t>Central</t>
        </is>
      </c>
      <c r="E34" s="32">
        <f>$A34&amp;" | "&amp;$B34</f>
        <v/>
      </c>
    </row>
    <row r="35">
      <c r="A35" s="27" t="inlineStr">
        <is>
          <t>Panadería</t>
        </is>
      </c>
      <c r="B35" s="9" t="inlineStr">
        <is>
          <t>Tortillas</t>
        </is>
      </c>
      <c r="C35" s="34" t="inlineStr">
        <is>
          <t>u</t>
        </is>
      </c>
      <c r="D35" s="35" t="inlineStr">
        <is>
          <t>Central</t>
        </is>
      </c>
      <c r="E35" s="30">
        <f>$A35&amp;" | "&amp;$B35</f>
        <v/>
      </c>
    </row>
    <row r="36">
      <c r="A36" s="31" t="inlineStr">
        <is>
          <t>Panadería</t>
        </is>
      </c>
      <c r="B36" s="20" t="inlineStr">
        <is>
          <t>Tortillon</t>
        </is>
      </c>
      <c r="C36" s="36" t="inlineStr">
        <is>
          <t>u</t>
        </is>
      </c>
      <c r="D36" s="37" t="inlineStr">
        <is>
          <t>Central</t>
        </is>
      </c>
      <c r="E36" s="32">
        <f>$A36&amp;" | "&amp;$B36</f>
        <v/>
      </c>
    </row>
    <row r="37">
      <c r="A37" s="27" t="inlineStr">
        <is>
          <t>Panadería</t>
        </is>
      </c>
      <c r="B37" s="9" t="inlineStr">
        <is>
          <t>TT Bizcochos</t>
        </is>
      </c>
      <c r="C37" s="34" t="inlineStr">
        <is>
          <t>kg</t>
        </is>
      </c>
      <c r="D37" s="35" t="inlineStr">
        <is>
          <t>Central</t>
        </is>
      </c>
      <c r="E37" s="30">
        <f>$A37&amp;" | "&amp;$B37</f>
        <v/>
      </c>
    </row>
    <row r="38">
      <c r="A38" s="31" t="inlineStr">
        <is>
          <t>Panadería</t>
        </is>
      </c>
      <c r="B38" s="20" t="inlineStr">
        <is>
          <t>TT Bollitos blancos</t>
        </is>
      </c>
      <c r="C38" s="36" t="inlineStr">
        <is>
          <t>u</t>
        </is>
      </c>
      <c r="D38" s="37" t="inlineStr">
        <is>
          <t>Central</t>
        </is>
      </c>
      <c r="E38" s="32">
        <f>$A38&amp;" | "&amp;$B38</f>
        <v/>
      </c>
    </row>
    <row r="39">
      <c r="A39" s="27" t="inlineStr">
        <is>
          <t>Panadería</t>
        </is>
      </c>
      <c r="B39" s="9" t="inlineStr">
        <is>
          <t>TT Bollitos negros</t>
        </is>
      </c>
      <c r="C39" s="34" t="inlineStr">
        <is>
          <t>u</t>
        </is>
      </c>
      <c r="D39" s="35" t="inlineStr">
        <is>
          <t>Central</t>
        </is>
      </c>
      <c r="E39" s="30">
        <f>$A39&amp;" | "&amp;$B39</f>
        <v/>
      </c>
    </row>
    <row r="40">
      <c r="A40" s="31" t="inlineStr">
        <is>
          <t>Panadería</t>
        </is>
      </c>
      <c r="B40" s="20" t="inlineStr">
        <is>
          <t>TT Caseras</t>
        </is>
      </c>
      <c r="C40" s="36" t="inlineStr">
        <is>
          <t>u</t>
        </is>
      </c>
      <c r="D40" s="37" t="inlineStr">
        <is>
          <t>Central</t>
        </is>
      </c>
      <c r="E40" s="32">
        <f>$A40&amp;" | "&amp;$B40</f>
        <v/>
      </c>
    </row>
    <row r="41">
      <c r="A41" s="27" t="inlineStr">
        <is>
          <t>Panadería</t>
        </is>
      </c>
      <c r="B41" s="9" t="inlineStr">
        <is>
          <t>TT Caseritas</t>
        </is>
      </c>
      <c r="C41" s="34" t="inlineStr">
        <is>
          <t>u</t>
        </is>
      </c>
      <c r="D41" s="35" t="inlineStr">
        <is>
          <t>Central</t>
        </is>
      </c>
      <c r="E41" s="30">
        <f>$A41&amp;" | "&amp;$B41</f>
        <v/>
      </c>
    </row>
    <row r="42">
      <c r="A42" s="31" t="inlineStr">
        <is>
          <t>Panadería</t>
        </is>
      </c>
      <c r="B42" s="20" t="inlineStr">
        <is>
          <t>TT Chatas</t>
        </is>
      </c>
      <c r="C42" s="36" t="inlineStr">
        <is>
          <t>kg</t>
        </is>
      </c>
      <c r="D42" s="37" t="inlineStr">
        <is>
          <t>Central</t>
        </is>
      </c>
      <c r="E42" s="32">
        <f>$A42&amp;" | "&amp;$B42</f>
        <v/>
      </c>
    </row>
    <row r="43">
      <c r="A43" s="27" t="inlineStr">
        <is>
          <t>Panadería</t>
        </is>
      </c>
      <c r="B43" s="9" t="inlineStr">
        <is>
          <t>TT Facturas</t>
        </is>
      </c>
      <c r="C43" s="34" t="inlineStr">
        <is>
          <t>u</t>
        </is>
      </c>
      <c r="D43" s="35" t="inlineStr">
        <is>
          <t>Central</t>
        </is>
      </c>
      <c r="E43" s="30">
        <f>$A43&amp;" | "&amp;$B43</f>
        <v/>
      </c>
    </row>
    <row r="44">
      <c r="A44" s="31" t="inlineStr">
        <is>
          <t>Panadería</t>
        </is>
      </c>
      <c r="B44" s="20" t="inlineStr">
        <is>
          <t>TT Miñon</t>
        </is>
      </c>
      <c r="C44" s="36" t="inlineStr">
        <is>
          <t>kg</t>
        </is>
      </c>
      <c r="D44" s="37" t="inlineStr">
        <is>
          <t>Central</t>
        </is>
      </c>
      <c r="E44" s="32">
        <f>$A44&amp;" | "&amp;$B44</f>
        <v/>
      </c>
    </row>
    <row r="45">
      <c r="A45" s="27" t="inlineStr">
        <is>
          <t>Panadería</t>
        </is>
      </c>
      <c r="B45" s="9" t="inlineStr">
        <is>
          <t>TT Salvado</t>
        </is>
      </c>
      <c r="C45" s="34" t="inlineStr">
        <is>
          <t>u</t>
        </is>
      </c>
      <c r="D45" s="35" t="inlineStr">
        <is>
          <t>Central</t>
        </is>
      </c>
      <c r="E45" s="30">
        <f>$A45&amp;" | "&amp;$B45</f>
        <v/>
      </c>
    </row>
    <row r="46">
      <c r="A46" s="31" t="inlineStr">
        <is>
          <t>Panadería</t>
        </is>
      </c>
      <c r="B46" s="20" t="inlineStr">
        <is>
          <t>TT Tortillas</t>
        </is>
      </c>
      <c r="C46" s="36" t="inlineStr">
        <is>
          <t>u</t>
        </is>
      </c>
      <c r="D46" s="37" t="inlineStr">
        <is>
          <t>Central</t>
        </is>
      </c>
      <c r="E46" s="32">
        <f>$A46&amp;" | "&amp;$B46</f>
        <v/>
      </c>
    </row>
    <row r="47">
      <c r="A47" s="27" t="inlineStr">
        <is>
          <t>Pastelería</t>
        </is>
      </c>
      <c r="B47" s="9" t="inlineStr">
        <is>
          <t>Alemana</t>
        </is>
      </c>
      <c r="C47" s="34" t="inlineStr">
        <is>
          <t>u</t>
        </is>
      </c>
      <c r="D47" s="35" t="inlineStr">
        <is>
          <t>Central</t>
        </is>
      </c>
      <c r="E47" s="30">
        <f>$A47&amp;" | "&amp;$B47</f>
        <v/>
      </c>
    </row>
    <row r="48">
      <c r="A48" s="31" t="inlineStr">
        <is>
          <t>Pastelería</t>
        </is>
      </c>
      <c r="B48" s="20" t="inlineStr">
        <is>
          <t>Bariloche</t>
        </is>
      </c>
      <c r="C48" s="36" t="inlineStr">
        <is>
          <t>u</t>
        </is>
      </c>
      <c r="D48" s="37" t="inlineStr">
        <is>
          <t>Central</t>
        </is>
      </c>
      <c r="E48" s="32">
        <f>$A48&amp;" | "&amp;$B48</f>
        <v/>
      </c>
    </row>
    <row r="49">
      <c r="A49" s="27" t="inlineStr">
        <is>
          <t>Pastelería</t>
        </is>
      </c>
      <c r="B49" s="9" t="inlineStr">
        <is>
          <t>Cabsha</t>
        </is>
      </c>
      <c r="C49" s="34" t="inlineStr">
        <is>
          <t>u</t>
        </is>
      </c>
      <c r="D49" s="35" t="inlineStr">
        <is>
          <t>Central</t>
        </is>
      </c>
      <c r="E49" s="30">
        <f>$A49&amp;" | "&amp;$B49</f>
        <v/>
      </c>
    </row>
    <row r="50">
      <c r="A50" s="31" t="inlineStr">
        <is>
          <t>Pastelería</t>
        </is>
      </c>
      <c r="B50" s="20" t="inlineStr">
        <is>
          <t>Cheesecake frutos rojos</t>
        </is>
      </c>
      <c r="C50" s="36" t="inlineStr">
        <is>
          <t>u</t>
        </is>
      </c>
      <c r="D50" s="37" t="inlineStr">
        <is>
          <t>Central</t>
        </is>
      </c>
      <c r="E50" s="32">
        <f>$A50&amp;" | "&amp;$B50</f>
        <v/>
      </c>
    </row>
    <row r="51">
      <c r="A51" s="27" t="inlineStr">
        <is>
          <t>Pastelería</t>
        </is>
      </c>
      <c r="B51" s="9" t="inlineStr">
        <is>
          <t>Cheesecake maracuyá</t>
        </is>
      </c>
      <c r="C51" s="34" t="inlineStr">
        <is>
          <t>u</t>
        </is>
      </c>
      <c r="D51" s="35" t="inlineStr">
        <is>
          <t>Central</t>
        </is>
      </c>
      <c r="E51" s="30">
        <f>$A51&amp;" | "&amp;$B51</f>
        <v/>
      </c>
    </row>
    <row r="52">
      <c r="A52" s="31" t="inlineStr">
        <is>
          <t>Pastelería</t>
        </is>
      </c>
      <c r="B52" s="20" t="inlineStr">
        <is>
          <t>Cheesecake NY cocido</t>
        </is>
      </c>
      <c r="C52" s="36" t="inlineStr">
        <is>
          <t>u</t>
        </is>
      </c>
      <c r="D52" s="37" t="inlineStr">
        <is>
          <t>Central</t>
        </is>
      </c>
      <c r="E52" s="32">
        <f>$A52&amp;" | "&amp;$B52</f>
        <v/>
      </c>
    </row>
    <row r="53">
      <c r="A53" s="27" t="inlineStr">
        <is>
          <t>Pastelería</t>
        </is>
      </c>
      <c r="B53" s="9" t="inlineStr">
        <is>
          <t>Chocotorta</t>
        </is>
      </c>
      <c r="C53" s="34" t="inlineStr">
        <is>
          <t>u</t>
        </is>
      </c>
      <c r="D53" s="35" t="inlineStr">
        <is>
          <t>Central</t>
        </is>
      </c>
      <c r="E53" s="30">
        <f>$A53&amp;" | "&amp;$B53</f>
        <v/>
      </c>
    </row>
    <row r="54">
      <c r="A54" s="31" t="inlineStr">
        <is>
          <t>Pastelería</t>
        </is>
      </c>
      <c r="B54" s="20" t="inlineStr">
        <is>
          <t>Delicia con chocolates</t>
        </is>
      </c>
      <c r="C54" s="36" t="inlineStr">
        <is>
          <t>u</t>
        </is>
      </c>
      <c r="D54" s="37" t="inlineStr">
        <is>
          <t>Central</t>
        </is>
      </c>
      <c r="E54" s="32">
        <f>$A54&amp;" | "&amp;$B54</f>
        <v/>
      </c>
    </row>
    <row r="55">
      <c r="A55" s="27" t="inlineStr">
        <is>
          <t>Pastelería</t>
        </is>
      </c>
      <c r="B55" s="9" t="inlineStr">
        <is>
          <t>Delicia con frutas</t>
        </is>
      </c>
      <c r="C55" s="34" t="inlineStr">
        <is>
          <t>u</t>
        </is>
      </c>
      <c r="D55" s="35" t="inlineStr">
        <is>
          <t>Central</t>
        </is>
      </c>
      <c r="E55" s="30">
        <f>$A55&amp;" | "&amp;$B55</f>
        <v/>
      </c>
    </row>
    <row r="56">
      <c r="A56" s="31" t="inlineStr">
        <is>
          <t>Pastelería</t>
        </is>
      </c>
      <c r="B56" s="20" t="inlineStr">
        <is>
          <t>Lemon Pie</t>
        </is>
      </c>
      <c r="C56" s="36" t="inlineStr">
        <is>
          <t>u</t>
        </is>
      </c>
      <c r="D56" s="37" t="inlineStr">
        <is>
          <t>Central</t>
        </is>
      </c>
      <c r="E56" s="32">
        <f>$A56&amp;" | "&amp;$B56</f>
        <v/>
      </c>
    </row>
    <row r="57">
      <c r="A57" s="27" t="inlineStr">
        <is>
          <t>Pastelería</t>
        </is>
      </c>
      <c r="B57" s="9" t="inlineStr">
        <is>
          <t>Marquise</t>
        </is>
      </c>
      <c r="C57" s="34" t="inlineStr">
        <is>
          <t>u</t>
        </is>
      </c>
      <c r="D57" s="35" t="inlineStr">
        <is>
          <t>Central</t>
        </is>
      </c>
      <c r="E57" s="30">
        <f>$A57&amp;" | "&amp;$B57</f>
        <v/>
      </c>
    </row>
    <row r="58">
      <c r="A58" s="31" t="inlineStr">
        <is>
          <t>Pastelería</t>
        </is>
      </c>
      <c r="B58" s="20" t="inlineStr">
        <is>
          <t>Mini Cabsha</t>
        </is>
      </c>
      <c r="C58" s="36" t="inlineStr">
        <is>
          <t>u</t>
        </is>
      </c>
      <c r="D58" s="37" t="inlineStr">
        <is>
          <t>Central</t>
        </is>
      </c>
      <c r="E58" s="32">
        <f>$A58&amp;" | "&amp;$B58</f>
        <v/>
      </c>
    </row>
    <row r="59">
      <c r="A59" s="27" t="inlineStr">
        <is>
          <t>Pastelería</t>
        </is>
      </c>
      <c r="B59" s="9" t="inlineStr">
        <is>
          <t>Mini Lemon Pie</t>
        </is>
      </c>
      <c r="C59" s="34" t="inlineStr">
        <is>
          <t>u</t>
        </is>
      </c>
      <c r="D59" s="35" t="inlineStr">
        <is>
          <t>Central</t>
        </is>
      </c>
      <c r="E59" s="30">
        <f>$A59&amp;" | "&amp;$B59</f>
        <v/>
      </c>
    </row>
    <row r="60">
      <c r="A60" s="31" t="inlineStr">
        <is>
          <t>Pastelería</t>
        </is>
      </c>
      <c r="B60" s="20" t="inlineStr">
        <is>
          <t>Mini Turrón Salteño</t>
        </is>
      </c>
      <c r="C60" s="36" t="inlineStr">
        <is>
          <t>u</t>
        </is>
      </c>
      <c r="D60" s="37" t="inlineStr">
        <is>
          <t>Central</t>
        </is>
      </c>
      <c r="E60" s="32">
        <f>$A60&amp;" | "&amp;$B60</f>
        <v/>
      </c>
    </row>
    <row r="61">
      <c r="A61" s="27" t="inlineStr">
        <is>
          <t>Pastelería</t>
        </is>
      </c>
      <c r="B61" s="9" t="inlineStr">
        <is>
          <t>Minitarta frutal</t>
        </is>
      </c>
      <c r="C61" s="34" t="inlineStr">
        <is>
          <t>u</t>
        </is>
      </c>
      <c r="D61" s="35" t="inlineStr">
        <is>
          <t>Central</t>
        </is>
      </c>
      <c r="E61" s="30">
        <f>$A61&amp;" | "&amp;$B61</f>
        <v/>
      </c>
    </row>
    <row r="62">
      <c r="A62" s="31" t="inlineStr">
        <is>
          <t>Pastelería</t>
        </is>
      </c>
      <c r="B62" s="20" t="inlineStr">
        <is>
          <t>Nutella</t>
        </is>
      </c>
      <c r="C62" s="36" t="inlineStr">
        <is>
          <t>u</t>
        </is>
      </c>
      <c r="D62" s="37" t="inlineStr">
        <is>
          <t>Central</t>
        </is>
      </c>
      <c r="E62" s="32">
        <f>$A62&amp;" | "&amp;$B62</f>
        <v/>
      </c>
    </row>
    <row r="63">
      <c r="A63" s="27" t="inlineStr">
        <is>
          <t>Pastelería</t>
        </is>
      </c>
      <c r="B63" s="9" t="inlineStr">
        <is>
          <t>Oreo</t>
        </is>
      </c>
      <c r="C63" s="34" t="inlineStr">
        <is>
          <t>u</t>
        </is>
      </c>
      <c r="D63" s="35" t="inlineStr">
        <is>
          <t>Central</t>
        </is>
      </c>
      <c r="E63" s="30">
        <f>$A63&amp;" | "&amp;$B63</f>
        <v/>
      </c>
    </row>
    <row r="64">
      <c r="A64" s="31" t="inlineStr">
        <is>
          <t>Pastelería</t>
        </is>
      </c>
      <c r="B64" s="20" t="inlineStr">
        <is>
          <t>Porción Alemana</t>
        </is>
      </c>
      <c r="C64" s="36" t="inlineStr">
        <is>
          <t>u</t>
        </is>
      </c>
      <c r="D64" s="37" t="inlineStr">
        <is>
          <t>Central</t>
        </is>
      </c>
      <c r="E64" s="32">
        <f>$A64&amp;" | "&amp;$B64</f>
        <v/>
      </c>
    </row>
    <row r="65">
      <c r="A65" s="27" t="inlineStr">
        <is>
          <t>Pastelería</t>
        </is>
      </c>
      <c r="B65" s="9" t="inlineStr">
        <is>
          <t>Porción Bariloche</t>
        </is>
      </c>
      <c r="C65" s="34" t="inlineStr">
        <is>
          <t>u</t>
        </is>
      </c>
      <c r="D65" s="35" t="inlineStr">
        <is>
          <t>Central</t>
        </is>
      </c>
      <c r="E65" s="30">
        <f>$A65&amp;" | "&amp;$B65</f>
        <v/>
      </c>
    </row>
    <row r="66">
      <c r="A66" s="31" t="inlineStr">
        <is>
          <t>Pastelería</t>
        </is>
      </c>
      <c r="B66" s="20" t="inlineStr">
        <is>
          <t>Porción Brownie c/fruta</t>
        </is>
      </c>
      <c r="C66" s="36" t="inlineStr">
        <is>
          <t>u</t>
        </is>
      </c>
      <c r="D66" s="37" t="inlineStr">
        <is>
          <t>Central</t>
        </is>
      </c>
      <c r="E66" s="32">
        <f>$A66&amp;" | "&amp;$B66</f>
        <v/>
      </c>
    </row>
    <row r="67">
      <c r="A67" s="27" t="inlineStr">
        <is>
          <t>Pastelería</t>
        </is>
      </c>
      <c r="B67" s="9" t="inlineStr">
        <is>
          <t>Porción Brownie c/chocolates</t>
        </is>
      </c>
      <c r="C67" s="34" t="inlineStr">
        <is>
          <t>u</t>
        </is>
      </c>
      <c r="D67" s="35" t="inlineStr">
        <is>
          <t>Central</t>
        </is>
      </c>
      <c r="E67" s="30">
        <f>$A67&amp;" | "&amp;$B67</f>
        <v/>
      </c>
    </row>
    <row r="68">
      <c r="A68" s="31" t="inlineStr">
        <is>
          <t>Pastelería</t>
        </is>
      </c>
      <c r="B68" s="20" t="inlineStr">
        <is>
          <t>Porción Carrot Cake</t>
        </is>
      </c>
      <c r="C68" s="36" t="inlineStr">
        <is>
          <t>u</t>
        </is>
      </c>
      <c r="D68" s="37" t="inlineStr">
        <is>
          <t>Central</t>
        </is>
      </c>
      <c r="E68" s="32">
        <f>$A68&amp;" | "&amp;$B68</f>
        <v/>
      </c>
    </row>
    <row r="69">
      <c r="A69" s="27" t="inlineStr">
        <is>
          <t>Pastelería</t>
        </is>
      </c>
      <c r="B69" s="9" t="inlineStr">
        <is>
          <t>Porción Cheesecake frutos rojos</t>
        </is>
      </c>
      <c r="C69" s="34" t="inlineStr">
        <is>
          <t>u</t>
        </is>
      </c>
      <c r="D69" s="35" t="inlineStr">
        <is>
          <t>Central</t>
        </is>
      </c>
      <c r="E69" s="30">
        <f>$A69&amp;" | "&amp;$B69</f>
        <v/>
      </c>
    </row>
    <row r="70">
      <c r="A70" s="31" t="inlineStr">
        <is>
          <t>Pastelería</t>
        </is>
      </c>
      <c r="B70" s="20" t="inlineStr">
        <is>
          <t>Porción Cheesecake maracuyá</t>
        </is>
      </c>
      <c r="C70" s="36" t="inlineStr">
        <is>
          <t>u</t>
        </is>
      </c>
      <c r="D70" s="37" t="inlineStr">
        <is>
          <t>Central</t>
        </is>
      </c>
      <c r="E70" s="32">
        <f>$A70&amp;" | "&amp;$B70</f>
        <v/>
      </c>
    </row>
    <row r="71">
      <c r="A71" s="27" t="inlineStr">
        <is>
          <t>Pastelería</t>
        </is>
      </c>
      <c r="B71" s="9" t="inlineStr">
        <is>
          <t>Porción Oreo</t>
        </is>
      </c>
      <c r="C71" s="34" t="inlineStr">
        <is>
          <t>u</t>
        </is>
      </c>
      <c r="D71" s="35" t="inlineStr">
        <is>
          <t>Central</t>
        </is>
      </c>
      <c r="E71" s="30">
        <f>$A71&amp;" | "&amp;$B71</f>
        <v/>
      </c>
    </row>
    <row r="72">
      <c r="A72" s="31" t="inlineStr">
        <is>
          <t>Pastelería</t>
        </is>
      </c>
      <c r="B72" s="20" t="inlineStr">
        <is>
          <t>Porción Pistachos</t>
        </is>
      </c>
      <c r="C72" s="36" t="inlineStr">
        <is>
          <t>u</t>
        </is>
      </c>
      <c r="D72" s="37" t="inlineStr">
        <is>
          <t>Central</t>
        </is>
      </c>
      <c r="E72" s="32">
        <f>$A72&amp;" | "&amp;$B72</f>
        <v/>
      </c>
    </row>
    <row r="73">
      <c r="A73" s="27" t="inlineStr">
        <is>
          <t>Pastelería</t>
        </is>
      </c>
      <c r="B73" s="9" t="inlineStr">
        <is>
          <t>Porción Red Velvet</t>
        </is>
      </c>
      <c r="C73" s="34" t="inlineStr">
        <is>
          <t>u</t>
        </is>
      </c>
      <c r="D73" s="35" t="inlineStr">
        <is>
          <t>Central</t>
        </is>
      </c>
      <c r="E73" s="30">
        <f>$A73&amp;" | "&amp;$B73</f>
        <v/>
      </c>
    </row>
    <row r="74">
      <c r="A74" s="31" t="inlineStr">
        <is>
          <t>Pastelería</t>
        </is>
      </c>
      <c r="B74" s="20" t="inlineStr">
        <is>
          <t>Porción Selva Negra</t>
        </is>
      </c>
      <c r="C74" s="36" t="inlineStr">
        <is>
          <t>u</t>
        </is>
      </c>
      <c r="D74" s="37" t="inlineStr">
        <is>
          <t>Central</t>
        </is>
      </c>
      <c r="E74" s="32">
        <f>$A74&amp;" | "&amp;$B74</f>
        <v/>
      </c>
    </row>
    <row r="75">
      <c r="A75" s="27" t="inlineStr">
        <is>
          <t>Pastelería</t>
        </is>
      </c>
      <c r="B75" s="9" t="inlineStr">
        <is>
          <t>Porción Tiramisú</t>
        </is>
      </c>
      <c r="C75" s="34" t="inlineStr">
        <is>
          <t>u</t>
        </is>
      </c>
      <c r="D75" s="35" t="inlineStr">
        <is>
          <t>Central</t>
        </is>
      </c>
      <c r="E75" s="30">
        <f>$A75&amp;" | "&amp;$B75</f>
        <v/>
      </c>
    </row>
    <row r="76">
      <c r="A76" s="31" t="inlineStr">
        <is>
          <t>Pastelería</t>
        </is>
      </c>
      <c r="B76" s="20" t="inlineStr">
        <is>
          <t>Porción Tres Leches</t>
        </is>
      </c>
      <c r="C76" s="36" t="inlineStr">
        <is>
          <t>u</t>
        </is>
      </c>
      <c r="D76" s="37" t="inlineStr">
        <is>
          <t>Central</t>
        </is>
      </c>
      <c r="E76" s="32">
        <f>$A76&amp;" | "&amp;$B76</f>
        <v/>
      </c>
    </row>
    <row r="77">
      <c r="A77" s="27" t="inlineStr">
        <is>
          <t>Pastelería</t>
        </is>
      </c>
      <c r="B77" s="9" t="inlineStr">
        <is>
          <t>Rogel</t>
        </is>
      </c>
      <c r="C77" s="34" t="inlineStr">
        <is>
          <t>u</t>
        </is>
      </c>
      <c r="D77" s="35" t="inlineStr">
        <is>
          <t>Central</t>
        </is>
      </c>
      <c r="E77" s="30">
        <f>$A77&amp;" | "&amp;$B77</f>
        <v/>
      </c>
    </row>
    <row r="78">
      <c r="A78" s="31" t="inlineStr">
        <is>
          <t>Pastelería</t>
        </is>
      </c>
      <c r="B78" s="20" t="inlineStr">
        <is>
          <t>Selva Negra</t>
        </is>
      </c>
      <c r="C78" s="36" t="inlineStr">
        <is>
          <t>u</t>
        </is>
      </c>
      <c r="D78" s="37" t="inlineStr">
        <is>
          <t>Central</t>
        </is>
      </c>
      <c r="E78" s="32">
        <f>$A78&amp;" | "&amp;$B78</f>
        <v/>
      </c>
    </row>
    <row r="79">
      <c r="A79" s="27" t="inlineStr">
        <is>
          <t>Pastelería</t>
        </is>
      </c>
      <c r="B79" s="9" t="inlineStr">
        <is>
          <t>Tarta frutal</t>
        </is>
      </c>
      <c r="C79" s="34" t="inlineStr">
        <is>
          <t>u</t>
        </is>
      </c>
      <c r="D79" s="35" t="inlineStr">
        <is>
          <t>Central</t>
        </is>
      </c>
      <c r="E79" s="30">
        <f>$A79&amp;" | "&amp;$B79</f>
        <v/>
      </c>
    </row>
    <row r="80">
      <c r="A80" s="31" t="inlineStr">
        <is>
          <t>Pastelería</t>
        </is>
      </c>
      <c r="B80" s="20" t="inlineStr">
        <is>
          <t>Tiramisú</t>
        </is>
      </c>
      <c r="C80" s="36" t="inlineStr">
        <is>
          <t>u</t>
        </is>
      </c>
      <c r="D80" s="37" t="inlineStr">
        <is>
          <t>Central</t>
        </is>
      </c>
      <c r="E80" s="32">
        <f>$A80&amp;" | "&amp;$B80</f>
        <v/>
      </c>
    </row>
    <row r="81">
      <c r="A81" s="27" t="inlineStr">
        <is>
          <t>Pastelería</t>
        </is>
      </c>
      <c r="B81" s="9" t="inlineStr">
        <is>
          <t>Torta de duraznos</t>
        </is>
      </c>
      <c r="C81" s="34" t="inlineStr">
        <is>
          <t>u</t>
        </is>
      </c>
      <c r="D81" s="35" t="inlineStr">
        <is>
          <t>Central</t>
        </is>
      </c>
      <c r="E81" s="30">
        <f>$A81&amp;" | "&amp;$B81</f>
        <v/>
      </c>
    </row>
    <row r="82">
      <c r="A82" s="31" t="inlineStr">
        <is>
          <t>Pastelería</t>
        </is>
      </c>
      <c r="B82" s="20" t="inlineStr">
        <is>
          <t>Torta de hojaldre</t>
        </is>
      </c>
      <c r="C82" s="36" t="inlineStr">
        <is>
          <t>u</t>
        </is>
      </c>
      <c r="D82" s="37" t="inlineStr">
        <is>
          <t>Central</t>
        </is>
      </c>
      <c r="E82" s="32">
        <f>$A82&amp;" | "&amp;$B82</f>
        <v/>
      </c>
    </row>
    <row r="83">
      <c r="A83" s="27" t="inlineStr">
        <is>
          <t>Pastelería</t>
        </is>
      </c>
      <c r="B83" s="9" t="inlineStr">
        <is>
          <t>Tres Leches</t>
        </is>
      </c>
      <c r="C83" s="34" t="inlineStr">
        <is>
          <t>u</t>
        </is>
      </c>
      <c r="D83" s="35" t="inlineStr">
        <is>
          <t>Central</t>
        </is>
      </c>
      <c r="E83" s="30">
        <f>$A83&amp;" | "&amp;$B83</f>
        <v/>
      </c>
    </row>
    <row r="84">
      <c r="A84" s="31" t="inlineStr">
        <is>
          <t>Pastelería</t>
        </is>
      </c>
      <c r="B84" s="20" t="inlineStr">
        <is>
          <t>Turrón Salteño</t>
        </is>
      </c>
      <c r="C84" s="36" t="inlineStr">
        <is>
          <t>u</t>
        </is>
      </c>
      <c r="D84" s="37" t="inlineStr">
        <is>
          <t>Central</t>
        </is>
      </c>
      <c r="E84" s="32">
        <f>$A84&amp;" | "&amp;$B84</f>
        <v/>
      </c>
    </row>
    <row r="85">
      <c r="A85" s="27" t="inlineStr">
        <is>
          <t>Especialidades</t>
        </is>
      </c>
      <c r="B85" s="9" t="inlineStr">
        <is>
          <t>Alfajores choco blanco</t>
        </is>
      </c>
      <c r="C85" s="34" t="inlineStr">
        <is>
          <t>u</t>
        </is>
      </c>
      <c r="D85" s="35" t="inlineStr">
        <is>
          <t>Central</t>
        </is>
      </c>
      <c r="E85" s="30">
        <f>$A85&amp;" | "&amp;$B85</f>
        <v/>
      </c>
    </row>
    <row r="86">
      <c r="A86" s="31" t="inlineStr">
        <is>
          <t>Especialidades</t>
        </is>
      </c>
      <c r="B86" s="20" t="inlineStr">
        <is>
          <t>Alfajores choco negro</t>
        </is>
      </c>
      <c r="C86" s="36" t="inlineStr">
        <is>
          <t>u</t>
        </is>
      </c>
      <c r="D86" s="37" t="inlineStr">
        <is>
          <t>Central</t>
        </is>
      </c>
      <c r="E86" s="32">
        <f>$A86&amp;" | "&amp;$B86</f>
        <v/>
      </c>
    </row>
    <row r="87">
      <c r="A87" s="27" t="inlineStr">
        <is>
          <t>Especialidades</t>
        </is>
      </c>
      <c r="B87" s="9" t="inlineStr">
        <is>
          <t>Alfajores choco negro grande</t>
        </is>
      </c>
      <c r="C87" s="34" t="inlineStr">
        <is>
          <t>u</t>
        </is>
      </c>
      <c r="D87" s="35" t="inlineStr">
        <is>
          <t>Central</t>
        </is>
      </c>
      <c r="E87" s="30">
        <f>$A87&amp;" | "&amp;$B87</f>
        <v/>
      </c>
    </row>
    <row r="88">
      <c r="A88" s="31" t="inlineStr">
        <is>
          <t>Especialidades</t>
        </is>
      </c>
      <c r="B88" s="20" t="inlineStr">
        <is>
          <t>Alfajores impalpable</t>
        </is>
      </c>
      <c r="C88" s="36" t="inlineStr">
        <is>
          <t>u</t>
        </is>
      </c>
      <c r="D88" s="37" t="inlineStr">
        <is>
          <t>Central</t>
        </is>
      </c>
      <c r="E88" s="32">
        <f>$A88&amp;" | "&amp;$B88</f>
        <v/>
      </c>
    </row>
    <row r="89">
      <c r="A89" s="27" t="inlineStr">
        <is>
          <t>Especialidades</t>
        </is>
      </c>
      <c r="B89" s="9" t="inlineStr">
        <is>
          <t>Boulévant</t>
        </is>
      </c>
      <c r="C89" s="34" t="inlineStr">
        <is>
          <t>u</t>
        </is>
      </c>
      <c r="D89" s="35" t="inlineStr">
        <is>
          <t>Central</t>
        </is>
      </c>
      <c r="E89" s="30">
        <f>$A89&amp;" | "&amp;$B89</f>
        <v/>
      </c>
    </row>
    <row r="90">
      <c r="A90" s="31" t="inlineStr">
        <is>
          <t>Especialidades</t>
        </is>
      </c>
      <c r="B90" s="20" t="inlineStr">
        <is>
          <t>Budín x kg naranja y amapola</t>
        </is>
      </c>
      <c r="C90" s="36" t="inlineStr">
        <is>
          <t>kg</t>
        </is>
      </c>
      <c r="D90" s="37" t="inlineStr">
        <is>
          <t>Central</t>
        </is>
      </c>
      <c r="E90" s="32">
        <f>$A90&amp;" | "&amp;$B90</f>
        <v/>
      </c>
    </row>
    <row r="91">
      <c r="A91" s="27" t="inlineStr">
        <is>
          <t>Especialidades</t>
        </is>
      </c>
      <c r="B91" s="9" t="inlineStr">
        <is>
          <t>Budín x kg nuez y dulce</t>
        </is>
      </c>
      <c r="C91" s="34" t="inlineStr">
        <is>
          <t>kg</t>
        </is>
      </c>
      <c r="D91" s="35" t="inlineStr">
        <is>
          <t>Central</t>
        </is>
      </c>
      <c r="E91" s="30">
        <f>$A91&amp;" | "&amp;$B91</f>
        <v/>
      </c>
    </row>
    <row r="92">
      <c r="A92" s="31" t="inlineStr">
        <is>
          <t>Especialidades</t>
        </is>
      </c>
      <c r="B92" s="20" t="inlineStr">
        <is>
          <t>Budín x unidad chico</t>
        </is>
      </c>
      <c r="C92" s="36" t="inlineStr">
        <is>
          <t>u</t>
        </is>
      </c>
      <c r="D92" s="37" t="inlineStr">
        <is>
          <t>Central</t>
        </is>
      </c>
      <c r="E92" s="32">
        <f>$A92&amp;" | "&amp;$B92</f>
        <v/>
      </c>
    </row>
    <row r="93">
      <c r="A93" s="27" t="inlineStr">
        <is>
          <t>Especialidades</t>
        </is>
      </c>
      <c r="B93" s="9" t="inlineStr">
        <is>
          <t>Cañoncitos</t>
        </is>
      </c>
      <c r="C93" s="34" t="inlineStr">
        <is>
          <t>u</t>
        </is>
      </c>
      <c r="D93" s="35" t="inlineStr">
        <is>
          <t>Central</t>
        </is>
      </c>
      <c r="E93" s="30">
        <f>$A93&amp;" | "&amp;$B93</f>
        <v/>
      </c>
    </row>
    <row r="94">
      <c r="A94" s="31" t="inlineStr">
        <is>
          <t>Especialidades</t>
        </is>
      </c>
      <c r="B94" s="20" t="inlineStr">
        <is>
          <t>Carasucias</t>
        </is>
      </c>
      <c r="C94" s="36" t="inlineStr">
        <is>
          <t>u</t>
        </is>
      </c>
      <c r="D94" s="37" t="inlineStr">
        <is>
          <t>Central</t>
        </is>
      </c>
      <c r="E94" s="32">
        <f>$A94&amp;" | "&amp;$B94</f>
        <v/>
      </c>
    </row>
    <row r="95">
      <c r="A95" s="27" t="inlineStr">
        <is>
          <t>Especialidades</t>
        </is>
      </c>
      <c r="B95" s="9" t="inlineStr">
        <is>
          <t>Chipa</t>
        </is>
      </c>
      <c r="C95" s="34" t="inlineStr">
        <is>
          <t>u</t>
        </is>
      </c>
      <c r="D95" s="35" t="inlineStr">
        <is>
          <t>Central</t>
        </is>
      </c>
      <c r="E95" s="30">
        <f>$A95&amp;" | "&amp;$B95</f>
        <v/>
      </c>
    </row>
    <row r="96">
      <c r="A96" s="31" t="inlineStr">
        <is>
          <t>Especialidades</t>
        </is>
      </c>
      <c r="B96" s="20" t="inlineStr">
        <is>
          <t>Chipa crudo bandeja x30</t>
        </is>
      </c>
      <c r="C96" s="36" t="inlineStr">
        <is>
          <t>u</t>
        </is>
      </c>
      <c r="D96" s="37" t="inlineStr">
        <is>
          <t>Central</t>
        </is>
      </c>
      <c r="E96" s="32">
        <f>$A96&amp;" | "&amp;$B96</f>
        <v/>
      </c>
    </row>
    <row r="97">
      <c r="A97" s="27" t="inlineStr">
        <is>
          <t>Especialidades</t>
        </is>
      </c>
      <c r="B97" s="9" t="inlineStr">
        <is>
          <t>Chips p/sandwich</t>
        </is>
      </c>
      <c r="C97" s="34" t="inlineStr">
        <is>
          <t>u</t>
        </is>
      </c>
      <c r="D97" s="35" t="inlineStr">
        <is>
          <t>Central</t>
        </is>
      </c>
      <c r="E97" s="30">
        <f>$A97&amp;" | "&amp;$B97</f>
        <v/>
      </c>
    </row>
    <row r="98">
      <c r="A98" s="31" t="inlineStr">
        <is>
          <t>Especialidades</t>
        </is>
      </c>
      <c r="B98" s="20" t="inlineStr">
        <is>
          <t>Conitos</t>
        </is>
      </c>
      <c r="C98" s="36" t="inlineStr">
        <is>
          <t>u</t>
        </is>
      </c>
      <c r="D98" s="37" t="inlineStr">
        <is>
          <t>Central</t>
        </is>
      </c>
      <c r="E98" s="32">
        <f>$A98&amp;" | "&amp;$B98</f>
        <v/>
      </c>
    </row>
    <row r="99">
      <c r="A99" s="27" t="inlineStr">
        <is>
          <t>Especialidades</t>
        </is>
      </c>
      <c r="B99" s="9" t="inlineStr">
        <is>
          <t>Cookies chips choco</t>
        </is>
      </c>
      <c r="C99" s="34" t="inlineStr">
        <is>
          <t>u</t>
        </is>
      </c>
      <c r="D99" s="35" t="inlineStr">
        <is>
          <t>Central</t>
        </is>
      </c>
      <c r="E99" s="30">
        <f>$A99&amp;" | "&amp;$B99</f>
        <v/>
      </c>
    </row>
    <row r="100">
      <c r="A100" s="31" t="inlineStr">
        <is>
          <t>Especialidades</t>
        </is>
      </c>
      <c r="B100" s="20" t="inlineStr">
        <is>
          <t>Cupcake</t>
        </is>
      </c>
      <c r="C100" s="36" t="inlineStr">
        <is>
          <t>u</t>
        </is>
      </c>
      <c r="D100" s="37" t="inlineStr">
        <is>
          <t>Central</t>
        </is>
      </c>
      <c r="E100" s="32">
        <f>$A100&amp;" | "&amp;$B100</f>
        <v/>
      </c>
    </row>
    <row r="101">
      <c r="A101" s="27" t="inlineStr">
        <is>
          <t>Especialidades</t>
        </is>
      </c>
      <c r="B101" s="9" t="inlineStr">
        <is>
          <t>Donas</t>
        </is>
      </c>
      <c r="C101" s="34" t="inlineStr">
        <is>
          <t>u</t>
        </is>
      </c>
      <c r="D101" s="35" t="inlineStr">
        <is>
          <t>Central</t>
        </is>
      </c>
      <c r="E101" s="30">
        <f>$A101&amp;" | "&amp;$B101</f>
        <v/>
      </c>
    </row>
    <row r="102">
      <c r="A102" s="31" t="inlineStr">
        <is>
          <t>Especialidades</t>
        </is>
      </c>
      <c r="B102" s="20" t="inlineStr">
        <is>
          <t>Figazzas</t>
        </is>
      </c>
      <c r="C102" s="36" t="inlineStr">
        <is>
          <t>u</t>
        </is>
      </c>
      <c r="D102" s="37" t="inlineStr">
        <is>
          <t>Central</t>
        </is>
      </c>
      <c r="E102" s="32">
        <f>$A102&amp;" | "&amp;$B102</f>
        <v/>
      </c>
    </row>
    <row r="103">
      <c r="A103" s="27" t="inlineStr">
        <is>
          <t>Especialidades</t>
        </is>
      </c>
      <c r="B103" s="9" t="inlineStr">
        <is>
          <t>Galletas de agua</t>
        </is>
      </c>
      <c r="C103" s="34" t="inlineStr">
        <is>
          <t>u</t>
        </is>
      </c>
      <c r="D103" s="35" t="inlineStr">
        <is>
          <t>Central</t>
        </is>
      </c>
      <c r="E103" s="30">
        <f>$A103&amp;" | "&amp;$B103</f>
        <v/>
      </c>
    </row>
    <row r="104">
      <c r="A104" s="31" t="inlineStr">
        <is>
          <t>Especialidades</t>
        </is>
      </c>
      <c r="B104" s="20" t="inlineStr">
        <is>
          <t>Galletas de agua semillas</t>
        </is>
      </c>
      <c r="C104" s="36" t="inlineStr">
        <is>
          <t>u</t>
        </is>
      </c>
      <c r="D104" s="37" t="inlineStr">
        <is>
          <t>Central</t>
        </is>
      </c>
      <c r="E104" s="32">
        <f>$A104&amp;" | "&amp;$B104</f>
        <v/>
      </c>
    </row>
    <row r="105">
      <c r="A105" s="27" t="inlineStr">
        <is>
          <t>Especialidades</t>
        </is>
      </c>
      <c r="B105" s="9" t="inlineStr">
        <is>
          <t>Maicenas chicas</t>
        </is>
      </c>
      <c r="C105" s="34" t="inlineStr">
        <is>
          <t>u</t>
        </is>
      </c>
      <c r="D105" s="35" t="inlineStr">
        <is>
          <t>Central</t>
        </is>
      </c>
      <c r="E105" s="30">
        <f>$A105&amp;" | "&amp;$B105</f>
        <v/>
      </c>
    </row>
    <row r="106">
      <c r="A106" s="31" t="inlineStr">
        <is>
          <t>Especialidades</t>
        </is>
      </c>
      <c r="B106" s="20" t="inlineStr">
        <is>
          <t>Maicenas grandes</t>
        </is>
      </c>
      <c r="C106" s="36" t="inlineStr">
        <is>
          <t>u</t>
        </is>
      </c>
      <c r="D106" s="37" t="inlineStr">
        <is>
          <t>Central</t>
        </is>
      </c>
      <c r="E106" s="32">
        <f>$A106&amp;" | "&amp;$B106</f>
        <v/>
      </c>
    </row>
    <row r="107">
      <c r="A107" s="27" t="inlineStr">
        <is>
          <t>Especialidades</t>
        </is>
      </c>
      <c r="B107" s="9" t="inlineStr">
        <is>
          <t>Milhojas c/chocolate</t>
        </is>
      </c>
      <c r="C107" s="34" t="inlineStr">
        <is>
          <t>u</t>
        </is>
      </c>
      <c r="D107" s="35" t="inlineStr">
        <is>
          <t>Central</t>
        </is>
      </c>
      <c r="E107" s="30">
        <f>$A107&amp;" | "&amp;$B107</f>
        <v/>
      </c>
    </row>
    <row r="108">
      <c r="A108" s="31" t="inlineStr">
        <is>
          <t>Especialidades</t>
        </is>
      </c>
      <c r="B108" s="20" t="inlineStr">
        <is>
          <t>Milhojas c/fondant</t>
        </is>
      </c>
      <c r="C108" s="36" t="inlineStr">
        <is>
          <t>u</t>
        </is>
      </c>
      <c r="D108" s="37" t="inlineStr">
        <is>
          <t>Central</t>
        </is>
      </c>
      <c r="E108" s="32">
        <f>$A108&amp;" | "&amp;$B108</f>
        <v/>
      </c>
    </row>
    <row r="109">
      <c r="A109" s="27" t="inlineStr">
        <is>
          <t>Especialidades</t>
        </is>
      </c>
      <c r="B109" s="9" t="inlineStr">
        <is>
          <t>Palmeritas</t>
        </is>
      </c>
      <c r="C109" s="34" t="inlineStr">
        <is>
          <t>u</t>
        </is>
      </c>
      <c r="D109" s="35" t="inlineStr">
        <is>
          <t>Central</t>
        </is>
      </c>
      <c r="E109" s="30">
        <f>$A109&amp;" | "&amp;$B109</f>
        <v/>
      </c>
    </row>
    <row r="110">
      <c r="A110" s="31" t="inlineStr">
        <is>
          <t>Especialidades</t>
        </is>
      </c>
      <c r="B110" s="20" t="inlineStr">
        <is>
          <t>Pan saborizado</t>
        </is>
      </c>
      <c r="C110" s="36" t="inlineStr">
        <is>
          <t>u</t>
        </is>
      </c>
      <c r="D110" s="37" t="inlineStr">
        <is>
          <t>Central</t>
        </is>
      </c>
      <c r="E110" s="32">
        <f>$A110&amp;" | "&amp;$B110</f>
        <v/>
      </c>
    </row>
    <row r="111">
      <c r="A111" s="27" t="inlineStr">
        <is>
          <t>Especialidades</t>
        </is>
      </c>
      <c r="B111" s="9" t="inlineStr">
        <is>
          <t>Pasta frola de cayote</t>
        </is>
      </c>
      <c r="C111" s="34" t="inlineStr">
        <is>
          <t>u</t>
        </is>
      </c>
      <c r="D111" s="35" t="inlineStr">
        <is>
          <t>Central</t>
        </is>
      </c>
      <c r="E111" s="30">
        <f>$A111&amp;" | "&amp;$B111</f>
        <v/>
      </c>
    </row>
    <row r="112">
      <c r="A112" s="31" t="inlineStr">
        <is>
          <t>Especialidades</t>
        </is>
      </c>
      <c r="B112" s="20" t="inlineStr">
        <is>
          <t>Pasta frola membrillo</t>
        </is>
      </c>
      <c r="C112" s="36" t="inlineStr">
        <is>
          <t>u</t>
        </is>
      </c>
      <c r="D112" s="37" t="inlineStr">
        <is>
          <t>Central</t>
        </is>
      </c>
      <c r="E112" s="32">
        <f>$A112&amp;" | "&amp;$B112</f>
        <v/>
      </c>
    </row>
    <row r="113">
      <c r="A113" s="27" t="inlineStr">
        <is>
          <t>Especialidades</t>
        </is>
      </c>
      <c r="B113" s="9" t="inlineStr">
        <is>
          <t>Pepitas</t>
        </is>
      </c>
      <c r="C113" s="34" t="inlineStr">
        <is>
          <t>u</t>
        </is>
      </c>
      <c r="D113" s="35" t="inlineStr">
        <is>
          <t>Central</t>
        </is>
      </c>
      <c r="E113" s="30">
        <f>$A113&amp;" | "&amp;$B113</f>
        <v/>
      </c>
    </row>
    <row r="114">
      <c r="A114" s="31" t="inlineStr">
        <is>
          <t>Especialidades</t>
        </is>
      </c>
      <c r="B114" s="20" t="inlineStr">
        <is>
          <t>Pizzeta de copetín</t>
        </is>
      </c>
      <c r="C114" s="36" t="inlineStr">
        <is>
          <t>u</t>
        </is>
      </c>
      <c r="D114" s="37" t="inlineStr">
        <is>
          <t>Central</t>
        </is>
      </c>
      <c r="E114" s="32">
        <f>$A114&amp;" | "&amp;$B114</f>
        <v/>
      </c>
    </row>
    <row r="115">
      <c r="A115" s="27" t="inlineStr">
        <is>
          <t>Especialidades</t>
        </is>
      </c>
      <c r="B115" s="9" t="inlineStr">
        <is>
          <t>Plancha de hojaldre x kg</t>
        </is>
      </c>
      <c r="C115" s="34" t="inlineStr">
        <is>
          <t>kg</t>
        </is>
      </c>
      <c r="D115" s="35" t="inlineStr">
        <is>
          <t>Central</t>
        </is>
      </c>
      <c r="E115" s="30">
        <f>$A115&amp;" | "&amp;$B115</f>
        <v/>
      </c>
    </row>
    <row r="116">
      <c r="A116" s="31" t="inlineStr">
        <is>
          <t>Especialidades</t>
        </is>
      </c>
      <c r="B116" s="20" t="inlineStr">
        <is>
          <t>Scones con fruta</t>
        </is>
      </c>
      <c r="C116" s="36" t="inlineStr">
        <is>
          <t>u</t>
        </is>
      </c>
      <c r="D116" s="37" t="inlineStr">
        <is>
          <t>Central</t>
        </is>
      </c>
      <c r="E116" s="32">
        <f>$A116&amp;" | "&amp;$B116</f>
        <v/>
      </c>
    </row>
    <row r="117">
      <c r="A117" s="27" t="inlineStr">
        <is>
          <t>Especialidades</t>
        </is>
      </c>
      <c r="B117" s="9" t="inlineStr">
        <is>
          <t>Scones sin fruta</t>
        </is>
      </c>
      <c r="C117" s="34" t="inlineStr">
        <is>
          <t>u</t>
        </is>
      </c>
      <c r="D117" s="35" t="inlineStr">
        <is>
          <t>Central</t>
        </is>
      </c>
      <c r="E117" s="30">
        <f>$A117&amp;" | "&amp;$B117</f>
        <v/>
      </c>
    </row>
    <row r="118">
      <c r="A118" s="31" t="inlineStr">
        <is>
          <t>Especialidades</t>
        </is>
      </c>
      <c r="B118" s="20" t="inlineStr">
        <is>
          <t>Spekell</t>
        </is>
      </c>
      <c r="C118" s="36" t="inlineStr">
        <is>
          <t>kg</t>
        </is>
      </c>
      <c r="D118" s="37" t="inlineStr">
        <is>
          <t>Central</t>
        </is>
      </c>
      <c r="E118" s="32">
        <f>$A118&amp;" | "&amp;$B118</f>
        <v/>
      </c>
    </row>
    <row r="119">
      <c r="A119" s="27" t="inlineStr">
        <is>
          <t>Especialidades</t>
        </is>
      </c>
      <c r="B119" s="9" t="inlineStr">
        <is>
          <t>Strudel</t>
        </is>
      </c>
      <c r="C119" s="34" t="inlineStr">
        <is>
          <t>u</t>
        </is>
      </c>
      <c r="D119" s="35" t="inlineStr">
        <is>
          <t>Central</t>
        </is>
      </c>
      <c r="E119" s="30">
        <f>$A119&amp;" | "&amp;$B119</f>
        <v/>
      </c>
    </row>
    <row r="120">
      <c r="A120" s="31" t="inlineStr">
        <is>
          <t>Especialidades</t>
        </is>
      </c>
      <c r="B120" s="20" t="inlineStr">
        <is>
          <t>Torta x porción</t>
        </is>
      </c>
      <c r="C120" s="36" t="inlineStr">
        <is>
          <t>u</t>
        </is>
      </c>
      <c r="D120" s="37" t="inlineStr">
        <is>
          <t>Central</t>
        </is>
      </c>
      <c r="E120" s="32">
        <f>$A120&amp;" | "&amp;$B120</f>
        <v/>
      </c>
    </row>
    <row r="121">
      <c r="A121" s="27" t="inlineStr">
        <is>
          <t>Facturería</t>
        </is>
      </c>
      <c r="B121" s="9" t="inlineStr">
        <is>
          <t>Churros rellenos x unidad</t>
        </is>
      </c>
      <c r="C121" s="34" t="inlineStr">
        <is>
          <t>u</t>
        </is>
      </c>
      <c r="D121" s="35" t="inlineStr">
        <is>
          <t>Central</t>
        </is>
      </c>
      <c r="E121" s="30">
        <f>$A121&amp;" | "&amp;$B121</f>
        <v/>
      </c>
    </row>
    <row r="122">
      <c r="A122" s="31" t="inlineStr">
        <is>
          <t>Facturería</t>
        </is>
      </c>
      <c r="B122" s="20" t="inlineStr">
        <is>
          <t>Churros x unidad</t>
        </is>
      </c>
      <c r="C122" s="36" t="inlineStr">
        <is>
          <t>u</t>
        </is>
      </c>
      <c r="D122" s="37" t="inlineStr">
        <is>
          <t>Central</t>
        </is>
      </c>
      <c r="E122" s="32">
        <f>$A122&amp;" | "&amp;$B122</f>
        <v/>
      </c>
    </row>
    <row r="123">
      <c r="A123" s="27" t="inlineStr">
        <is>
          <t>Facturería</t>
        </is>
      </c>
      <c r="B123" s="9" t="inlineStr">
        <is>
          <t>Croissant</t>
        </is>
      </c>
      <c r="C123" s="34" t="inlineStr">
        <is>
          <t>u</t>
        </is>
      </c>
      <c r="D123" s="35" t="inlineStr">
        <is>
          <t>Central</t>
        </is>
      </c>
      <c r="E123" s="30">
        <f>$A123&amp;" | "&amp;$B123</f>
        <v/>
      </c>
    </row>
    <row r="124">
      <c r="A124" s="31" t="inlineStr">
        <is>
          <t>Facturería</t>
        </is>
      </c>
      <c r="B124" s="20" t="inlineStr">
        <is>
          <t>Facturas c/crema</t>
        </is>
      </c>
      <c r="C124" s="36" t="inlineStr">
        <is>
          <t>u</t>
        </is>
      </c>
      <c r="D124" s="37" t="inlineStr">
        <is>
          <t>Central</t>
        </is>
      </c>
      <c r="E124" s="32">
        <f>$A124&amp;" | "&amp;$B124</f>
        <v/>
      </c>
    </row>
    <row r="125">
      <c r="A125" s="27" t="inlineStr">
        <is>
          <t>Facturería</t>
        </is>
      </c>
      <c r="B125" s="9" t="inlineStr">
        <is>
          <t>Facturas c/crema y DDL</t>
        </is>
      </c>
      <c r="C125" s="34" t="inlineStr">
        <is>
          <t>u</t>
        </is>
      </c>
      <c r="D125" s="35" t="inlineStr">
        <is>
          <t>Central</t>
        </is>
      </c>
      <c r="E125" s="30">
        <f>$A125&amp;" | "&amp;$B125</f>
        <v/>
      </c>
    </row>
    <row r="126">
      <c r="A126" s="31" t="inlineStr">
        <is>
          <t>Facturería</t>
        </is>
      </c>
      <c r="B126" s="20" t="inlineStr">
        <is>
          <t>Facturas c/crema y membr.</t>
        </is>
      </c>
      <c r="C126" s="36" t="inlineStr">
        <is>
          <t>u</t>
        </is>
      </c>
      <c r="D126" s="37" t="inlineStr">
        <is>
          <t>Central</t>
        </is>
      </c>
      <c r="E126" s="32">
        <f>$A126&amp;" | "&amp;$B126</f>
        <v/>
      </c>
    </row>
    <row r="127">
      <c r="A127" s="27" t="inlineStr">
        <is>
          <t>Facturería</t>
        </is>
      </c>
      <c r="B127" s="9" t="inlineStr">
        <is>
          <t>Libritos</t>
        </is>
      </c>
      <c r="C127" s="34" t="inlineStr">
        <is>
          <t>u</t>
        </is>
      </c>
      <c r="D127" s="35" t="inlineStr">
        <is>
          <t>Central</t>
        </is>
      </c>
      <c r="E127" s="30">
        <f>$A127&amp;" | "&amp;$B127</f>
        <v/>
      </c>
    </row>
    <row r="128">
      <c r="A128" s="31" t="inlineStr">
        <is>
          <t>Facturería</t>
        </is>
      </c>
      <c r="B128" s="20" t="inlineStr">
        <is>
          <t>Medialunas</t>
        </is>
      </c>
      <c r="C128" s="36" t="inlineStr">
        <is>
          <t>u</t>
        </is>
      </c>
      <c r="D128" s="37" t="inlineStr">
        <is>
          <t>Central</t>
        </is>
      </c>
      <c r="E128" s="32">
        <f>$A128&amp;" | "&amp;$B128</f>
        <v/>
      </c>
    </row>
    <row r="129">
      <c r="A129" s="27" t="inlineStr">
        <is>
          <t>Facturería</t>
        </is>
      </c>
      <c r="B129" s="9" t="inlineStr">
        <is>
          <t>Medialunas crudas x16</t>
        </is>
      </c>
      <c r="C129" s="34" t="inlineStr">
        <is>
          <t>u</t>
        </is>
      </c>
      <c r="D129" s="35" t="inlineStr">
        <is>
          <t>Central</t>
        </is>
      </c>
      <c r="E129" s="30">
        <f>$A129&amp;" | "&amp;$B129</f>
        <v/>
      </c>
    </row>
    <row r="130">
      <c r="A130" s="31" t="inlineStr">
        <is>
          <t>Facturería</t>
        </is>
      </c>
      <c r="B130" s="20" t="inlineStr">
        <is>
          <t>Medialunas saladas</t>
        </is>
      </c>
      <c r="C130" s="36" t="inlineStr">
        <is>
          <t>u</t>
        </is>
      </c>
      <c r="D130" s="37" t="inlineStr">
        <is>
          <t>Central</t>
        </is>
      </c>
      <c r="E130" s="32">
        <f>$A130&amp;" | "&amp;$B130</f>
        <v/>
      </c>
    </row>
    <row r="131">
      <c r="A131" s="27" t="inlineStr">
        <is>
          <t>Facturería</t>
        </is>
      </c>
      <c r="B131" s="9" t="inlineStr">
        <is>
          <t>Minifacturas</t>
        </is>
      </c>
      <c r="C131" s="34" t="inlineStr">
        <is>
          <t>kg</t>
        </is>
      </c>
      <c r="D131" s="35" t="inlineStr">
        <is>
          <t>Central</t>
        </is>
      </c>
      <c r="E131" s="30">
        <f>$A131&amp;" | "&amp;$B131</f>
        <v/>
      </c>
    </row>
    <row r="132">
      <c r="A132" s="31" t="inlineStr">
        <is>
          <t>Facturería</t>
        </is>
      </c>
      <c r="B132" s="20" t="inlineStr">
        <is>
          <t>Pan dulce</t>
        </is>
      </c>
      <c r="C132" s="36" t="inlineStr">
        <is>
          <t>u</t>
        </is>
      </c>
      <c r="D132" s="37" t="inlineStr">
        <is>
          <t>Central</t>
        </is>
      </c>
      <c r="E132" s="32">
        <f>$A132&amp;" | "&amp;$B132</f>
        <v/>
      </c>
    </row>
    <row r="133">
      <c r="A133" s="27" t="inlineStr">
        <is>
          <t>Facturería</t>
        </is>
      </c>
      <c r="B133" s="9" t="inlineStr">
        <is>
          <t>Roll de canela</t>
        </is>
      </c>
      <c r="C133" s="34" t="inlineStr">
        <is>
          <t>u</t>
        </is>
      </c>
      <c r="D133" s="35" t="inlineStr">
        <is>
          <t>Central</t>
        </is>
      </c>
      <c r="E133" s="30">
        <f>$A133&amp;" | "&amp;$B133</f>
        <v/>
      </c>
    </row>
    <row r="134">
      <c r="A134" s="31" t="inlineStr">
        <is>
          <t>Facturería</t>
        </is>
      </c>
      <c r="B134" s="20" t="inlineStr">
        <is>
          <t>Sacramento jamón y queso</t>
        </is>
      </c>
      <c r="C134" s="36" t="inlineStr">
        <is>
          <t>u</t>
        </is>
      </c>
      <c r="D134" s="37" t="inlineStr">
        <is>
          <t>Central</t>
        </is>
      </c>
      <c r="E134" s="32">
        <f>$A134&amp;" | "&amp;$B134</f>
        <v/>
      </c>
    </row>
    <row r="135">
      <c r="A135" s="27" t="inlineStr">
        <is>
          <t>Facturería</t>
        </is>
      </c>
      <c r="B135" s="9" t="inlineStr">
        <is>
          <t>Sacramentos</t>
        </is>
      </c>
      <c r="C135" s="34" t="inlineStr">
        <is>
          <t>u</t>
        </is>
      </c>
      <c r="D135" s="35" t="inlineStr">
        <is>
          <t>Central</t>
        </is>
      </c>
      <c r="E135" s="30">
        <f>$A135&amp;" | "&amp;$B135</f>
        <v/>
      </c>
    </row>
    <row r="136">
      <c r="A136" s="31" t="inlineStr">
        <is>
          <t>Facturería</t>
        </is>
      </c>
      <c r="B136" s="20" t="inlineStr">
        <is>
          <t>Vigilantes</t>
        </is>
      </c>
      <c r="C136" s="36" t="inlineStr">
        <is>
          <t>u</t>
        </is>
      </c>
      <c r="D136" s="37" t="inlineStr">
        <is>
          <t>Central</t>
        </is>
      </c>
      <c r="E136" s="32">
        <f>$A136&amp;" | "&amp;$B136</f>
        <v/>
      </c>
    </row>
    <row r="137">
      <c r="A137" s="27" t="inlineStr">
        <is>
          <t>Sandwiches</t>
        </is>
      </c>
      <c r="B137" s="9" t="inlineStr">
        <is>
          <t>Ciabatta de Lomito ahumado, muzzarella y rúcula con oliva</t>
        </is>
      </c>
      <c r="C137" s="34" t="inlineStr">
        <is>
          <t>u</t>
        </is>
      </c>
      <c r="D137" s="35" t="inlineStr">
        <is>
          <t>Central</t>
        </is>
      </c>
      <c r="E137" s="30">
        <f>$A137&amp;" | "&amp;$B137</f>
        <v/>
      </c>
    </row>
    <row r="138">
      <c r="A138" s="31" t="inlineStr">
        <is>
          <t>Sandwiches</t>
        </is>
      </c>
      <c r="B138" s="20" t="inlineStr">
        <is>
          <t>Ciabatta de Muzzarella, provolone, albahaca y cherrys confitados</t>
        </is>
      </c>
      <c r="C138" s="36" t="inlineStr">
        <is>
          <t>u</t>
        </is>
      </c>
      <c r="D138" s="37" t="inlineStr">
        <is>
          <t>Central</t>
        </is>
      </c>
      <c r="E138" s="32">
        <f>$A138&amp;" | "&amp;$B138</f>
        <v/>
      </c>
    </row>
    <row r="139">
      <c r="A139" s="27" t="inlineStr">
        <is>
          <t>Sandwiches</t>
        </is>
      </c>
      <c r="B139" s="9" t="inlineStr">
        <is>
          <t>Baguette de jamón cocido, queso, lechuga y tomate</t>
        </is>
      </c>
      <c r="C139" s="34" t="inlineStr">
        <is>
          <t>u</t>
        </is>
      </c>
      <c r="D139" s="35" t="inlineStr">
        <is>
          <t>Central</t>
        </is>
      </c>
      <c r="E139" s="30">
        <f>$A139&amp;" | "&amp;$B139</f>
        <v/>
      </c>
    </row>
    <row r="140">
      <c r="A140" s="31" t="inlineStr">
        <is>
          <t>Sandwiches</t>
        </is>
      </c>
      <c r="B140" s="20" t="inlineStr">
        <is>
          <t>Baguette de salame y queso</t>
        </is>
      </c>
      <c r="C140" s="36" t="inlineStr">
        <is>
          <t>u</t>
        </is>
      </c>
      <c r="D140" s="37" t="inlineStr">
        <is>
          <t>Central</t>
        </is>
      </c>
      <c r="E140" s="32">
        <f>$A140&amp;" | "&amp;$B140</f>
        <v/>
      </c>
    </row>
    <row r="141">
      <c r="A141" s="27" t="inlineStr">
        <is>
          <t>Sandwiches</t>
        </is>
      </c>
      <c r="B141" s="9" t="inlineStr">
        <is>
          <t>Miga de jamón cocido y queso</t>
        </is>
      </c>
      <c r="C141" s="34" t="inlineStr">
        <is>
          <t>u</t>
        </is>
      </c>
      <c r="D141" s="35" t="inlineStr">
        <is>
          <t>Central</t>
        </is>
      </c>
      <c r="E141" s="30">
        <f>$A141&amp;" | "&amp;$B141</f>
        <v/>
      </c>
    </row>
    <row r="142">
      <c r="A142" s="31" t="inlineStr">
        <is>
          <t>Sandwiches</t>
        </is>
      </c>
      <c r="B142" s="20" t="inlineStr">
        <is>
          <t>Miga de Ternera y tomate</t>
        </is>
      </c>
      <c r="C142" s="36" t="inlineStr">
        <is>
          <t>u</t>
        </is>
      </c>
      <c r="D142" s="37" t="inlineStr">
        <is>
          <t>Central</t>
        </is>
      </c>
      <c r="E142" s="32">
        <f>$A142&amp;" | "&amp;$B142</f>
        <v/>
      </c>
    </row>
    <row r="143">
      <c r="A143" s="27" t="inlineStr">
        <is>
          <t>Sandwiches</t>
        </is>
      </c>
      <c r="B143" s="9" t="inlineStr">
        <is>
          <t>Miga de ternera y huevo</t>
        </is>
      </c>
      <c r="C143" s="34" t="inlineStr">
        <is>
          <t>u</t>
        </is>
      </c>
      <c r="D143" s="35" t="inlineStr">
        <is>
          <t>Central</t>
        </is>
      </c>
      <c r="E143" s="30">
        <f>$A143&amp;" | "&amp;$B143</f>
        <v/>
      </c>
    </row>
    <row r="144">
      <c r="A144" s="31" t="inlineStr">
        <is>
          <t>Sandwiches</t>
        </is>
      </c>
      <c r="B144" s="20" t="inlineStr">
        <is>
          <t>Miga de crudo y queso</t>
        </is>
      </c>
      <c r="C144" s="36" t="inlineStr">
        <is>
          <t>u</t>
        </is>
      </c>
      <c r="D144" s="37" t="inlineStr">
        <is>
          <t>Central</t>
        </is>
      </c>
      <c r="E144" s="32">
        <f>$A144&amp;" | "&amp;$B144</f>
        <v/>
      </c>
    </row>
    <row r="145">
      <c r="A145" s="27" t="inlineStr">
        <is>
          <t>Sandwiches</t>
        </is>
      </c>
      <c r="B145" s="9" t="inlineStr">
        <is>
          <t>Miga de cantimpalo y queso</t>
        </is>
      </c>
      <c r="C145" s="34" t="inlineStr">
        <is>
          <t>u</t>
        </is>
      </c>
      <c r="D145" s="35" t="inlineStr">
        <is>
          <t>Central</t>
        </is>
      </c>
      <c r="E145" s="30">
        <f>$A145&amp;" | "&amp;$B145</f>
        <v/>
      </c>
    </row>
  </sheetData>
  <autoFilter ref="A4:D145"/>
  <mergeCells count="3">
    <mergeCell ref="A2:E2"/>
    <mergeCell ref="A1:E1"/>
    <mergeCell ref="A3:E3"/>
  </mergeCells>
  <printOptions horizontalCentered="1"/>
  <pageMargins left="0.3" right="0.3" top="0.4" bottom="0.4" header="0.5" footer="0.5"/>
  <pageSetup orientation="portrait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3" customWidth="1" min="2" max="2"/>
    <col width="8" customWidth="1" min="3" max="3"/>
    <col width="11" customWidth="1" min="4" max="4"/>
    <col width="11" customWidth="1" min="5" max="5"/>
    <col width="12" customWidth="1" min="6" max="6"/>
    <col width="13" customWidth="1" min="7" max="7"/>
    <col width="13" customWidth="1" min="8" max="8"/>
    <col width="30" customWidth="1" min="9" max="9"/>
  </cols>
  <sheetData>
    <row r="1" ht="30" customHeight="1">
      <c r="A1" s="1" t="inlineStr">
        <is>
          <t>PLANILLA 1 · INVENTARIO INICIAL DE INSUMOS</t>
        </is>
      </c>
    </row>
    <row r="2" ht="18" customHeight="1">
      <c r="A2" s="2" t="inlineStr">
        <is>
          <t>Se cuenta el LUNES antes de arrancar a producir. Una hoja por area: filtre por AREA e imprima.</t>
        </is>
      </c>
    </row>
    <row r="3" ht="18" customHeight="1">
      <c r="A3" s="3" t="inlineStr">
        <is>
          <t>COMO CONTAR: bultos cerrados + lo que hay suelto del abierto. Ejemplo: 3 bolsas de 25 kg + 8,5 kg sueltos  -&gt;  Bultos = 3, Parcial = 8,5, TOTAL = 83,5 kg (lo calcula la planilla).</t>
        </is>
      </c>
    </row>
    <row r="4" ht="34" customHeight="1">
      <c r="A4" s="6" t="inlineStr">
        <is>
          <t>AREA</t>
        </is>
      </c>
      <c r="B4" s="6" t="inlineStr">
        <is>
          <t>INSUMO</t>
        </is>
      </c>
      <c r="C4" s="6" t="inlineStr">
        <is>
          <t>UNID.</t>
        </is>
      </c>
      <c r="D4" s="6" t="inlineStr">
        <is>
          <t>CONTENIDO
POR BULTO</t>
        </is>
      </c>
      <c r="E4" s="6" t="inlineStr">
        <is>
          <t>BULTOS
CERRADOS</t>
        </is>
      </c>
      <c r="F4" s="6" t="inlineStr">
        <is>
          <t>PARCIAL
(suelto)</t>
        </is>
      </c>
      <c r="G4" s="6" t="inlineStr">
        <is>
          <t>TOTAL
(calculado)</t>
        </is>
      </c>
      <c r="H4" s="6" t="inlineStr">
        <is>
          <t>CONTO
(iniciales)</t>
        </is>
      </c>
      <c r="I4" s="6" t="inlineStr">
        <is>
          <t>OBSERVACIONES</t>
        </is>
      </c>
    </row>
    <row r="5">
      <c r="A5" s="38">
        <f>Insumos!$A5</f>
        <v/>
      </c>
      <c r="B5" s="39">
        <f>Insumos!$B5</f>
        <v/>
      </c>
      <c r="C5" s="40">
        <f>Insumos!$E5</f>
        <v/>
      </c>
      <c r="D5" s="41">
        <f>Insumos!$F5</f>
        <v/>
      </c>
      <c r="E5" s="28" t="n"/>
      <c r="F5" s="28" t="n"/>
      <c r="G5" s="42">
        <f>IFERROR($E5*$D5,0)+IFERROR($F5,0)</f>
        <v/>
      </c>
      <c r="H5" s="18" t="n"/>
      <c r="I5" s="16" t="n"/>
    </row>
    <row r="6">
      <c r="A6" s="43">
        <f>Insumos!$A6</f>
        <v/>
      </c>
      <c r="B6" s="44">
        <f>Insumos!$B6</f>
        <v/>
      </c>
      <c r="C6" s="45">
        <f>Insumos!$E6</f>
        <v/>
      </c>
      <c r="D6" s="46">
        <f>Insumos!$F6</f>
        <v/>
      </c>
      <c r="E6" s="28" t="n"/>
      <c r="F6" s="28" t="n"/>
      <c r="G6" s="42">
        <f>IFERROR($E6*$D6,0)+IFERROR($F6,0)</f>
        <v/>
      </c>
      <c r="H6" s="18" t="n"/>
      <c r="I6" s="16" t="n"/>
    </row>
    <row r="7">
      <c r="A7" s="38">
        <f>Insumos!$A7</f>
        <v/>
      </c>
      <c r="B7" s="39">
        <f>Insumos!$B7</f>
        <v/>
      </c>
      <c r="C7" s="40">
        <f>Insumos!$E7</f>
        <v/>
      </c>
      <c r="D7" s="41">
        <f>Insumos!$F7</f>
        <v/>
      </c>
      <c r="E7" s="28" t="n"/>
      <c r="F7" s="28" t="n"/>
      <c r="G7" s="42">
        <f>IFERROR($E7*$D7,0)+IFERROR($F7,0)</f>
        <v/>
      </c>
      <c r="H7" s="18" t="n"/>
      <c r="I7" s="16" t="n"/>
    </row>
    <row r="8">
      <c r="A8" s="43">
        <f>Insumos!$A8</f>
        <v/>
      </c>
      <c r="B8" s="44">
        <f>Insumos!$B8</f>
        <v/>
      </c>
      <c r="C8" s="45">
        <f>Insumos!$E8</f>
        <v/>
      </c>
      <c r="D8" s="46">
        <f>Insumos!$F8</f>
        <v/>
      </c>
      <c r="E8" s="28" t="n"/>
      <c r="F8" s="28" t="n"/>
      <c r="G8" s="42">
        <f>IFERROR($E8*$D8,0)+IFERROR($F8,0)</f>
        <v/>
      </c>
      <c r="H8" s="18" t="n"/>
      <c r="I8" s="16" t="n"/>
    </row>
    <row r="9">
      <c r="A9" s="38">
        <f>Insumos!$A9</f>
        <v/>
      </c>
      <c r="B9" s="39">
        <f>Insumos!$B9</f>
        <v/>
      </c>
      <c r="C9" s="40">
        <f>Insumos!$E9</f>
        <v/>
      </c>
      <c r="D9" s="41">
        <f>Insumos!$F9</f>
        <v/>
      </c>
      <c r="E9" s="28" t="n"/>
      <c r="F9" s="28" t="n"/>
      <c r="G9" s="42">
        <f>IFERROR($E9*$D9,0)+IFERROR($F9,0)</f>
        <v/>
      </c>
      <c r="H9" s="18" t="n"/>
      <c r="I9" s="16" t="n"/>
    </row>
    <row r="10">
      <c r="A10" s="43">
        <f>Insumos!$A10</f>
        <v/>
      </c>
      <c r="B10" s="44">
        <f>Insumos!$B10</f>
        <v/>
      </c>
      <c r="C10" s="45">
        <f>Insumos!$E10</f>
        <v/>
      </c>
      <c r="D10" s="46">
        <f>Insumos!$F10</f>
        <v/>
      </c>
      <c r="E10" s="28" t="n"/>
      <c r="F10" s="28" t="n"/>
      <c r="G10" s="42">
        <f>IFERROR($E10*$D10,0)+IFERROR($F10,0)</f>
        <v/>
      </c>
      <c r="H10" s="18" t="n"/>
      <c r="I10" s="16" t="n"/>
    </row>
    <row r="11">
      <c r="A11" s="38">
        <f>Insumos!$A11</f>
        <v/>
      </c>
      <c r="B11" s="39">
        <f>Insumos!$B11</f>
        <v/>
      </c>
      <c r="C11" s="40">
        <f>Insumos!$E11</f>
        <v/>
      </c>
      <c r="D11" s="41">
        <f>Insumos!$F11</f>
        <v/>
      </c>
      <c r="E11" s="28" t="n"/>
      <c r="F11" s="28" t="n"/>
      <c r="G11" s="42">
        <f>IFERROR($E11*$D11,0)+IFERROR($F11,0)</f>
        <v/>
      </c>
      <c r="H11" s="18" t="n"/>
      <c r="I11" s="16" t="n"/>
    </row>
    <row r="12">
      <c r="A12" s="43">
        <f>Insumos!$A12</f>
        <v/>
      </c>
      <c r="B12" s="44">
        <f>Insumos!$B12</f>
        <v/>
      </c>
      <c r="C12" s="45">
        <f>Insumos!$E12</f>
        <v/>
      </c>
      <c r="D12" s="46">
        <f>Insumos!$F12</f>
        <v/>
      </c>
      <c r="E12" s="28" t="n"/>
      <c r="F12" s="28" t="n"/>
      <c r="G12" s="42">
        <f>IFERROR($E12*$D12,0)+IFERROR($F12,0)</f>
        <v/>
      </c>
      <c r="H12" s="18" t="n"/>
      <c r="I12" s="16" t="n"/>
    </row>
    <row r="13">
      <c r="A13" s="38">
        <f>Insumos!$A13</f>
        <v/>
      </c>
      <c r="B13" s="39">
        <f>Insumos!$B13</f>
        <v/>
      </c>
      <c r="C13" s="40">
        <f>Insumos!$E13</f>
        <v/>
      </c>
      <c r="D13" s="41">
        <f>Insumos!$F13</f>
        <v/>
      </c>
      <c r="E13" s="28" t="n"/>
      <c r="F13" s="28" t="n"/>
      <c r="G13" s="42">
        <f>IFERROR($E13*$D13,0)+IFERROR($F13,0)</f>
        <v/>
      </c>
      <c r="H13" s="18" t="n"/>
      <c r="I13" s="16" t="n"/>
    </row>
    <row r="14">
      <c r="A14" s="43">
        <f>Insumos!$A14</f>
        <v/>
      </c>
      <c r="B14" s="44">
        <f>Insumos!$B14</f>
        <v/>
      </c>
      <c r="C14" s="45">
        <f>Insumos!$E14</f>
        <v/>
      </c>
      <c r="D14" s="46">
        <f>Insumos!$F14</f>
        <v/>
      </c>
      <c r="E14" s="28" t="n"/>
      <c r="F14" s="28" t="n"/>
      <c r="G14" s="42">
        <f>IFERROR($E14*$D14,0)+IFERROR($F14,0)</f>
        <v/>
      </c>
      <c r="H14" s="18" t="n"/>
      <c r="I14" s="16" t="n"/>
    </row>
    <row r="15">
      <c r="A15" s="38">
        <f>Insumos!$A15</f>
        <v/>
      </c>
      <c r="B15" s="39">
        <f>Insumos!$B15</f>
        <v/>
      </c>
      <c r="C15" s="40">
        <f>Insumos!$E15</f>
        <v/>
      </c>
      <c r="D15" s="41">
        <f>Insumos!$F15</f>
        <v/>
      </c>
      <c r="E15" s="28" t="n"/>
      <c r="F15" s="28" t="n"/>
      <c r="G15" s="42">
        <f>IFERROR($E15*$D15,0)+IFERROR($F15,0)</f>
        <v/>
      </c>
      <c r="H15" s="18" t="n"/>
      <c r="I15" s="16" t="n"/>
    </row>
    <row r="16">
      <c r="A16" s="43">
        <f>Insumos!$A16</f>
        <v/>
      </c>
      <c r="B16" s="44">
        <f>Insumos!$B16</f>
        <v/>
      </c>
      <c r="C16" s="45">
        <f>Insumos!$E16</f>
        <v/>
      </c>
      <c r="D16" s="46">
        <f>Insumos!$F16</f>
        <v/>
      </c>
      <c r="E16" s="28" t="n"/>
      <c r="F16" s="28" t="n"/>
      <c r="G16" s="42">
        <f>IFERROR($E16*$D16,0)+IFERROR($F16,0)</f>
        <v/>
      </c>
      <c r="H16" s="18" t="n"/>
      <c r="I16" s="16" t="n"/>
    </row>
    <row r="17">
      <c r="A17" s="38">
        <f>Insumos!$A17</f>
        <v/>
      </c>
      <c r="B17" s="39">
        <f>Insumos!$B17</f>
        <v/>
      </c>
      <c r="C17" s="40">
        <f>Insumos!$E17</f>
        <v/>
      </c>
      <c r="D17" s="41">
        <f>Insumos!$F17</f>
        <v/>
      </c>
      <c r="E17" s="28" t="n"/>
      <c r="F17" s="28" t="n"/>
      <c r="G17" s="42">
        <f>IFERROR($E17*$D17,0)+IFERROR($F17,0)</f>
        <v/>
      </c>
      <c r="H17" s="18" t="n"/>
      <c r="I17" s="16" t="n"/>
    </row>
    <row r="18">
      <c r="A18" s="43">
        <f>Insumos!$A18</f>
        <v/>
      </c>
      <c r="B18" s="44">
        <f>Insumos!$B18</f>
        <v/>
      </c>
      <c r="C18" s="45">
        <f>Insumos!$E18</f>
        <v/>
      </c>
      <c r="D18" s="46">
        <f>Insumos!$F18</f>
        <v/>
      </c>
      <c r="E18" s="28" t="n"/>
      <c r="F18" s="28" t="n"/>
      <c r="G18" s="42">
        <f>IFERROR($E18*$D18,0)+IFERROR($F18,0)</f>
        <v/>
      </c>
      <c r="H18" s="18" t="n"/>
      <c r="I18" s="16" t="n"/>
    </row>
    <row r="19">
      <c r="A19" s="38">
        <f>Insumos!$A19</f>
        <v/>
      </c>
      <c r="B19" s="39">
        <f>Insumos!$B19</f>
        <v/>
      </c>
      <c r="C19" s="40">
        <f>Insumos!$E19</f>
        <v/>
      </c>
      <c r="D19" s="41">
        <f>Insumos!$F19</f>
        <v/>
      </c>
      <c r="E19" s="28" t="n"/>
      <c r="F19" s="28" t="n"/>
      <c r="G19" s="42">
        <f>IFERROR($E19*$D19,0)+IFERROR($F19,0)</f>
        <v/>
      </c>
      <c r="H19" s="18" t="n"/>
      <c r="I19" s="16" t="n"/>
    </row>
    <row r="20">
      <c r="A20" s="43">
        <f>Insumos!$A20</f>
        <v/>
      </c>
      <c r="B20" s="44">
        <f>Insumos!$B20</f>
        <v/>
      </c>
      <c r="C20" s="45">
        <f>Insumos!$E20</f>
        <v/>
      </c>
      <c r="D20" s="46">
        <f>Insumos!$F20</f>
        <v/>
      </c>
      <c r="E20" s="28" t="n"/>
      <c r="F20" s="28" t="n"/>
      <c r="G20" s="42">
        <f>IFERROR($E20*$D20,0)+IFERROR($F20,0)</f>
        <v/>
      </c>
      <c r="H20" s="18" t="n"/>
      <c r="I20" s="16" t="n"/>
    </row>
    <row r="21">
      <c r="A21" s="38">
        <f>Insumos!$A21</f>
        <v/>
      </c>
      <c r="B21" s="39">
        <f>Insumos!$B21</f>
        <v/>
      </c>
      <c r="C21" s="40">
        <f>Insumos!$E21</f>
        <v/>
      </c>
      <c r="D21" s="41">
        <f>Insumos!$F21</f>
        <v/>
      </c>
      <c r="E21" s="28" t="n"/>
      <c r="F21" s="28" t="n"/>
      <c r="G21" s="42">
        <f>IFERROR($E21*$D21,0)+IFERROR($F21,0)</f>
        <v/>
      </c>
      <c r="H21" s="18" t="n"/>
      <c r="I21" s="16" t="n"/>
    </row>
    <row r="22">
      <c r="A22" s="43">
        <f>Insumos!$A22</f>
        <v/>
      </c>
      <c r="B22" s="44">
        <f>Insumos!$B22</f>
        <v/>
      </c>
      <c r="C22" s="45">
        <f>Insumos!$E22</f>
        <v/>
      </c>
      <c r="D22" s="46">
        <f>Insumos!$F22</f>
        <v/>
      </c>
      <c r="E22" s="28" t="n"/>
      <c r="F22" s="28" t="n"/>
      <c r="G22" s="42">
        <f>IFERROR($E22*$D22,0)+IFERROR($F22,0)</f>
        <v/>
      </c>
      <c r="H22" s="18" t="n"/>
      <c r="I22" s="16" t="n"/>
    </row>
    <row r="23">
      <c r="A23" s="38">
        <f>Insumos!$A23</f>
        <v/>
      </c>
      <c r="B23" s="39">
        <f>Insumos!$B23</f>
        <v/>
      </c>
      <c r="C23" s="40">
        <f>Insumos!$E23</f>
        <v/>
      </c>
      <c r="D23" s="41">
        <f>Insumos!$F23</f>
        <v/>
      </c>
      <c r="E23" s="28" t="n"/>
      <c r="F23" s="28" t="n"/>
      <c r="G23" s="42">
        <f>IFERROR($E23*$D23,0)+IFERROR($F23,0)</f>
        <v/>
      </c>
      <c r="H23" s="18" t="n"/>
      <c r="I23" s="16" t="n"/>
    </row>
    <row r="24">
      <c r="A24" s="43">
        <f>Insumos!$A24</f>
        <v/>
      </c>
      <c r="B24" s="44">
        <f>Insumos!$B24</f>
        <v/>
      </c>
      <c r="C24" s="45">
        <f>Insumos!$E24</f>
        <v/>
      </c>
      <c r="D24" s="46">
        <f>Insumos!$F24</f>
        <v/>
      </c>
      <c r="E24" s="28" t="n"/>
      <c r="F24" s="28" t="n"/>
      <c r="G24" s="42">
        <f>IFERROR($E24*$D24,0)+IFERROR($F24,0)</f>
        <v/>
      </c>
      <c r="H24" s="18" t="n"/>
      <c r="I24" s="16" t="n"/>
    </row>
    <row r="25">
      <c r="A25" s="38">
        <f>Insumos!$A25</f>
        <v/>
      </c>
      <c r="B25" s="39">
        <f>Insumos!$B25</f>
        <v/>
      </c>
      <c r="C25" s="40">
        <f>Insumos!$E25</f>
        <v/>
      </c>
      <c r="D25" s="41">
        <f>Insumos!$F25</f>
        <v/>
      </c>
      <c r="E25" s="28" t="n"/>
      <c r="F25" s="28" t="n"/>
      <c r="G25" s="42">
        <f>IFERROR($E25*$D25,0)+IFERROR($F25,0)</f>
        <v/>
      </c>
      <c r="H25" s="18" t="n"/>
      <c r="I25" s="16" t="n"/>
    </row>
    <row r="26">
      <c r="A26" s="43">
        <f>Insumos!$A26</f>
        <v/>
      </c>
      <c r="B26" s="44">
        <f>Insumos!$B26</f>
        <v/>
      </c>
      <c r="C26" s="45">
        <f>Insumos!$E26</f>
        <v/>
      </c>
      <c r="D26" s="46">
        <f>Insumos!$F26</f>
        <v/>
      </c>
      <c r="E26" s="28" t="n"/>
      <c r="F26" s="28" t="n"/>
      <c r="G26" s="42">
        <f>IFERROR($E26*$D26,0)+IFERROR($F26,0)</f>
        <v/>
      </c>
      <c r="H26" s="18" t="n"/>
      <c r="I26" s="16" t="n"/>
    </row>
    <row r="27">
      <c r="A27" s="38">
        <f>Insumos!$A27</f>
        <v/>
      </c>
      <c r="B27" s="39">
        <f>Insumos!$B27</f>
        <v/>
      </c>
      <c r="C27" s="40">
        <f>Insumos!$E27</f>
        <v/>
      </c>
      <c r="D27" s="41">
        <f>Insumos!$F27</f>
        <v/>
      </c>
      <c r="E27" s="28" t="n"/>
      <c r="F27" s="28" t="n"/>
      <c r="G27" s="42">
        <f>IFERROR($E27*$D27,0)+IFERROR($F27,0)</f>
        <v/>
      </c>
      <c r="H27" s="18" t="n"/>
      <c r="I27" s="16" t="n"/>
    </row>
    <row r="28">
      <c r="A28" s="43">
        <f>Insumos!$A28</f>
        <v/>
      </c>
      <c r="B28" s="44">
        <f>Insumos!$B28</f>
        <v/>
      </c>
      <c r="C28" s="45">
        <f>Insumos!$E28</f>
        <v/>
      </c>
      <c r="D28" s="46">
        <f>Insumos!$F28</f>
        <v/>
      </c>
      <c r="E28" s="28" t="n"/>
      <c r="F28" s="28" t="n"/>
      <c r="G28" s="42">
        <f>IFERROR($E28*$D28,0)+IFERROR($F28,0)</f>
        <v/>
      </c>
      <c r="H28" s="18" t="n"/>
      <c r="I28" s="16" t="n"/>
    </row>
    <row r="29">
      <c r="A29" s="38">
        <f>Insumos!$A29</f>
        <v/>
      </c>
      <c r="B29" s="39">
        <f>Insumos!$B29</f>
        <v/>
      </c>
      <c r="C29" s="40">
        <f>Insumos!$E29</f>
        <v/>
      </c>
      <c r="D29" s="41">
        <f>Insumos!$F29</f>
        <v/>
      </c>
      <c r="E29" s="28" t="n"/>
      <c r="F29" s="28" t="n"/>
      <c r="G29" s="42">
        <f>IFERROR($E29*$D29,0)+IFERROR($F29,0)</f>
        <v/>
      </c>
      <c r="H29" s="18" t="n"/>
      <c r="I29" s="16" t="n"/>
    </row>
    <row r="30">
      <c r="A30" s="43">
        <f>Insumos!$A30</f>
        <v/>
      </c>
      <c r="B30" s="44">
        <f>Insumos!$B30</f>
        <v/>
      </c>
      <c r="C30" s="45">
        <f>Insumos!$E30</f>
        <v/>
      </c>
      <c r="D30" s="46">
        <f>Insumos!$F30</f>
        <v/>
      </c>
      <c r="E30" s="28" t="n"/>
      <c r="F30" s="28" t="n"/>
      <c r="G30" s="42">
        <f>IFERROR($E30*$D30,0)+IFERROR($F30,0)</f>
        <v/>
      </c>
      <c r="H30" s="18" t="n"/>
      <c r="I30" s="16" t="n"/>
    </row>
    <row r="31">
      <c r="A31" s="38">
        <f>Insumos!$A31</f>
        <v/>
      </c>
      <c r="B31" s="39">
        <f>Insumos!$B31</f>
        <v/>
      </c>
      <c r="C31" s="40">
        <f>Insumos!$E31</f>
        <v/>
      </c>
      <c r="D31" s="41">
        <f>Insumos!$F31</f>
        <v/>
      </c>
      <c r="E31" s="28" t="n"/>
      <c r="F31" s="28" t="n"/>
      <c r="G31" s="42">
        <f>IFERROR($E31*$D31,0)+IFERROR($F31,0)</f>
        <v/>
      </c>
      <c r="H31" s="18" t="n"/>
      <c r="I31" s="16" t="n"/>
    </row>
    <row r="32">
      <c r="A32" s="43">
        <f>Insumos!$A32</f>
        <v/>
      </c>
      <c r="B32" s="44">
        <f>Insumos!$B32</f>
        <v/>
      </c>
      <c r="C32" s="45">
        <f>Insumos!$E32</f>
        <v/>
      </c>
      <c r="D32" s="46">
        <f>Insumos!$F32</f>
        <v/>
      </c>
      <c r="E32" s="28" t="n"/>
      <c r="F32" s="28" t="n"/>
      <c r="G32" s="42">
        <f>IFERROR($E32*$D32,0)+IFERROR($F32,0)</f>
        <v/>
      </c>
      <c r="H32" s="18" t="n"/>
      <c r="I32" s="16" t="n"/>
    </row>
    <row r="33">
      <c r="A33" s="38">
        <f>Insumos!$A33</f>
        <v/>
      </c>
      <c r="B33" s="39">
        <f>Insumos!$B33</f>
        <v/>
      </c>
      <c r="C33" s="40">
        <f>Insumos!$E33</f>
        <v/>
      </c>
      <c r="D33" s="41">
        <f>Insumos!$F33</f>
        <v/>
      </c>
      <c r="E33" s="28" t="n"/>
      <c r="F33" s="28" t="n"/>
      <c r="G33" s="42">
        <f>IFERROR($E33*$D33,0)+IFERROR($F33,0)</f>
        <v/>
      </c>
      <c r="H33" s="18" t="n"/>
      <c r="I33" s="16" t="n"/>
    </row>
    <row r="34">
      <c r="A34" s="43">
        <f>Insumos!$A34</f>
        <v/>
      </c>
      <c r="B34" s="44">
        <f>Insumos!$B34</f>
        <v/>
      </c>
      <c r="C34" s="45">
        <f>Insumos!$E34</f>
        <v/>
      </c>
      <c r="D34" s="46">
        <f>Insumos!$F34</f>
        <v/>
      </c>
      <c r="E34" s="28" t="n"/>
      <c r="F34" s="28" t="n"/>
      <c r="G34" s="42">
        <f>IFERROR($E34*$D34,0)+IFERROR($F34,0)</f>
        <v/>
      </c>
      <c r="H34" s="18" t="n"/>
      <c r="I34" s="16" t="n"/>
    </row>
    <row r="35">
      <c r="A35" s="38">
        <f>Insumos!$A35</f>
        <v/>
      </c>
      <c r="B35" s="39">
        <f>Insumos!$B35</f>
        <v/>
      </c>
      <c r="C35" s="40">
        <f>Insumos!$E35</f>
        <v/>
      </c>
      <c r="D35" s="41">
        <f>Insumos!$F35</f>
        <v/>
      </c>
      <c r="E35" s="28" t="n"/>
      <c r="F35" s="28" t="n"/>
      <c r="G35" s="42">
        <f>IFERROR($E35*$D35,0)+IFERROR($F35,0)</f>
        <v/>
      </c>
      <c r="H35" s="18" t="n"/>
      <c r="I35" s="16" t="n"/>
    </row>
    <row r="36">
      <c r="A36" s="43">
        <f>Insumos!$A36</f>
        <v/>
      </c>
      <c r="B36" s="44">
        <f>Insumos!$B36</f>
        <v/>
      </c>
      <c r="C36" s="45">
        <f>Insumos!$E36</f>
        <v/>
      </c>
      <c r="D36" s="46">
        <f>Insumos!$F36</f>
        <v/>
      </c>
      <c r="E36" s="28" t="n"/>
      <c r="F36" s="28" t="n"/>
      <c r="G36" s="42">
        <f>IFERROR($E36*$D36,0)+IFERROR($F36,0)</f>
        <v/>
      </c>
      <c r="H36" s="18" t="n"/>
      <c r="I36" s="16" t="n"/>
    </row>
    <row r="37">
      <c r="A37" s="38">
        <f>Insumos!$A37</f>
        <v/>
      </c>
      <c r="B37" s="39">
        <f>Insumos!$B37</f>
        <v/>
      </c>
      <c r="C37" s="40">
        <f>Insumos!$E37</f>
        <v/>
      </c>
      <c r="D37" s="41">
        <f>Insumos!$F37</f>
        <v/>
      </c>
      <c r="E37" s="28" t="n"/>
      <c r="F37" s="28" t="n"/>
      <c r="G37" s="42">
        <f>IFERROR($E37*$D37,0)+IFERROR($F37,0)</f>
        <v/>
      </c>
      <c r="H37" s="18" t="n"/>
      <c r="I37" s="16" t="n"/>
    </row>
    <row r="38">
      <c r="A38" s="43">
        <f>Insumos!$A38</f>
        <v/>
      </c>
      <c r="B38" s="44">
        <f>Insumos!$B38</f>
        <v/>
      </c>
      <c r="C38" s="45">
        <f>Insumos!$E38</f>
        <v/>
      </c>
      <c r="D38" s="46">
        <f>Insumos!$F38</f>
        <v/>
      </c>
      <c r="E38" s="28" t="n"/>
      <c r="F38" s="28" t="n"/>
      <c r="G38" s="42">
        <f>IFERROR($E38*$D38,0)+IFERROR($F38,0)</f>
        <v/>
      </c>
      <c r="H38" s="18" t="n"/>
      <c r="I38" s="16" t="n"/>
    </row>
    <row r="39">
      <c r="A39" s="38">
        <f>Insumos!$A39</f>
        <v/>
      </c>
      <c r="B39" s="39">
        <f>Insumos!$B39</f>
        <v/>
      </c>
      <c r="C39" s="40">
        <f>Insumos!$E39</f>
        <v/>
      </c>
      <c r="D39" s="41">
        <f>Insumos!$F39</f>
        <v/>
      </c>
      <c r="E39" s="28" t="n"/>
      <c r="F39" s="28" t="n"/>
      <c r="G39" s="42">
        <f>IFERROR($E39*$D39,0)+IFERROR($F39,0)</f>
        <v/>
      </c>
      <c r="H39" s="18" t="n"/>
      <c r="I39" s="16" t="n"/>
    </row>
    <row r="40">
      <c r="A40" s="43">
        <f>Insumos!$A40</f>
        <v/>
      </c>
      <c r="B40" s="44">
        <f>Insumos!$B40</f>
        <v/>
      </c>
      <c r="C40" s="45">
        <f>Insumos!$E40</f>
        <v/>
      </c>
      <c r="D40" s="46">
        <f>Insumos!$F40</f>
        <v/>
      </c>
      <c r="E40" s="28" t="n"/>
      <c r="F40" s="28" t="n"/>
      <c r="G40" s="42">
        <f>IFERROR($E40*$D40,0)+IFERROR($F40,0)</f>
        <v/>
      </c>
      <c r="H40" s="18" t="n"/>
      <c r="I40" s="16" t="n"/>
    </row>
    <row r="41">
      <c r="A41" s="38">
        <f>Insumos!$A41</f>
        <v/>
      </c>
      <c r="B41" s="39">
        <f>Insumos!$B41</f>
        <v/>
      </c>
      <c r="C41" s="40">
        <f>Insumos!$E41</f>
        <v/>
      </c>
      <c r="D41" s="41">
        <f>Insumos!$F41</f>
        <v/>
      </c>
      <c r="E41" s="28" t="n"/>
      <c r="F41" s="28" t="n"/>
      <c r="G41" s="42">
        <f>IFERROR($E41*$D41,0)+IFERROR($F41,0)</f>
        <v/>
      </c>
      <c r="H41" s="18" t="n"/>
      <c r="I41" s="16" t="n"/>
    </row>
    <row r="42">
      <c r="A42" s="43">
        <f>Insumos!$A42</f>
        <v/>
      </c>
      <c r="B42" s="44">
        <f>Insumos!$B42</f>
        <v/>
      </c>
      <c r="C42" s="45">
        <f>Insumos!$E42</f>
        <v/>
      </c>
      <c r="D42" s="46">
        <f>Insumos!$F42</f>
        <v/>
      </c>
      <c r="E42" s="28" t="n"/>
      <c r="F42" s="28" t="n"/>
      <c r="G42" s="42">
        <f>IFERROR($E42*$D42,0)+IFERROR($F42,0)</f>
        <v/>
      </c>
      <c r="H42" s="18" t="n"/>
      <c r="I42" s="16" t="n"/>
    </row>
    <row r="43">
      <c r="A43" s="38">
        <f>Insumos!$A43</f>
        <v/>
      </c>
      <c r="B43" s="39">
        <f>Insumos!$B43</f>
        <v/>
      </c>
      <c r="C43" s="40">
        <f>Insumos!$E43</f>
        <v/>
      </c>
      <c r="D43" s="41">
        <f>Insumos!$F43</f>
        <v/>
      </c>
      <c r="E43" s="28" t="n"/>
      <c r="F43" s="28" t="n"/>
      <c r="G43" s="42">
        <f>IFERROR($E43*$D43,0)+IFERROR($F43,0)</f>
        <v/>
      </c>
      <c r="H43" s="18" t="n"/>
      <c r="I43" s="16" t="n"/>
    </row>
    <row r="44">
      <c r="A44" s="43">
        <f>Insumos!$A44</f>
        <v/>
      </c>
      <c r="B44" s="44">
        <f>Insumos!$B44</f>
        <v/>
      </c>
      <c r="C44" s="45">
        <f>Insumos!$E44</f>
        <v/>
      </c>
      <c r="D44" s="46">
        <f>Insumos!$F44</f>
        <v/>
      </c>
      <c r="E44" s="28" t="n"/>
      <c r="F44" s="28" t="n"/>
      <c r="G44" s="42">
        <f>IFERROR($E44*$D44,0)+IFERROR($F44,0)</f>
        <v/>
      </c>
      <c r="H44" s="18" t="n"/>
      <c r="I44" s="16" t="n"/>
    </row>
    <row r="45">
      <c r="A45" s="38">
        <f>Insumos!$A45</f>
        <v/>
      </c>
      <c r="B45" s="39">
        <f>Insumos!$B45</f>
        <v/>
      </c>
      <c r="C45" s="40">
        <f>Insumos!$E45</f>
        <v/>
      </c>
      <c r="D45" s="41">
        <f>Insumos!$F45</f>
        <v/>
      </c>
      <c r="E45" s="28" t="n"/>
      <c r="F45" s="28" t="n"/>
      <c r="G45" s="42">
        <f>IFERROR($E45*$D45,0)+IFERROR($F45,0)</f>
        <v/>
      </c>
      <c r="H45" s="18" t="n"/>
      <c r="I45" s="16" t="n"/>
    </row>
    <row r="46">
      <c r="A46" s="43">
        <f>Insumos!$A46</f>
        <v/>
      </c>
      <c r="B46" s="44">
        <f>Insumos!$B46</f>
        <v/>
      </c>
      <c r="C46" s="45">
        <f>Insumos!$E46</f>
        <v/>
      </c>
      <c r="D46" s="46">
        <f>Insumos!$F46</f>
        <v/>
      </c>
      <c r="E46" s="28" t="n"/>
      <c r="F46" s="28" t="n"/>
      <c r="G46" s="42">
        <f>IFERROR($E46*$D46,0)+IFERROR($F46,0)</f>
        <v/>
      </c>
      <c r="H46" s="18" t="n"/>
      <c r="I46" s="16" t="n"/>
    </row>
    <row r="47">
      <c r="A47" s="38">
        <f>Insumos!$A47</f>
        <v/>
      </c>
      <c r="B47" s="39">
        <f>Insumos!$B47</f>
        <v/>
      </c>
      <c r="C47" s="40">
        <f>Insumos!$E47</f>
        <v/>
      </c>
      <c r="D47" s="41">
        <f>Insumos!$F47</f>
        <v/>
      </c>
      <c r="E47" s="28" t="n"/>
      <c r="F47" s="28" t="n"/>
      <c r="G47" s="42">
        <f>IFERROR($E47*$D47,0)+IFERROR($F47,0)</f>
        <v/>
      </c>
      <c r="H47" s="18" t="n"/>
      <c r="I47" s="16" t="n"/>
    </row>
    <row r="48">
      <c r="A48" s="43">
        <f>Insumos!$A48</f>
        <v/>
      </c>
      <c r="B48" s="44">
        <f>Insumos!$B48</f>
        <v/>
      </c>
      <c r="C48" s="45">
        <f>Insumos!$E48</f>
        <v/>
      </c>
      <c r="D48" s="46">
        <f>Insumos!$F48</f>
        <v/>
      </c>
      <c r="E48" s="28" t="n"/>
      <c r="F48" s="28" t="n"/>
      <c r="G48" s="42">
        <f>IFERROR($E48*$D48,0)+IFERROR($F48,0)</f>
        <v/>
      </c>
      <c r="H48" s="18" t="n"/>
      <c r="I48" s="16" t="n"/>
    </row>
    <row r="49">
      <c r="A49" s="38">
        <f>Insumos!$A49</f>
        <v/>
      </c>
      <c r="B49" s="39">
        <f>Insumos!$B49</f>
        <v/>
      </c>
      <c r="C49" s="40">
        <f>Insumos!$E49</f>
        <v/>
      </c>
      <c r="D49" s="41">
        <f>Insumos!$F49</f>
        <v/>
      </c>
      <c r="E49" s="28" t="n"/>
      <c r="F49" s="28" t="n"/>
      <c r="G49" s="42">
        <f>IFERROR($E49*$D49,0)+IFERROR($F49,0)</f>
        <v/>
      </c>
      <c r="H49" s="18" t="n"/>
      <c r="I49" s="16" t="n"/>
    </row>
    <row r="50">
      <c r="A50" s="43">
        <f>Insumos!$A50</f>
        <v/>
      </c>
      <c r="B50" s="44">
        <f>Insumos!$B50</f>
        <v/>
      </c>
      <c r="C50" s="45">
        <f>Insumos!$E50</f>
        <v/>
      </c>
      <c r="D50" s="46">
        <f>Insumos!$F50</f>
        <v/>
      </c>
      <c r="E50" s="28" t="n"/>
      <c r="F50" s="28" t="n"/>
      <c r="G50" s="42">
        <f>IFERROR($E50*$D50,0)+IFERROR($F50,0)</f>
        <v/>
      </c>
      <c r="H50" s="18" t="n"/>
      <c r="I50" s="16" t="n"/>
    </row>
    <row r="51">
      <c r="A51" s="38">
        <f>Insumos!$A51</f>
        <v/>
      </c>
      <c r="B51" s="39">
        <f>Insumos!$B51</f>
        <v/>
      </c>
      <c r="C51" s="40">
        <f>Insumos!$E51</f>
        <v/>
      </c>
      <c r="D51" s="41">
        <f>Insumos!$F51</f>
        <v/>
      </c>
      <c r="E51" s="28" t="n"/>
      <c r="F51" s="28" t="n"/>
      <c r="G51" s="42">
        <f>IFERROR($E51*$D51,0)+IFERROR($F51,0)</f>
        <v/>
      </c>
      <c r="H51" s="18" t="n"/>
      <c r="I51" s="16" t="n"/>
    </row>
    <row r="52">
      <c r="A52" s="43">
        <f>Insumos!$A52</f>
        <v/>
      </c>
      <c r="B52" s="44">
        <f>Insumos!$B52</f>
        <v/>
      </c>
      <c r="C52" s="45">
        <f>Insumos!$E52</f>
        <v/>
      </c>
      <c r="D52" s="46">
        <f>Insumos!$F52</f>
        <v/>
      </c>
      <c r="E52" s="28" t="n"/>
      <c r="F52" s="28" t="n"/>
      <c r="G52" s="42">
        <f>IFERROR($E52*$D52,0)+IFERROR($F52,0)</f>
        <v/>
      </c>
      <c r="H52" s="18" t="n"/>
      <c r="I52" s="16" t="n"/>
    </row>
    <row r="53">
      <c r="A53" s="38">
        <f>Insumos!$A53</f>
        <v/>
      </c>
      <c r="B53" s="39">
        <f>Insumos!$B53</f>
        <v/>
      </c>
      <c r="C53" s="40">
        <f>Insumos!$E53</f>
        <v/>
      </c>
      <c r="D53" s="41">
        <f>Insumos!$F53</f>
        <v/>
      </c>
      <c r="E53" s="28" t="n"/>
      <c r="F53" s="28" t="n"/>
      <c r="G53" s="42">
        <f>IFERROR($E53*$D53,0)+IFERROR($F53,0)</f>
        <v/>
      </c>
      <c r="H53" s="18" t="n"/>
      <c r="I53" s="16" t="n"/>
    </row>
    <row r="54">
      <c r="A54" s="43">
        <f>Insumos!$A54</f>
        <v/>
      </c>
      <c r="B54" s="44">
        <f>Insumos!$B54</f>
        <v/>
      </c>
      <c r="C54" s="45">
        <f>Insumos!$E54</f>
        <v/>
      </c>
      <c r="D54" s="46">
        <f>Insumos!$F54</f>
        <v/>
      </c>
      <c r="E54" s="28" t="n"/>
      <c r="F54" s="28" t="n"/>
      <c r="G54" s="42">
        <f>IFERROR($E54*$D54,0)+IFERROR($F54,0)</f>
        <v/>
      </c>
      <c r="H54" s="18" t="n"/>
      <c r="I54" s="16" t="n"/>
    </row>
    <row r="55">
      <c r="A55" s="38">
        <f>Insumos!$A55</f>
        <v/>
      </c>
      <c r="B55" s="39">
        <f>Insumos!$B55</f>
        <v/>
      </c>
      <c r="C55" s="40">
        <f>Insumos!$E55</f>
        <v/>
      </c>
      <c r="D55" s="41">
        <f>Insumos!$F55</f>
        <v/>
      </c>
      <c r="E55" s="28" t="n"/>
      <c r="F55" s="28" t="n"/>
      <c r="G55" s="42">
        <f>IFERROR($E55*$D55,0)+IFERROR($F55,0)</f>
        <v/>
      </c>
      <c r="H55" s="18" t="n"/>
      <c r="I55" s="16" t="n"/>
    </row>
    <row r="56">
      <c r="A56" s="43">
        <f>Insumos!$A56</f>
        <v/>
      </c>
      <c r="B56" s="44">
        <f>Insumos!$B56</f>
        <v/>
      </c>
      <c r="C56" s="45">
        <f>Insumos!$E56</f>
        <v/>
      </c>
      <c r="D56" s="46">
        <f>Insumos!$F56</f>
        <v/>
      </c>
      <c r="E56" s="28" t="n"/>
      <c r="F56" s="28" t="n"/>
      <c r="G56" s="42">
        <f>IFERROR($E56*$D56,0)+IFERROR($F56,0)</f>
        <v/>
      </c>
      <c r="H56" s="18" t="n"/>
      <c r="I56" s="16" t="n"/>
    </row>
    <row r="57">
      <c r="A57" s="38">
        <f>Insumos!$A57</f>
        <v/>
      </c>
      <c r="B57" s="39">
        <f>Insumos!$B57</f>
        <v/>
      </c>
      <c r="C57" s="40">
        <f>Insumos!$E57</f>
        <v/>
      </c>
      <c r="D57" s="41">
        <f>Insumos!$F57</f>
        <v/>
      </c>
      <c r="E57" s="28" t="n"/>
      <c r="F57" s="28" t="n"/>
      <c r="G57" s="42">
        <f>IFERROR($E57*$D57,0)+IFERROR($F57,0)</f>
        <v/>
      </c>
      <c r="H57" s="18" t="n"/>
      <c r="I57" s="16" t="n"/>
    </row>
    <row r="58">
      <c r="A58" s="43">
        <f>Insumos!$A58</f>
        <v/>
      </c>
      <c r="B58" s="44">
        <f>Insumos!$B58</f>
        <v/>
      </c>
      <c r="C58" s="45">
        <f>Insumos!$E58</f>
        <v/>
      </c>
      <c r="D58" s="46">
        <f>Insumos!$F58</f>
        <v/>
      </c>
      <c r="E58" s="28" t="n"/>
      <c r="F58" s="28" t="n"/>
      <c r="G58" s="42">
        <f>IFERROR($E58*$D58,0)+IFERROR($F58,0)</f>
        <v/>
      </c>
      <c r="H58" s="18" t="n"/>
      <c r="I58" s="16" t="n"/>
    </row>
    <row r="59">
      <c r="A59" s="38">
        <f>Insumos!$A59</f>
        <v/>
      </c>
      <c r="B59" s="39">
        <f>Insumos!$B59</f>
        <v/>
      </c>
      <c r="C59" s="40">
        <f>Insumos!$E59</f>
        <v/>
      </c>
      <c r="D59" s="41">
        <f>Insumos!$F59</f>
        <v/>
      </c>
      <c r="E59" s="28" t="n"/>
      <c r="F59" s="28" t="n"/>
      <c r="G59" s="42">
        <f>IFERROR($E59*$D59,0)+IFERROR($F59,0)</f>
        <v/>
      </c>
      <c r="H59" s="18" t="n"/>
      <c r="I59" s="16" t="n"/>
    </row>
    <row r="60">
      <c r="A60" s="43">
        <f>Insumos!$A60</f>
        <v/>
      </c>
      <c r="B60" s="44">
        <f>Insumos!$B60</f>
        <v/>
      </c>
      <c r="C60" s="45">
        <f>Insumos!$E60</f>
        <v/>
      </c>
      <c r="D60" s="46">
        <f>Insumos!$F60</f>
        <v/>
      </c>
      <c r="E60" s="28" t="n"/>
      <c r="F60" s="28" t="n"/>
      <c r="G60" s="42">
        <f>IFERROR($E60*$D60,0)+IFERROR($F60,0)</f>
        <v/>
      </c>
      <c r="H60" s="18" t="n"/>
      <c r="I60" s="16" t="n"/>
    </row>
    <row r="61">
      <c r="A61" s="38">
        <f>Insumos!$A61</f>
        <v/>
      </c>
      <c r="B61" s="39">
        <f>Insumos!$B61</f>
        <v/>
      </c>
      <c r="C61" s="40">
        <f>Insumos!$E61</f>
        <v/>
      </c>
      <c r="D61" s="41">
        <f>Insumos!$F61</f>
        <v/>
      </c>
      <c r="E61" s="28" t="n"/>
      <c r="F61" s="28" t="n"/>
      <c r="G61" s="42">
        <f>IFERROR($E61*$D61,0)+IFERROR($F61,0)</f>
        <v/>
      </c>
      <c r="H61" s="18" t="n"/>
      <c r="I61" s="16" t="n"/>
    </row>
    <row r="62">
      <c r="A62" s="43">
        <f>Insumos!$A62</f>
        <v/>
      </c>
      <c r="B62" s="44">
        <f>Insumos!$B62</f>
        <v/>
      </c>
      <c r="C62" s="45">
        <f>Insumos!$E62</f>
        <v/>
      </c>
      <c r="D62" s="46">
        <f>Insumos!$F62</f>
        <v/>
      </c>
      <c r="E62" s="28" t="n"/>
      <c r="F62" s="28" t="n"/>
      <c r="G62" s="42">
        <f>IFERROR($E62*$D62,0)+IFERROR($F62,0)</f>
        <v/>
      </c>
      <c r="H62" s="18" t="n"/>
      <c r="I62" s="16" t="n"/>
    </row>
    <row r="63">
      <c r="A63" s="38">
        <f>Insumos!$A63</f>
        <v/>
      </c>
      <c r="B63" s="39">
        <f>Insumos!$B63</f>
        <v/>
      </c>
      <c r="C63" s="40">
        <f>Insumos!$E63</f>
        <v/>
      </c>
      <c r="D63" s="41">
        <f>Insumos!$F63</f>
        <v/>
      </c>
      <c r="E63" s="28" t="n"/>
      <c r="F63" s="28" t="n"/>
      <c r="G63" s="42">
        <f>IFERROR($E63*$D63,0)+IFERROR($F63,0)</f>
        <v/>
      </c>
      <c r="H63" s="18" t="n"/>
      <c r="I63" s="16" t="n"/>
    </row>
    <row r="64">
      <c r="A64" s="43">
        <f>Insumos!$A64</f>
        <v/>
      </c>
      <c r="B64" s="44">
        <f>Insumos!$B64</f>
        <v/>
      </c>
      <c r="C64" s="45">
        <f>Insumos!$E64</f>
        <v/>
      </c>
      <c r="D64" s="46">
        <f>Insumos!$F64</f>
        <v/>
      </c>
      <c r="E64" s="28" t="n"/>
      <c r="F64" s="28" t="n"/>
      <c r="G64" s="42">
        <f>IFERROR($E64*$D64,0)+IFERROR($F64,0)</f>
        <v/>
      </c>
      <c r="H64" s="18" t="n"/>
      <c r="I64" s="16" t="n"/>
    </row>
    <row r="65">
      <c r="A65" s="38">
        <f>Insumos!$A65</f>
        <v/>
      </c>
      <c r="B65" s="39">
        <f>Insumos!$B65</f>
        <v/>
      </c>
      <c r="C65" s="40">
        <f>Insumos!$E65</f>
        <v/>
      </c>
      <c r="D65" s="41">
        <f>Insumos!$F65</f>
        <v/>
      </c>
      <c r="E65" s="28" t="n"/>
      <c r="F65" s="28" t="n"/>
      <c r="G65" s="42">
        <f>IFERROR($E65*$D65,0)+IFERROR($F65,0)</f>
        <v/>
      </c>
      <c r="H65" s="18" t="n"/>
      <c r="I65" s="16" t="n"/>
    </row>
    <row r="66">
      <c r="A66" s="43">
        <f>Insumos!$A66</f>
        <v/>
      </c>
      <c r="B66" s="44">
        <f>Insumos!$B66</f>
        <v/>
      </c>
      <c r="C66" s="45">
        <f>Insumos!$E66</f>
        <v/>
      </c>
      <c r="D66" s="46">
        <f>Insumos!$F66</f>
        <v/>
      </c>
      <c r="E66" s="28" t="n"/>
      <c r="F66" s="28" t="n"/>
      <c r="G66" s="42">
        <f>IFERROR($E66*$D66,0)+IFERROR($F66,0)</f>
        <v/>
      </c>
      <c r="H66" s="18" t="n"/>
      <c r="I66" s="16" t="n"/>
    </row>
    <row r="67">
      <c r="A67" s="38">
        <f>Insumos!$A67</f>
        <v/>
      </c>
      <c r="B67" s="39">
        <f>Insumos!$B67</f>
        <v/>
      </c>
      <c r="C67" s="40">
        <f>Insumos!$E67</f>
        <v/>
      </c>
      <c r="D67" s="41">
        <f>Insumos!$F67</f>
        <v/>
      </c>
      <c r="E67" s="28" t="n"/>
      <c r="F67" s="28" t="n"/>
      <c r="G67" s="42">
        <f>IFERROR($E67*$D67,0)+IFERROR($F67,0)</f>
        <v/>
      </c>
      <c r="H67" s="18" t="n"/>
      <c r="I67" s="16" t="n"/>
    </row>
    <row r="68">
      <c r="A68" s="43">
        <f>Insumos!$A68</f>
        <v/>
      </c>
      <c r="B68" s="44">
        <f>Insumos!$B68</f>
        <v/>
      </c>
      <c r="C68" s="45">
        <f>Insumos!$E68</f>
        <v/>
      </c>
      <c r="D68" s="46">
        <f>Insumos!$F68</f>
        <v/>
      </c>
      <c r="E68" s="28" t="n"/>
      <c r="F68" s="28" t="n"/>
      <c r="G68" s="42">
        <f>IFERROR($E68*$D68,0)+IFERROR($F68,0)</f>
        <v/>
      </c>
      <c r="H68" s="18" t="n"/>
      <c r="I68" s="16" t="n"/>
    </row>
    <row r="69">
      <c r="A69" s="38">
        <f>Insumos!$A69</f>
        <v/>
      </c>
      <c r="B69" s="39">
        <f>Insumos!$B69</f>
        <v/>
      </c>
      <c r="C69" s="40">
        <f>Insumos!$E69</f>
        <v/>
      </c>
      <c r="D69" s="41">
        <f>Insumos!$F69</f>
        <v/>
      </c>
      <c r="E69" s="28" t="n"/>
      <c r="F69" s="28" t="n"/>
      <c r="G69" s="42">
        <f>IFERROR($E69*$D69,0)+IFERROR($F69,0)</f>
        <v/>
      </c>
      <c r="H69" s="18" t="n"/>
      <c r="I69" s="16" t="n"/>
    </row>
    <row r="70">
      <c r="A70" s="43">
        <f>Insumos!$A70</f>
        <v/>
      </c>
      <c r="B70" s="44">
        <f>Insumos!$B70</f>
        <v/>
      </c>
      <c r="C70" s="45">
        <f>Insumos!$E70</f>
        <v/>
      </c>
      <c r="D70" s="46">
        <f>Insumos!$F70</f>
        <v/>
      </c>
      <c r="E70" s="28" t="n"/>
      <c r="F70" s="28" t="n"/>
      <c r="G70" s="42">
        <f>IFERROR($E70*$D70,0)+IFERROR($F70,0)</f>
        <v/>
      </c>
      <c r="H70" s="18" t="n"/>
      <c r="I70" s="16" t="n"/>
    </row>
    <row r="71">
      <c r="A71" s="38">
        <f>Insumos!$A71</f>
        <v/>
      </c>
      <c r="B71" s="39">
        <f>Insumos!$B71</f>
        <v/>
      </c>
      <c r="C71" s="40">
        <f>Insumos!$E71</f>
        <v/>
      </c>
      <c r="D71" s="41">
        <f>Insumos!$F71</f>
        <v/>
      </c>
      <c r="E71" s="28" t="n"/>
      <c r="F71" s="28" t="n"/>
      <c r="G71" s="42">
        <f>IFERROR($E71*$D71,0)+IFERROR($F71,0)</f>
        <v/>
      </c>
      <c r="H71" s="18" t="n"/>
      <c r="I71" s="16" t="n"/>
    </row>
    <row r="72">
      <c r="A72" s="43">
        <f>Insumos!$A72</f>
        <v/>
      </c>
      <c r="B72" s="44">
        <f>Insumos!$B72</f>
        <v/>
      </c>
      <c r="C72" s="45">
        <f>Insumos!$E72</f>
        <v/>
      </c>
      <c r="D72" s="46">
        <f>Insumos!$F72</f>
        <v/>
      </c>
      <c r="E72" s="28" t="n"/>
      <c r="F72" s="28" t="n"/>
      <c r="G72" s="42">
        <f>IFERROR($E72*$D72,0)+IFERROR($F72,0)</f>
        <v/>
      </c>
      <c r="H72" s="18" t="n"/>
      <c r="I72" s="16" t="n"/>
    </row>
    <row r="73">
      <c r="A73" s="38">
        <f>Insumos!$A73</f>
        <v/>
      </c>
      <c r="B73" s="39">
        <f>Insumos!$B73</f>
        <v/>
      </c>
      <c r="C73" s="40">
        <f>Insumos!$E73</f>
        <v/>
      </c>
      <c r="D73" s="41">
        <f>Insumos!$F73</f>
        <v/>
      </c>
      <c r="E73" s="28" t="n"/>
      <c r="F73" s="28" t="n"/>
      <c r="G73" s="42">
        <f>IFERROR($E73*$D73,0)+IFERROR($F73,0)</f>
        <v/>
      </c>
      <c r="H73" s="18" t="n"/>
      <c r="I73" s="16" t="n"/>
    </row>
    <row r="74">
      <c r="A74" s="43">
        <f>Insumos!$A74</f>
        <v/>
      </c>
      <c r="B74" s="44">
        <f>Insumos!$B74</f>
        <v/>
      </c>
      <c r="C74" s="45">
        <f>Insumos!$E74</f>
        <v/>
      </c>
      <c r="D74" s="46">
        <f>Insumos!$F74</f>
        <v/>
      </c>
      <c r="E74" s="28" t="n"/>
      <c r="F74" s="28" t="n"/>
      <c r="G74" s="42">
        <f>IFERROR($E74*$D74,0)+IFERROR($F74,0)</f>
        <v/>
      </c>
      <c r="H74" s="18" t="n"/>
      <c r="I74" s="16" t="n"/>
    </row>
    <row r="75">
      <c r="A75" s="38">
        <f>Insumos!$A75</f>
        <v/>
      </c>
      <c r="B75" s="39">
        <f>Insumos!$B75</f>
        <v/>
      </c>
      <c r="C75" s="40">
        <f>Insumos!$E75</f>
        <v/>
      </c>
      <c r="D75" s="41">
        <f>Insumos!$F75</f>
        <v/>
      </c>
      <c r="E75" s="28" t="n"/>
      <c r="F75" s="28" t="n"/>
      <c r="G75" s="42">
        <f>IFERROR($E75*$D75,0)+IFERROR($F75,0)</f>
        <v/>
      </c>
      <c r="H75" s="18" t="n"/>
      <c r="I75" s="16" t="n"/>
    </row>
    <row r="76">
      <c r="A76" s="43">
        <f>Insumos!$A76</f>
        <v/>
      </c>
      <c r="B76" s="44">
        <f>Insumos!$B76</f>
        <v/>
      </c>
      <c r="C76" s="45">
        <f>Insumos!$E76</f>
        <v/>
      </c>
      <c r="D76" s="46">
        <f>Insumos!$F76</f>
        <v/>
      </c>
      <c r="E76" s="28" t="n"/>
      <c r="F76" s="28" t="n"/>
      <c r="G76" s="42">
        <f>IFERROR($E76*$D76,0)+IFERROR($F76,0)</f>
        <v/>
      </c>
      <c r="H76" s="18" t="n"/>
      <c r="I76" s="16" t="n"/>
    </row>
    <row r="77">
      <c r="A77" s="38">
        <f>Insumos!$A77</f>
        <v/>
      </c>
      <c r="B77" s="39">
        <f>Insumos!$B77</f>
        <v/>
      </c>
      <c r="C77" s="40">
        <f>Insumos!$E77</f>
        <v/>
      </c>
      <c r="D77" s="41">
        <f>Insumos!$F77</f>
        <v/>
      </c>
      <c r="E77" s="28" t="n"/>
      <c r="F77" s="28" t="n"/>
      <c r="G77" s="42">
        <f>IFERROR($E77*$D77,0)+IFERROR($F77,0)</f>
        <v/>
      </c>
      <c r="H77" s="18" t="n"/>
      <c r="I77" s="16" t="n"/>
    </row>
    <row r="78">
      <c r="A78" s="43">
        <f>Insumos!$A78</f>
        <v/>
      </c>
      <c r="B78" s="44">
        <f>Insumos!$B78</f>
        <v/>
      </c>
      <c r="C78" s="45">
        <f>Insumos!$E78</f>
        <v/>
      </c>
      <c r="D78" s="46">
        <f>Insumos!$F78</f>
        <v/>
      </c>
      <c r="E78" s="28" t="n"/>
      <c r="F78" s="28" t="n"/>
      <c r="G78" s="42">
        <f>IFERROR($E78*$D78,0)+IFERROR($F78,0)</f>
        <v/>
      </c>
      <c r="H78" s="18" t="n"/>
      <c r="I78" s="16" t="n"/>
    </row>
    <row r="79">
      <c r="A79" s="38">
        <f>Insumos!$A79</f>
        <v/>
      </c>
      <c r="B79" s="39">
        <f>Insumos!$B79</f>
        <v/>
      </c>
      <c r="C79" s="40">
        <f>Insumos!$E79</f>
        <v/>
      </c>
      <c r="D79" s="41">
        <f>Insumos!$F79</f>
        <v/>
      </c>
      <c r="E79" s="28" t="n"/>
      <c r="F79" s="28" t="n"/>
      <c r="G79" s="42">
        <f>IFERROR($E79*$D79,0)+IFERROR($F79,0)</f>
        <v/>
      </c>
      <c r="H79" s="18" t="n"/>
      <c r="I79" s="16" t="n"/>
    </row>
    <row r="80">
      <c r="A80" s="43">
        <f>Insumos!$A80</f>
        <v/>
      </c>
      <c r="B80" s="44">
        <f>Insumos!$B80</f>
        <v/>
      </c>
      <c r="C80" s="45">
        <f>Insumos!$E80</f>
        <v/>
      </c>
      <c r="D80" s="46">
        <f>Insumos!$F80</f>
        <v/>
      </c>
      <c r="E80" s="28" t="n"/>
      <c r="F80" s="28" t="n"/>
      <c r="G80" s="42">
        <f>IFERROR($E80*$D80,0)+IFERROR($F80,0)</f>
        <v/>
      </c>
      <c r="H80" s="18" t="n"/>
      <c r="I80" s="16" t="n"/>
    </row>
    <row r="81">
      <c r="A81" s="38">
        <f>Insumos!$A81</f>
        <v/>
      </c>
      <c r="B81" s="39">
        <f>Insumos!$B81</f>
        <v/>
      </c>
      <c r="C81" s="40">
        <f>Insumos!$E81</f>
        <v/>
      </c>
      <c r="D81" s="41">
        <f>Insumos!$F81</f>
        <v/>
      </c>
      <c r="E81" s="28" t="n"/>
      <c r="F81" s="28" t="n"/>
      <c r="G81" s="42">
        <f>IFERROR($E81*$D81,0)+IFERROR($F81,0)</f>
        <v/>
      </c>
      <c r="H81" s="18" t="n"/>
      <c r="I81" s="16" t="n"/>
    </row>
    <row r="82">
      <c r="A82" s="43">
        <f>Insumos!$A82</f>
        <v/>
      </c>
      <c r="B82" s="44">
        <f>Insumos!$B82</f>
        <v/>
      </c>
      <c r="C82" s="45">
        <f>Insumos!$E82</f>
        <v/>
      </c>
      <c r="D82" s="46">
        <f>Insumos!$F82</f>
        <v/>
      </c>
      <c r="E82" s="28" t="n"/>
      <c r="F82" s="28" t="n"/>
      <c r="G82" s="42">
        <f>IFERROR($E82*$D82,0)+IFERROR($F82,0)</f>
        <v/>
      </c>
      <c r="H82" s="18" t="n"/>
      <c r="I82" s="16" t="n"/>
    </row>
    <row r="83">
      <c r="A83" s="38">
        <f>Insumos!$A83</f>
        <v/>
      </c>
      <c r="B83" s="39">
        <f>Insumos!$B83</f>
        <v/>
      </c>
      <c r="C83" s="40">
        <f>Insumos!$E83</f>
        <v/>
      </c>
      <c r="D83" s="41">
        <f>Insumos!$F83</f>
        <v/>
      </c>
      <c r="E83" s="28" t="n"/>
      <c r="F83" s="28" t="n"/>
      <c r="G83" s="42">
        <f>IFERROR($E83*$D83,0)+IFERROR($F83,0)</f>
        <v/>
      </c>
      <c r="H83" s="18" t="n"/>
      <c r="I83" s="16" t="n"/>
    </row>
    <row r="84">
      <c r="A84" s="43">
        <f>Insumos!$A84</f>
        <v/>
      </c>
      <c r="B84" s="44">
        <f>Insumos!$B84</f>
        <v/>
      </c>
      <c r="C84" s="45">
        <f>Insumos!$E84</f>
        <v/>
      </c>
      <c r="D84" s="46">
        <f>Insumos!$F84</f>
        <v/>
      </c>
      <c r="E84" s="28" t="n"/>
      <c r="F84" s="28" t="n"/>
      <c r="G84" s="42">
        <f>IFERROR($E84*$D84,0)+IFERROR($F84,0)</f>
        <v/>
      </c>
      <c r="H84" s="18" t="n"/>
      <c r="I84" s="16" t="n"/>
    </row>
    <row r="85">
      <c r="A85" s="38">
        <f>Insumos!$A85</f>
        <v/>
      </c>
      <c r="B85" s="39">
        <f>Insumos!$B85</f>
        <v/>
      </c>
      <c r="C85" s="40">
        <f>Insumos!$E85</f>
        <v/>
      </c>
      <c r="D85" s="41">
        <f>Insumos!$F85</f>
        <v/>
      </c>
      <c r="E85" s="28" t="n"/>
      <c r="F85" s="28" t="n"/>
      <c r="G85" s="42">
        <f>IFERROR($E85*$D85,0)+IFERROR($F85,0)</f>
        <v/>
      </c>
      <c r="H85" s="18" t="n"/>
      <c r="I85" s="16" t="n"/>
    </row>
    <row r="86">
      <c r="A86" s="43">
        <f>Insumos!$A86</f>
        <v/>
      </c>
      <c r="B86" s="44">
        <f>Insumos!$B86</f>
        <v/>
      </c>
      <c r="C86" s="45">
        <f>Insumos!$E86</f>
        <v/>
      </c>
      <c r="D86" s="46">
        <f>Insumos!$F86</f>
        <v/>
      </c>
      <c r="E86" s="28" t="n"/>
      <c r="F86" s="28" t="n"/>
      <c r="G86" s="42">
        <f>IFERROR($E86*$D86,0)+IFERROR($F86,0)</f>
        <v/>
      </c>
      <c r="H86" s="18" t="n"/>
      <c r="I86" s="16" t="n"/>
    </row>
    <row r="87">
      <c r="A87" s="38">
        <f>Insumos!$A87</f>
        <v/>
      </c>
      <c r="B87" s="39">
        <f>Insumos!$B87</f>
        <v/>
      </c>
      <c r="C87" s="40">
        <f>Insumos!$E87</f>
        <v/>
      </c>
      <c r="D87" s="41">
        <f>Insumos!$F87</f>
        <v/>
      </c>
      <c r="E87" s="28" t="n"/>
      <c r="F87" s="28" t="n"/>
      <c r="G87" s="42">
        <f>IFERROR($E87*$D87,0)+IFERROR($F87,0)</f>
        <v/>
      </c>
      <c r="H87" s="18" t="n"/>
      <c r="I87" s="16" t="n"/>
    </row>
    <row r="88">
      <c r="A88" s="43">
        <f>Insumos!$A88</f>
        <v/>
      </c>
      <c r="B88" s="44">
        <f>Insumos!$B88</f>
        <v/>
      </c>
      <c r="C88" s="45">
        <f>Insumos!$E88</f>
        <v/>
      </c>
      <c r="D88" s="46">
        <f>Insumos!$F88</f>
        <v/>
      </c>
      <c r="E88" s="28" t="n"/>
      <c r="F88" s="28" t="n"/>
      <c r="G88" s="42">
        <f>IFERROR($E88*$D88,0)+IFERROR($F88,0)</f>
        <v/>
      </c>
      <c r="H88" s="18" t="n"/>
      <c r="I88" s="16" t="n"/>
    </row>
    <row r="89">
      <c r="A89" s="38">
        <f>Insumos!$A89</f>
        <v/>
      </c>
      <c r="B89" s="39">
        <f>Insumos!$B89</f>
        <v/>
      </c>
      <c r="C89" s="40">
        <f>Insumos!$E89</f>
        <v/>
      </c>
      <c r="D89" s="41">
        <f>Insumos!$F89</f>
        <v/>
      </c>
      <c r="E89" s="28" t="n"/>
      <c r="F89" s="28" t="n"/>
      <c r="G89" s="42">
        <f>IFERROR($E89*$D89,0)+IFERROR($F89,0)</f>
        <v/>
      </c>
      <c r="H89" s="18" t="n"/>
      <c r="I89" s="16" t="n"/>
    </row>
    <row r="90">
      <c r="A90" s="43">
        <f>Insumos!$A90</f>
        <v/>
      </c>
      <c r="B90" s="44">
        <f>Insumos!$B90</f>
        <v/>
      </c>
      <c r="C90" s="45">
        <f>Insumos!$E90</f>
        <v/>
      </c>
      <c r="D90" s="46">
        <f>Insumos!$F90</f>
        <v/>
      </c>
      <c r="E90" s="28" t="n"/>
      <c r="F90" s="28" t="n"/>
      <c r="G90" s="42">
        <f>IFERROR($E90*$D90,0)+IFERROR($F90,0)</f>
        <v/>
      </c>
      <c r="H90" s="18" t="n"/>
      <c r="I90" s="16" t="n"/>
    </row>
    <row r="91">
      <c r="A91" s="38">
        <f>Insumos!$A91</f>
        <v/>
      </c>
      <c r="B91" s="39">
        <f>Insumos!$B91</f>
        <v/>
      </c>
      <c r="C91" s="40">
        <f>Insumos!$E91</f>
        <v/>
      </c>
      <c r="D91" s="41">
        <f>Insumos!$F91</f>
        <v/>
      </c>
      <c r="E91" s="28" t="n"/>
      <c r="F91" s="28" t="n"/>
      <c r="G91" s="42">
        <f>IFERROR($E91*$D91,0)+IFERROR($F91,0)</f>
        <v/>
      </c>
      <c r="H91" s="18" t="n"/>
      <c r="I91" s="16" t="n"/>
    </row>
    <row r="92">
      <c r="A92" s="43">
        <f>Insumos!$A92</f>
        <v/>
      </c>
      <c r="B92" s="44">
        <f>Insumos!$B92</f>
        <v/>
      </c>
      <c r="C92" s="45">
        <f>Insumos!$E92</f>
        <v/>
      </c>
      <c r="D92" s="46">
        <f>Insumos!$F92</f>
        <v/>
      </c>
      <c r="E92" s="28" t="n"/>
      <c r="F92" s="28" t="n"/>
      <c r="G92" s="42">
        <f>IFERROR($E92*$D92,0)+IFERROR($F92,0)</f>
        <v/>
      </c>
      <c r="H92" s="18" t="n"/>
      <c r="I92" s="16" t="n"/>
    </row>
    <row r="93">
      <c r="A93" s="38">
        <f>Insumos!$A93</f>
        <v/>
      </c>
      <c r="B93" s="39">
        <f>Insumos!$B93</f>
        <v/>
      </c>
      <c r="C93" s="40">
        <f>Insumos!$E93</f>
        <v/>
      </c>
      <c r="D93" s="41">
        <f>Insumos!$F93</f>
        <v/>
      </c>
      <c r="E93" s="28" t="n"/>
      <c r="F93" s="28" t="n"/>
      <c r="G93" s="42">
        <f>IFERROR($E93*$D93,0)+IFERROR($F93,0)</f>
        <v/>
      </c>
      <c r="H93" s="18" t="n"/>
      <c r="I93" s="16" t="n"/>
    </row>
    <row r="94">
      <c r="A94" s="43">
        <f>Insumos!$A94</f>
        <v/>
      </c>
      <c r="B94" s="44">
        <f>Insumos!$B94</f>
        <v/>
      </c>
      <c r="C94" s="45">
        <f>Insumos!$E94</f>
        <v/>
      </c>
      <c r="D94" s="46">
        <f>Insumos!$F94</f>
        <v/>
      </c>
      <c r="E94" s="28" t="n"/>
      <c r="F94" s="28" t="n"/>
      <c r="G94" s="42">
        <f>IFERROR($E94*$D94,0)+IFERROR($F94,0)</f>
        <v/>
      </c>
      <c r="H94" s="18" t="n"/>
      <c r="I94" s="16" t="n"/>
    </row>
    <row r="95">
      <c r="A95" s="38">
        <f>Insumos!$A95</f>
        <v/>
      </c>
      <c r="B95" s="39">
        <f>Insumos!$B95</f>
        <v/>
      </c>
      <c r="C95" s="40">
        <f>Insumos!$E95</f>
        <v/>
      </c>
      <c r="D95" s="41">
        <f>Insumos!$F95</f>
        <v/>
      </c>
      <c r="E95" s="28" t="n"/>
      <c r="F95" s="28" t="n"/>
      <c r="G95" s="42">
        <f>IFERROR($E95*$D95,0)+IFERROR($F95,0)</f>
        <v/>
      </c>
      <c r="H95" s="18" t="n"/>
      <c r="I95" s="16" t="n"/>
    </row>
    <row r="96">
      <c r="A96" s="43">
        <f>Insumos!$A96</f>
        <v/>
      </c>
      <c r="B96" s="44">
        <f>Insumos!$B96</f>
        <v/>
      </c>
      <c r="C96" s="45">
        <f>Insumos!$E96</f>
        <v/>
      </c>
      <c r="D96" s="46">
        <f>Insumos!$F96</f>
        <v/>
      </c>
      <c r="E96" s="28" t="n"/>
      <c r="F96" s="28" t="n"/>
      <c r="G96" s="42">
        <f>IFERROR($E96*$D96,0)+IFERROR($F96,0)</f>
        <v/>
      </c>
      <c r="H96" s="18" t="n"/>
      <c r="I96" s="16" t="n"/>
    </row>
    <row r="97">
      <c r="A97" s="38">
        <f>Insumos!$A97</f>
        <v/>
      </c>
      <c r="B97" s="39">
        <f>Insumos!$B97</f>
        <v/>
      </c>
      <c r="C97" s="40">
        <f>Insumos!$E97</f>
        <v/>
      </c>
      <c r="D97" s="41">
        <f>Insumos!$F97</f>
        <v/>
      </c>
      <c r="E97" s="28" t="n"/>
      <c r="F97" s="28" t="n"/>
      <c r="G97" s="42">
        <f>IFERROR($E97*$D97,0)+IFERROR($F97,0)</f>
        <v/>
      </c>
      <c r="H97" s="18" t="n"/>
      <c r="I97" s="16" t="n"/>
    </row>
    <row r="98">
      <c r="A98" s="43">
        <f>Insumos!$A98</f>
        <v/>
      </c>
      <c r="B98" s="44">
        <f>Insumos!$B98</f>
        <v/>
      </c>
      <c r="C98" s="45">
        <f>Insumos!$E98</f>
        <v/>
      </c>
      <c r="D98" s="46">
        <f>Insumos!$F98</f>
        <v/>
      </c>
      <c r="E98" s="28" t="n"/>
      <c r="F98" s="28" t="n"/>
      <c r="G98" s="42">
        <f>IFERROR($E98*$D98,0)+IFERROR($F98,0)</f>
        <v/>
      </c>
      <c r="H98" s="18" t="n"/>
      <c r="I98" s="16" t="n"/>
    </row>
    <row r="99">
      <c r="A99" s="38">
        <f>Insumos!$A99</f>
        <v/>
      </c>
      <c r="B99" s="39">
        <f>Insumos!$B99</f>
        <v/>
      </c>
      <c r="C99" s="40">
        <f>Insumos!$E99</f>
        <v/>
      </c>
      <c r="D99" s="41">
        <f>Insumos!$F99</f>
        <v/>
      </c>
      <c r="E99" s="28" t="n"/>
      <c r="F99" s="28" t="n"/>
      <c r="G99" s="42">
        <f>IFERROR($E99*$D99,0)+IFERROR($F99,0)</f>
        <v/>
      </c>
      <c r="H99" s="18" t="n"/>
      <c r="I99" s="16" t="n"/>
    </row>
    <row r="100">
      <c r="A100" s="43">
        <f>Insumos!$A100</f>
        <v/>
      </c>
      <c r="B100" s="44">
        <f>Insumos!$B100</f>
        <v/>
      </c>
      <c r="C100" s="45">
        <f>Insumos!$E100</f>
        <v/>
      </c>
      <c r="D100" s="46">
        <f>Insumos!$F100</f>
        <v/>
      </c>
      <c r="E100" s="28" t="n"/>
      <c r="F100" s="28" t="n"/>
      <c r="G100" s="42">
        <f>IFERROR($E100*$D100,0)+IFERROR($F100,0)</f>
        <v/>
      </c>
      <c r="H100" s="18" t="n"/>
      <c r="I100" s="16" t="n"/>
    </row>
    <row r="101">
      <c r="A101" s="38">
        <f>Insumos!$A101</f>
        <v/>
      </c>
      <c r="B101" s="39">
        <f>Insumos!$B101</f>
        <v/>
      </c>
      <c r="C101" s="40">
        <f>Insumos!$E101</f>
        <v/>
      </c>
      <c r="D101" s="41">
        <f>Insumos!$F101</f>
        <v/>
      </c>
      <c r="E101" s="28" t="n"/>
      <c r="F101" s="28" t="n"/>
      <c r="G101" s="42">
        <f>IFERROR($E101*$D101,0)+IFERROR($F101,0)</f>
        <v/>
      </c>
      <c r="H101" s="18" t="n"/>
      <c r="I101" s="16" t="n"/>
    </row>
    <row r="102">
      <c r="A102" s="43">
        <f>Insumos!$A102</f>
        <v/>
      </c>
      <c r="B102" s="44">
        <f>Insumos!$B102</f>
        <v/>
      </c>
      <c r="C102" s="45">
        <f>Insumos!$E102</f>
        <v/>
      </c>
      <c r="D102" s="46">
        <f>Insumos!$F102</f>
        <v/>
      </c>
      <c r="E102" s="28" t="n"/>
      <c r="F102" s="28" t="n"/>
      <c r="G102" s="42">
        <f>IFERROR($E102*$D102,0)+IFERROR($F102,0)</f>
        <v/>
      </c>
      <c r="H102" s="18" t="n"/>
      <c r="I102" s="16" t="n"/>
    </row>
    <row r="103">
      <c r="A103" s="38">
        <f>Insumos!$A103</f>
        <v/>
      </c>
      <c r="B103" s="39">
        <f>Insumos!$B103</f>
        <v/>
      </c>
      <c r="C103" s="40">
        <f>Insumos!$E103</f>
        <v/>
      </c>
      <c r="D103" s="41">
        <f>Insumos!$F103</f>
        <v/>
      </c>
      <c r="E103" s="28" t="n"/>
      <c r="F103" s="28" t="n"/>
      <c r="G103" s="42">
        <f>IFERROR($E103*$D103,0)+IFERROR($F103,0)</f>
        <v/>
      </c>
      <c r="H103" s="18" t="n"/>
      <c r="I103" s="16" t="n"/>
    </row>
    <row r="104">
      <c r="A104" s="43">
        <f>Insumos!$A104</f>
        <v/>
      </c>
      <c r="B104" s="44">
        <f>Insumos!$B104</f>
        <v/>
      </c>
      <c r="C104" s="45">
        <f>Insumos!$E104</f>
        <v/>
      </c>
      <c r="D104" s="46">
        <f>Insumos!$F104</f>
        <v/>
      </c>
      <c r="E104" s="28" t="n"/>
      <c r="F104" s="28" t="n"/>
      <c r="G104" s="42">
        <f>IFERROR($E104*$D104,0)+IFERROR($F104,0)</f>
        <v/>
      </c>
      <c r="H104" s="18" t="n"/>
      <c r="I104" s="16" t="n"/>
    </row>
    <row r="105">
      <c r="A105" s="38">
        <f>Insumos!$A105</f>
        <v/>
      </c>
      <c r="B105" s="39">
        <f>Insumos!$B105</f>
        <v/>
      </c>
      <c r="C105" s="40">
        <f>Insumos!$E105</f>
        <v/>
      </c>
      <c r="D105" s="41">
        <f>Insumos!$F105</f>
        <v/>
      </c>
      <c r="E105" s="28" t="n"/>
      <c r="F105" s="28" t="n"/>
      <c r="G105" s="42">
        <f>IFERROR($E105*$D105,0)+IFERROR($F105,0)</f>
        <v/>
      </c>
      <c r="H105" s="18" t="n"/>
      <c r="I105" s="16" t="n"/>
    </row>
    <row r="106">
      <c r="A106" s="43">
        <f>Insumos!$A106</f>
        <v/>
      </c>
      <c r="B106" s="44">
        <f>Insumos!$B106</f>
        <v/>
      </c>
      <c r="C106" s="45">
        <f>Insumos!$E106</f>
        <v/>
      </c>
      <c r="D106" s="46">
        <f>Insumos!$F106</f>
        <v/>
      </c>
      <c r="E106" s="28" t="n"/>
      <c r="F106" s="28" t="n"/>
      <c r="G106" s="42">
        <f>IFERROR($E106*$D106,0)+IFERROR($F106,0)</f>
        <v/>
      </c>
      <c r="H106" s="18" t="n"/>
      <c r="I106" s="16" t="n"/>
    </row>
    <row r="107">
      <c r="A107" s="38">
        <f>Insumos!$A107</f>
        <v/>
      </c>
      <c r="B107" s="39">
        <f>Insumos!$B107</f>
        <v/>
      </c>
      <c r="C107" s="40">
        <f>Insumos!$E107</f>
        <v/>
      </c>
      <c r="D107" s="41">
        <f>Insumos!$F107</f>
        <v/>
      </c>
      <c r="E107" s="28" t="n"/>
      <c r="F107" s="28" t="n"/>
      <c r="G107" s="42">
        <f>IFERROR($E107*$D107,0)+IFERROR($F107,0)</f>
        <v/>
      </c>
      <c r="H107" s="18" t="n"/>
      <c r="I107" s="16" t="n"/>
    </row>
    <row r="108">
      <c r="A108" s="43">
        <f>Insumos!$A108</f>
        <v/>
      </c>
      <c r="B108" s="44">
        <f>Insumos!$B108</f>
        <v/>
      </c>
      <c r="C108" s="45">
        <f>Insumos!$E108</f>
        <v/>
      </c>
      <c r="D108" s="46">
        <f>Insumos!$F108</f>
        <v/>
      </c>
      <c r="E108" s="28" t="n"/>
      <c r="F108" s="28" t="n"/>
      <c r="G108" s="42">
        <f>IFERROR($E108*$D108,0)+IFERROR($F108,0)</f>
        <v/>
      </c>
      <c r="H108" s="18" t="n"/>
      <c r="I108" s="16" t="n"/>
    </row>
    <row r="109">
      <c r="A109" s="38">
        <f>Insumos!$A109</f>
        <v/>
      </c>
      <c r="B109" s="39">
        <f>Insumos!$B109</f>
        <v/>
      </c>
      <c r="C109" s="40">
        <f>Insumos!$E109</f>
        <v/>
      </c>
      <c r="D109" s="41">
        <f>Insumos!$F109</f>
        <v/>
      </c>
      <c r="E109" s="28" t="n"/>
      <c r="F109" s="28" t="n"/>
      <c r="G109" s="42">
        <f>IFERROR($E109*$D109,0)+IFERROR($F109,0)</f>
        <v/>
      </c>
      <c r="H109" s="18" t="n"/>
      <c r="I109" s="16" t="n"/>
    </row>
    <row r="110">
      <c r="A110" s="43">
        <f>Insumos!$A110</f>
        <v/>
      </c>
      <c r="B110" s="44">
        <f>Insumos!$B110</f>
        <v/>
      </c>
      <c r="C110" s="45">
        <f>Insumos!$E110</f>
        <v/>
      </c>
      <c r="D110" s="46">
        <f>Insumos!$F110</f>
        <v/>
      </c>
      <c r="E110" s="28" t="n"/>
      <c r="F110" s="28" t="n"/>
      <c r="G110" s="42">
        <f>IFERROR($E110*$D110,0)+IFERROR($F110,0)</f>
        <v/>
      </c>
      <c r="H110" s="18" t="n"/>
      <c r="I110" s="16" t="n"/>
    </row>
    <row r="111">
      <c r="A111" s="38">
        <f>Insumos!$A111</f>
        <v/>
      </c>
      <c r="B111" s="39">
        <f>Insumos!$B111</f>
        <v/>
      </c>
      <c r="C111" s="40">
        <f>Insumos!$E111</f>
        <v/>
      </c>
      <c r="D111" s="41">
        <f>Insumos!$F111</f>
        <v/>
      </c>
      <c r="E111" s="28" t="n"/>
      <c r="F111" s="28" t="n"/>
      <c r="G111" s="42">
        <f>IFERROR($E111*$D111,0)+IFERROR($F111,0)</f>
        <v/>
      </c>
      <c r="H111" s="18" t="n"/>
      <c r="I111" s="16" t="n"/>
    </row>
    <row r="112">
      <c r="A112" s="43">
        <f>Insumos!$A112</f>
        <v/>
      </c>
      <c r="B112" s="44">
        <f>Insumos!$B112</f>
        <v/>
      </c>
      <c r="C112" s="45">
        <f>Insumos!$E112</f>
        <v/>
      </c>
      <c r="D112" s="46">
        <f>Insumos!$F112</f>
        <v/>
      </c>
      <c r="E112" s="28" t="n"/>
      <c r="F112" s="28" t="n"/>
      <c r="G112" s="42">
        <f>IFERROR($E112*$D112,0)+IFERROR($F112,0)</f>
        <v/>
      </c>
      <c r="H112" s="18" t="n"/>
      <c r="I112" s="16" t="n"/>
    </row>
    <row r="113">
      <c r="A113" s="38">
        <f>Insumos!$A113</f>
        <v/>
      </c>
      <c r="B113" s="39">
        <f>Insumos!$B113</f>
        <v/>
      </c>
      <c r="C113" s="40">
        <f>Insumos!$E113</f>
        <v/>
      </c>
      <c r="D113" s="41">
        <f>Insumos!$F113</f>
        <v/>
      </c>
      <c r="E113" s="28" t="n"/>
      <c r="F113" s="28" t="n"/>
      <c r="G113" s="42">
        <f>IFERROR($E113*$D113,0)+IFERROR($F113,0)</f>
        <v/>
      </c>
      <c r="H113" s="18" t="n"/>
      <c r="I113" s="16" t="n"/>
    </row>
    <row r="114">
      <c r="A114" s="43">
        <f>Insumos!$A114</f>
        <v/>
      </c>
      <c r="B114" s="44">
        <f>Insumos!$B114</f>
        <v/>
      </c>
      <c r="C114" s="45">
        <f>Insumos!$E114</f>
        <v/>
      </c>
      <c r="D114" s="46">
        <f>Insumos!$F114</f>
        <v/>
      </c>
      <c r="E114" s="28" t="n"/>
      <c r="F114" s="28" t="n"/>
      <c r="G114" s="42">
        <f>IFERROR($E114*$D114,0)+IFERROR($F114,0)</f>
        <v/>
      </c>
      <c r="H114" s="18" t="n"/>
      <c r="I114" s="16" t="n"/>
    </row>
    <row r="115">
      <c r="A115" s="38">
        <f>Insumos!$A115</f>
        <v/>
      </c>
      <c r="B115" s="39">
        <f>Insumos!$B115</f>
        <v/>
      </c>
      <c r="C115" s="40">
        <f>Insumos!$E115</f>
        <v/>
      </c>
      <c r="D115" s="41">
        <f>Insumos!$F115</f>
        <v/>
      </c>
      <c r="E115" s="28" t="n"/>
      <c r="F115" s="28" t="n"/>
      <c r="G115" s="42">
        <f>IFERROR($E115*$D115,0)+IFERROR($F115,0)</f>
        <v/>
      </c>
      <c r="H115" s="18" t="n"/>
      <c r="I115" s="16" t="n"/>
    </row>
    <row r="116">
      <c r="A116" s="43">
        <f>Insumos!$A116</f>
        <v/>
      </c>
      <c r="B116" s="44">
        <f>Insumos!$B116</f>
        <v/>
      </c>
      <c r="C116" s="45">
        <f>Insumos!$E116</f>
        <v/>
      </c>
      <c r="D116" s="46">
        <f>Insumos!$F116</f>
        <v/>
      </c>
      <c r="E116" s="28" t="n"/>
      <c r="F116" s="28" t="n"/>
      <c r="G116" s="42">
        <f>IFERROR($E116*$D116,0)+IFERROR($F116,0)</f>
        <v/>
      </c>
      <c r="H116" s="18" t="n"/>
      <c r="I116" s="16" t="n"/>
    </row>
    <row r="117">
      <c r="A117" s="38">
        <f>Insumos!$A117</f>
        <v/>
      </c>
      <c r="B117" s="39">
        <f>Insumos!$B117</f>
        <v/>
      </c>
      <c r="C117" s="40">
        <f>Insumos!$E117</f>
        <v/>
      </c>
      <c r="D117" s="41">
        <f>Insumos!$F117</f>
        <v/>
      </c>
      <c r="E117" s="28" t="n"/>
      <c r="F117" s="28" t="n"/>
      <c r="G117" s="42">
        <f>IFERROR($E117*$D117,0)+IFERROR($F117,0)</f>
        <v/>
      </c>
      <c r="H117" s="18" t="n"/>
      <c r="I117" s="16" t="n"/>
    </row>
    <row r="118">
      <c r="A118" s="43">
        <f>Insumos!$A118</f>
        <v/>
      </c>
      <c r="B118" s="44">
        <f>Insumos!$B118</f>
        <v/>
      </c>
      <c r="C118" s="45">
        <f>Insumos!$E118</f>
        <v/>
      </c>
      <c r="D118" s="46">
        <f>Insumos!$F118</f>
        <v/>
      </c>
      <c r="E118" s="28" t="n"/>
      <c r="F118" s="28" t="n"/>
      <c r="G118" s="42">
        <f>IFERROR($E118*$D118,0)+IFERROR($F118,0)</f>
        <v/>
      </c>
      <c r="H118" s="18" t="n"/>
      <c r="I118" s="16" t="n"/>
    </row>
    <row r="119">
      <c r="A119" s="38">
        <f>Insumos!$A119</f>
        <v/>
      </c>
      <c r="B119" s="39">
        <f>Insumos!$B119</f>
        <v/>
      </c>
      <c r="C119" s="40">
        <f>Insumos!$E119</f>
        <v/>
      </c>
      <c r="D119" s="41">
        <f>Insumos!$F119</f>
        <v/>
      </c>
      <c r="E119" s="28" t="n"/>
      <c r="F119" s="28" t="n"/>
      <c r="G119" s="42">
        <f>IFERROR($E119*$D119,0)+IFERROR($F119,0)</f>
        <v/>
      </c>
      <c r="H119" s="18" t="n"/>
      <c r="I119" s="16" t="n"/>
    </row>
    <row r="120">
      <c r="A120" s="43">
        <f>Insumos!$A120</f>
        <v/>
      </c>
      <c r="B120" s="44">
        <f>Insumos!$B120</f>
        <v/>
      </c>
      <c r="C120" s="45">
        <f>Insumos!$E120</f>
        <v/>
      </c>
      <c r="D120" s="46">
        <f>Insumos!$F120</f>
        <v/>
      </c>
      <c r="E120" s="28" t="n"/>
      <c r="F120" s="28" t="n"/>
      <c r="G120" s="42">
        <f>IFERROR($E120*$D120,0)+IFERROR($F120,0)</f>
        <v/>
      </c>
      <c r="H120" s="18" t="n"/>
      <c r="I120" s="16" t="n"/>
    </row>
    <row r="121">
      <c r="A121" s="38">
        <f>Insumos!$A121</f>
        <v/>
      </c>
      <c r="B121" s="39">
        <f>Insumos!$B121</f>
        <v/>
      </c>
      <c r="C121" s="40">
        <f>Insumos!$E121</f>
        <v/>
      </c>
      <c r="D121" s="41">
        <f>Insumos!$F121</f>
        <v/>
      </c>
      <c r="E121" s="28" t="n"/>
      <c r="F121" s="28" t="n"/>
      <c r="G121" s="42">
        <f>IFERROR($E121*$D121,0)+IFERROR($F121,0)</f>
        <v/>
      </c>
      <c r="H121" s="18" t="n"/>
      <c r="I121" s="16" t="n"/>
    </row>
    <row r="122">
      <c r="A122" s="43">
        <f>Insumos!$A122</f>
        <v/>
      </c>
      <c r="B122" s="44">
        <f>Insumos!$B122</f>
        <v/>
      </c>
      <c r="C122" s="45">
        <f>Insumos!$E122</f>
        <v/>
      </c>
      <c r="D122" s="46">
        <f>Insumos!$F122</f>
        <v/>
      </c>
      <c r="E122" s="28" t="n"/>
      <c r="F122" s="28" t="n"/>
      <c r="G122" s="42">
        <f>IFERROR($E122*$D122,0)+IFERROR($F122,0)</f>
        <v/>
      </c>
      <c r="H122" s="18" t="n"/>
      <c r="I122" s="16" t="n"/>
    </row>
    <row r="123">
      <c r="A123" s="38">
        <f>Insumos!$A123</f>
        <v/>
      </c>
      <c r="B123" s="39">
        <f>Insumos!$B123</f>
        <v/>
      </c>
      <c r="C123" s="40">
        <f>Insumos!$E123</f>
        <v/>
      </c>
      <c r="D123" s="41">
        <f>Insumos!$F123</f>
        <v/>
      </c>
      <c r="E123" s="28" t="n"/>
      <c r="F123" s="28" t="n"/>
      <c r="G123" s="42">
        <f>IFERROR($E123*$D123,0)+IFERROR($F123,0)</f>
        <v/>
      </c>
      <c r="H123" s="18" t="n"/>
      <c r="I123" s="16" t="n"/>
    </row>
    <row r="124">
      <c r="A124" s="43">
        <f>Insumos!$A124</f>
        <v/>
      </c>
      <c r="B124" s="44">
        <f>Insumos!$B124</f>
        <v/>
      </c>
      <c r="C124" s="45">
        <f>Insumos!$E124</f>
        <v/>
      </c>
      <c r="D124" s="46">
        <f>Insumos!$F124</f>
        <v/>
      </c>
      <c r="E124" s="28" t="n"/>
      <c r="F124" s="28" t="n"/>
      <c r="G124" s="42">
        <f>IFERROR($E124*$D124,0)+IFERROR($F124,0)</f>
        <v/>
      </c>
      <c r="H124" s="18" t="n"/>
      <c r="I124" s="16" t="n"/>
    </row>
    <row r="125">
      <c r="A125" s="38">
        <f>Insumos!$A125</f>
        <v/>
      </c>
      <c r="B125" s="39">
        <f>Insumos!$B125</f>
        <v/>
      </c>
      <c r="C125" s="40">
        <f>Insumos!$E125</f>
        <v/>
      </c>
      <c r="D125" s="41">
        <f>Insumos!$F125</f>
        <v/>
      </c>
      <c r="E125" s="28" t="n"/>
      <c r="F125" s="28" t="n"/>
      <c r="G125" s="42">
        <f>IFERROR($E125*$D125,0)+IFERROR($F125,0)</f>
        <v/>
      </c>
      <c r="H125" s="18" t="n"/>
      <c r="I125" s="16" t="n"/>
    </row>
    <row r="126">
      <c r="A126" s="43">
        <f>Insumos!$A126</f>
        <v/>
      </c>
      <c r="B126" s="44">
        <f>Insumos!$B126</f>
        <v/>
      </c>
      <c r="C126" s="45">
        <f>Insumos!$E126</f>
        <v/>
      </c>
      <c r="D126" s="46">
        <f>Insumos!$F126</f>
        <v/>
      </c>
      <c r="E126" s="28" t="n"/>
      <c r="F126" s="28" t="n"/>
      <c r="G126" s="42">
        <f>IFERROR($E126*$D126,0)+IFERROR($F126,0)</f>
        <v/>
      </c>
      <c r="H126" s="18" t="n"/>
      <c r="I126" s="16" t="n"/>
    </row>
    <row r="127">
      <c r="A127" s="38">
        <f>Insumos!$A127</f>
        <v/>
      </c>
      <c r="B127" s="39">
        <f>Insumos!$B127</f>
        <v/>
      </c>
      <c r="C127" s="40">
        <f>Insumos!$E127</f>
        <v/>
      </c>
      <c r="D127" s="41">
        <f>Insumos!$F127</f>
        <v/>
      </c>
      <c r="E127" s="28" t="n"/>
      <c r="F127" s="28" t="n"/>
      <c r="G127" s="42">
        <f>IFERROR($E127*$D127,0)+IFERROR($F127,0)</f>
        <v/>
      </c>
      <c r="H127" s="18" t="n"/>
      <c r="I127" s="16" t="n"/>
    </row>
    <row r="128">
      <c r="A128" s="43">
        <f>Insumos!$A128</f>
        <v/>
      </c>
      <c r="B128" s="44">
        <f>Insumos!$B128</f>
        <v/>
      </c>
      <c r="C128" s="45">
        <f>Insumos!$E128</f>
        <v/>
      </c>
      <c r="D128" s="46">
        <f>Insumos!$F128</f>
        <v/>
      </c>
      <c r="E128" s="28" t="n"/>
      <c r="F128" s="28" t="n"/>
      <c r="G128" s="42">
        <f>IFERROR($E128*$D128,0)+IFERROR($F128,0)</f>
        <v/>
      </c>
      <c r="H128" s="18" t="n"/>
      <c r="I128" s="16" t="n"/>
    </row>
    <row r="129">
      <c r="A129" s="38">
        <f>Insumos!$A129</f>
        <v/>
      </c>
      <c r="B129" s="39">
        <f>Insumos!$B129</f>
        <v/>
      </c>
      <c r="C129" s="40">
        <f>Insumos!$E129</f>
        <v/>
      </c>
      <c r="D129" s="41">
        <f>Insumos!$F129</f>
        <v/>
      </c>
      <c r="E129" s="28" t="n"/>
      <c r="F129" s="28" t="n"/>
      <c r="G129" s="42">
        <f>IFERROR($E129*$D129,0)+IFERROR($F129,0)</f>
        <v/>
      </c>
      <c r="H129" s="18" t="n"/>
      <c r="I129" s="16" t="n"/>
    </row>
    <row r="130">
      <c r="A130" s="43">
        <f>Insumos!$A130</f>
        <v/>
      </c>
      <c r="B130" s="44">
        <f>Insumos!$B130</f>
        <v/>
      </c>
      <c r="C130" s="45">
        <f>Insumos!$E130</f>
        <v/>
      </c>
      <c r="D130" s="46">
        <f>Insumos!$F130</f>
        <v/>
      </c>
      <c r="E130" s="28" t="n"/>
      <c r="F130" s="28" t="n"/>
      <c r="G130" s="42">
        <f>IFERROR($E130*$D130,0)+IFERROR($F130,0)</f>
        <v/>
      </c>
      <c r="H130" s="18" t="n"/>
      <c r="I130" s="16" t="n"/>
    </row>
    <row r="131">
      <c r="A131" s="38">
        <f>Insumos!$A131</f>
        <v/>
      </c>
      <c r="B131" s="39">
        <f>Insumos!$B131</f>
        <v/>
      </c>
      <c r="C131" s="40">
        <f>Insumos!$E131</f>
        <v/>
      </c>
      <c r="D131" s="41">
        <f>Insumos!$F131</f>
        <v/>
      </c>
      <c r="E131" s="28" t="n"/>
      <c r="F131" s="28" t="n"/>
      <c r="G131" s="42">
        <f>IFERROR($E131*$D131,0)+IFERROR($F131,0)</f>
        <v/>
      </c>
      <c r="H131" s="18" t="n"/>
      <c r="I131" s="16" t="n"/>
    </row>
    <row r="132">
      <c r="A132" s="43">
        <f>Insumos!$A132</f>
        <v/>
      </c>
      <c r="B132" s="44">
        <f>Insumos!$B132</f>
        <v/>
      </c>
      <c r="C132" s="45">
        <f>Insumos!$E132</f>
        <v/>
      </c>
      <c r="D132" s="46">
        <f>Insumos!$F132</f>
        <v/>
      </c>
      <c r="E132" s="28" t="n"/>
      <c r="F132" s="28" t="n"/>
      <c r="G132" s="42">
        <f>IFERROR($E132*$D132,0)+IFERROR($F132,0)</f>
        <v/>
      </c>
      <c r="H132" s="18" t="n"/>
      <c r="I132" s="16" t="n"/>
    </row>
    <row r="133">
      <c r="A133" s="38">
        <f>Insumos!$A133</f>
        <v/>
      </c>
      <c r="B133" s="39">
        <f>Insumos!$B133</f>
        <v/>
      </c>
      <c r="C133" s="40">
        <f>Insumos!$E133</f>
        <v/>
      </c>
      <c r="D133" s="41">
        <f>Insumos!$F133</f>
        <v/>
      </c>
      <c r="E133" s="28" t="n"/>
      <c r="F133" s="28" t="n"/>
      <c r="G133" s="42">
        <f>IFERROR($E133*$D133,0)+IFERROR($F133,0)</f>
        <v/>
      </c>
      <c r="H133" s="18" t="n"/>
      <c r="I133" s="16" t="n"/>
    </row>
    <row r="134">
      <c r="A134" s="43">
        <f>Insumos!$A134</f>
        <v/>
      </c>
      <c r="B134" s="44">
        <f>Insumos!$B134</f>
        <v/>
      </c>
      <c r="C134" s="45">
        <f>Insumos!$E134</f>
        <v/>
      </c>
      <c r="D134" s="46">
        <f>Insumos!$F134</f>
        <v/>
      </c>
      <c r="E134" s="28" t="n"/>
      <c r="F134" s="28" t="n"/>
      <c r="G134" s="42">
        <f>IFERROR($E134*$D134,0)+IFERROR($F134,0)</f>
        <v/>
      </c>
      <c r="H134" s="18" t="n"/>
      <c r="I134" s="16" t="n"/>
    </row>
    <row r="135">
      <c r="A135" s="38">
        <f>Insumos!$A135</f>
        <v/>
      </c>
      <c r="B135" s="39">
        <f>Insumos!$B135</f>
        <v/>
      </c>
      <c r="C135" s="40">
        <f>Insumos!$E135</f>
        <v/>
      </c>
      <c r="D135" s="41">
        <f>Insumos!$F135</f>
        <v/>
      </c>
      <c r="E135" s="28" t="n"/>
      <c r="F135" s="28" t="n"/>
      <c r="G135" s="42">
        <f>IFERROR($E135*$D135,0)+IFERROR($F135,0)</f>
        <v/>
      </c>
      <c r="H135" s="18" t="n"/>
      <c r="I135" s="16" t="n"/>
    </row>
    <row r="136">
      <c r="A136" s="43">
        <f>Insumos!$A136</f>
        <v/>
      </c>
      <c r="B136" s="44">
        <f>Insumos!$B136</f>
        <v/>
      </c>
      <c r="C136" s="45">
        <f>Insumos!$E136</f>
        <v/>
      </c>
      <c r="D136" s="46">
        <f>Insumos!$F136</f>
        <v/>
      </c>
      <c r="E136" s="28" t="n"/>
      <c r="F136" s="28" t="n"/>
      <c r="G136" s="42">
        <f>IFERROR($E136*$D136,0)+IFERROR($F136,0)</f>
        <v/>
      </c>
      <c r="H136" s="18" t="n"/>
      <c r="I136" s="16" t="n"/>
    </row>
    <row r="137">
      <c r="A137" s="38">
        <f>Insumos!$A137</f>
        <v/>
      </c>
      <c r="B137" s="39">
        <f>Insumos!$B137</f>
        <v/>
      </c>
      <c r="C137" s="40">
        <f>Insumos!$E137</f>
        <v/>
      </c>
      <c r="D137" s="41">
        <f>Insumos!$F137</f>
        <v/>
      </c>
      <c r="E137" s="28" t="n"/>
      <c r="F137" s="28" t="n"/>
      <c r="G137" s="42">
        <f>IFERROR($E137*$D137,0)+IFERROR($F137,0)</f>
        <v/>
      </c>
      <c r="H137" s="18" t="n"/>
      <c r="I137" s="16" t="n"/>
    </row>
    <row r="138">
      <c r="A138" s="43">
        <f>Insumos!$A138</f>
        <v/>
      </c>
      <c r="B138" s="44">
        <f>Insumos!$B138</f>
        <v/>
      </c>
      <c r="C138" s="45">
        <f>Insumos!$E138</f>
        <v/>
      </c>
      <c r="D138" s="46">
        <f>Insumos!$F138</f>
        <v/>
      </c>
      <c r="E138" s="28" t="n"/>
      <c r="F138" s="28" t="n"/>
      <c r="G138" s="42">
        <f>IFERROR($E138*$D138,0)+IFERROR($F138,0)</f>
        <v/>
      </c>
      <c r="H138" s="18" t="n"/>
      <c r="I138" s="16" t="n"/>
    </row>
    <row r="139">
      <c r="A139" s="38">
        <f>Insumos!$A139</f>
        <v/>
      </c>
      <c r="B139" s="39">
        <f>Insumos!$B139</f>
        <v/>
      </c>
      <c r="C139" s="40">
        <f>Insumos!$E139</f>
        <v/>
      </c>
      <c r="D139" s="41">
        <f>Insumos!$F139</f>
        <v/>
      </c>
      <c r="E139" s="28" t="n"/>
      <c r="F139" s="28" t="n"/>
      <c r="G139" s="42">
        <f>IFERROR($E139*$D139,0)+IFERROR($F139,0)</f>
        <v/>
      </c>
      <c r="H139" s="18" t="n"/>
      <c r="I139" s="16" t="n"/>
    </row>
    <row r="140">
      <c r="A140" s="43">
        <f>Insumos!$A140</f>
        <v/>
      </c>
      <c r="B140" s="44">
        <f>Insumos!$B140</f>
        <v/>
      </c>
      <c r="C140" s="45">
        <f>Insumos!$E140</f>
        <v/>
      </c>
      <c r="D140" s="46">
        <f>Insumos!$F140</f>
        <v/>
      </c>
      <c r="E140" s="28" t="n"/>
      <c r="F140" s="28" t="n"/>
      <c r="G140" s="42">
        <f>IFERROR($E140*$D140,0)+IFERROR($F140,0)</f>
        <v/>
      </c>
      <c r="H140" s="18" t="n"/>
      <c r="I140" s="16" t="n"/>
    </row>
    <row r="141">
      <c r="A141" s="38">
        <f>Insumos!$A141</f>
        <v/>
      </c>
      <c r="B141" s="39">
        <f>Insumos!$B141</f>
        <v/>
      </c>
      <c r="C141" s="40">
        <f>Insumos!$E141</f>
        <v/>
      </c>
      <c r="D141" s="41">
        <f>Insumos!$F141</f>
        <v/>
      </c>
      <c r="E141" s="28" t="n"/>
      <c r="F141" s="28" t="n"/>
      <c r="G141" s="42">
        <f>IFERROR($E141*$D141,0)+IFERROR($F141,0)</f>
        <v/>
      </c>
      <c r="H141" s="18" t="n"/>
      <c r="I141" s="16" t="n"/>
    </row>
    <row r="142">
      <c r="A142" s="43">
        <f>Insumos!$A142</f>
        <v/>
      </c>
      <c r="B142" s="44">
        <f>Insumos!$B142</f>
        <v/>
      </c>
      <c r="C142" s="45">
        <f>Insumos!$E142</f>
        <v/>
      </c>
      <c r="D142" s="46">
        <f>Insumos!$F142</f>
        <v/>
      </c>
      <c r="E142" s="28" t="n"/>
      <c r="F142" s="28" t="n"/>
      <c r="G142" s="42">
        <f>IFERROR($E142*$D142,0)+IFERROR($F142,0)</f>
        <v/>
      </c>
      <c r="H142" s="18" t="n"/>
      <c r="I142" s="16" t="n"/>
    </row>
    <row r="143">
      <c r="A143" s="38">
        <f>Insumos!$A143</f>
        <v/>
      </c>
      <c r="B143" s="39">
        <f>Insumos!$B143</f>
        <v/>
      </c>
      <c r="C143" s="40">
        <f>Insumos!$E143</f>
        <v/>
      </c>
      <c r="D143" s="41">
        <f>Insumos!$F143</f>
        <v/>
      </c>
      <c r="E143" s="28" t="n"/>
      <c r="F143" s="28" t="n"/>
      <c r="G143" s="42">
        <f>IFERROR($E143*$D143,0)+IFERROR($F143,0)</f>
        <v/>
      </c>
      <c r="H143" s="18" t="n"/>
      <c r="I143" s="16" t="n"/>
    </row>
    <row r="144">
      <c r="A144" s="43">
        <f>Insumos!$A144</f>
        <v/>
      </c>
      <c r="B144" s="44">
        <f>Insumos!$B144</f>
        <v/>
      </c>
      <c r="C144" s="45">
        <f>Insumos!$E144</f>
        <v/>
      </c>
      <c r="D144" s="46">
        <f>Insumos!$F144</f>
        <v/>
      </c>
      <c r="E144" s="28" t="n"/>
      <c r="F144" s="28" t="n"/>
      <c r="G144" s="42">
        <f>IFERROR($E144*$D144,0)+IFERROR($F144,0)</f>
        <v/>
      </c>
      <c r="H144" s="18" t="n"/>
      <c r="I144" s="16" t="n"/>
    </row>
    <row r="145">
      <c r="A145" s="38">
        <f>Insumos!$A145</f>
        <v/>
      </c>
      <c r="B145" s="39">
        <f>Insumos!$B145</f>
        <v/>
      </c>
      <c r="C145" s="40">
        <f>Insumos!$E145</f>
        <v/>
      </c>
      <c r="D145" s="41">
        <f>Insumos!$F145</f>
        <v/>
      </c>
      <c r="E145" s="28" t="n"/>
      <c r="F145" s="28" t="n"/>
      <c r="G145" s="42">
        <f>IFERROR($E145*$D145,0)+IFERROR($F145,0)</f>
        <v/>
      </c>
      <c r="H145" s="18" t="n"/>
      <c r="I145" s="16" t="n"/>
    </row>
    <row r="146">
      <c r="A146" s="43">
        <f>Insumos!$A146</f>
        <v/>
      </c>
      <c r="B146" s="44">
        <f>Insumos!$B146</f>
        <v/>
      </c>
      <c r="C146" s="45">
        <f>Insumos!$E146</f>
        <v/>
      </c>
      <c r="D146" s="46">
        <f>Insumos!$F146</f>
        <v/>
      </c>
      <c r="E146" s="28" t="n"/>
      <c r="F146" s="28" t="n"/>
      <c r="G146" s="42">
        <f>IFERROR($E146*$D146,0)+IFERROR($F146,0)</f>
        <v/>
      </c>
      <c r="H146" s="18" t="n"/>
      <c r="I146" s="16" t="n"/>
    </row>
    <row r="147">
      <c r="A147" s="38">
        <f>Insumos!$A147</f>
        <v/>
      </c>
      <c r="B147" s="39">
        <f>Insumos!$B147</f>
        <v/>
      </c>
      <c r="C147" s="40">
        <f>Insumos!$E147</f>
        <v/>
      </c>
      <c r="D147" s="41">
        <f>Insumos!$F147</f>
        <v/>
      </c>
      <c r="E147" s="28" t="n"/>
      <c r="F147" s="28" t="n"/>
      <c r="G147" s="42">
        <f>IFERROR($E147*$D147,0)+IFERROR($F147,0)</f>
        <v/>
      </c>
      <c r="H147" s="18" t="n"/>
      <c r="I147" s="16" t="n"/>
    </row>
    <row r="148">
      <c r="A148" s="43">
        <f>Insumos!$A148</f>
        <v/>
      </c>
      <c r="B148" s="44">
        <f>Insumos!$B148</f>
        <v/>
      </c>
      <c r="C148" s="45">
        <f>Insumos!$E148</f>
        <v/>
      </c>
      <c r="D148" s="46">
        <f>Insumos!$F148</f>
        <v/>
      </c>
      <c r="E148" s="28" t="n"/>
      <c r="F148" s="28" t="n"/>
      <c r="G148" s="42">
        <f>IFERROR($E148*$D148,0)+IFERROR($F148,0)</f>
        <v/>
      </c>
      <c r="H148" s="18" t="n"/>
      <c r="I148" s="16" t="n"/>
    </row>
    <row r="149">
      <c r="A149" s="38">
        <f>Insumos!$A149</f>
        <v/>
      </c>
      <c r="B149" s="39">
        <f>Insumos!$B149</f>
        <v/>
      </c>
      <c r="C149" s="40">
        <f>Insumos!$E149</f>
        <v/>
      </c>
      <c r="D149" s="41">
        <f>Insumos!$F149</f>
        <v/>
      </c>
      <c r="E149" s="28" t="n"/>
      <c r="F149" s="28" t="n"/>
      <c r="G149" s="42">
        <f>IFERROR($E149*$D149,0)+IFERROR($F149,0)</f>
        <v/>
      </c>
      <c r="H149" s="18" t="n"/>
      <c r="I149" s="16" t="n"/>
    </row>
    <row r="150">
      <c r="A150" s="43">
        <f>Insumos!$A150</f>
        <v/>
      </c>
      <c r="B150" s="44">
        <f>Insumos!$B150</f>
        <v/>
      </c>
      <c r="C150" s="45">
        <f>Insumos!$E150</f>
        <v/>
      </c>
      <c r="D150" s="46">
        <f>Insumos!$F150</f>
        <v/>
      </c>
      <c r="E150" s="28" t="n"/>
      <c r="F150" s="28" t="n"/>
      <c r="G150" s="42">
        <f>IFERROR($E150*$D150,0)+IFERROR($F150,0)</f>
        <v/>
      </c>
      <c r="H150" s="18" t="n"/>
      <c r="I150" s="16" t="n"/>
    </row>
    <row r="151">
      <c r="A151" s="38">
        <f>Insumos!$A151</f>
        <v/>
      </c>
      <c r="B151" s="39">
        <f>Insumos!$B151</f>
        <v/>
      </c>
      <c r="C151" s="40">
        <f>Insumos!$E151</f>
        <v/>
      </c>
      <c r="D151" s="41">
        <f>Insumos!$F151</f>
        <v/>
      </c>
      <c r="E151" s="28" t="n"/>
      <c r="F151" s="28" t="n"/>
      <c r="G151" s="42">
        <f>IFERROR($E151*$D151,0)+IFERROR($F151,0)</f>
        <v/>
      </c>
      <c r="H151" s="18" t="n"/>
      <c r="I151" s="16" t="n"/>
    </row>
    <row r="152">
      <c r="A152" s="43">
        <f>Insumos!$A152</f>
        <v/>
      </c>
      <c r="B152" s="44">
        <f>Insumos!$B152</f>
        <v/>
      </c>
      <c r="C152" s="45">
        <f>Insumos!$E152</f>
        <v/>
      </c>
      <c r="D152" s="46">
        <f>Insumos!$F152</f>
        <v/>
      </c>
      <c r="E152" s="28" t="n"/>
      <c r="F152" s="28" t="n"/>
      <c r="G152" s="42">
        <f>IFERROR($E152*$D152,0)+IFERROR($F152,0)</f>
        <v/>
      </c>
      <c r="H152" s="18" t="n"/>
      <c r="I152" s="16" t="n"/>
    </row>
    <row r="153">
      <c r="A153" s="38">
        <f>Insumos!$A153</f>
        <v/>
      </c>
      <c r="B153" s="39">
        <f>Insumos!$B153</f>
        <v/>
      </c>
      <c r="C153" s="40">
        <f>Insumos!$E153</f>
        <v/>
      </c>
      <c r="D153" s="41">
        <f>Insumos!$F153</f>
        <v/>
      </c>
      <c r="E153" s="28" t="n"/>
      <c r="F153" s="28" t="n"/>
      <c r="G153" s="42">
        <f>IFERROR($E153*$D153,0)+IFERROR($F153,0)</f>
        <v/>
      </c>
      <c r="H153" s="18" t="n"/>
      <c r="I153" s="16" t="n"/>
    </row>
    <row r="154">
      <c r="A154" s="43">
        <f>Insumos!$A154</f>
        <v/>
      </c>
      <c r="B154" s="44">
        <f>Insumos!$B154</f>
        <v/>
      </c>
      <c r="C154" s="45">
        <f>Insumos!$E154</f>
        <v/>
      </c>
      <c r="D154" s="46">
        <f>Insumos!$F154</f>
        <v/>
      </c>
      <c r="E154" s="28" t="n"/>
      <c r="F154" s="28" t="n"/>
      <c r="G154" s="42">
        <f>IFERROR($E154*$D154,0)+IFERROR($F154,0)</f>
        <v/>
      </c>
      <c r="H154" s="18" t="n"/>
      <c r="I154" s="16" t="n"/>
    </row>
    <row r="155">
      <c r="A155" s="38">
        <f>Insumos!$A155</f>
        <v/>
      </c>
      <c r="B155" s="39">
        <f>Insumos!$B155</f>
        <v/>
      </c>
      <c r="C155" s="40">
        <f>Insumos!$E155</f>
        <v/>
      </c>
      <c r="D155" s="41">
        <f>Insumos!$F155</f>
        <v/>
      </c>
      <c r="E155" s="28" t="n"/>
      <c r="F155" s="28" t="n"/>
      <c r="G155" s="42">
        <f>IFERROR($E155*$D155,0)+IFERROR($F155,0)</f>
        <v/>
      </c>
      <c r="H155" s="18" t="n"/>
      <c r="I155" s="16" t="n"/>
    </row>
    <row r="156">
      <c r="A156" s="43">
        <f>Insumos!$A156</f>
        <v/>
      </c>
      <c r="B156" s="44">
        <f>Insumos!$B156</f>
        <v/>
      </c>
      <c r="C156" s="45">
        <f>Insumos!$E156</f>
        <v/>
      </c>
      <c r="D156" s="46">
        <f>Insumos!$F156</f>
        <v/>
      </c>
      <c r="E156" s="28" t="n"/>
      <c r="F156" s="28" t="n"/>
      <c r="G156" s="42">
        <f>IFERROR($E156*$D156,0)+IFERROR($F156,0)</f>
        <v/>
      </c>
      <c r="H156" s="18" t="n"/>
      <c r="I156" s="16" t="n"/>
    </row>
    <row r="157">
      <c r="A157" s="38">
        <f>Insumos!$A157</f>
        <v/>
      </c>
      <c r="B157" s="39">
        <f>Insumos!$B157</f>
        <v/>
      </c>
      <c r="C157" s="40">
        <f>Insumos!$E157</f>
        <v/>
      </c>
      <c r="D157" s="41">
        <f>Insumos!$F157</f>
        <v/>
      </c>
      <c r="E157" s="28" t="n"/>
      <c r="F157" s="28" t="n"/>
      <c r="G157" s="42">
        <f>IFERROR($E157*$D157,0)+IFERROR($F157,0)</f>
        <v/>
      </c>
      <c r="H157" s="18" t="n"/>
      <c r="I157" s="16" t="n"/>
    </row>
    <row r="158">
      <c r="A158" s="43">
        <f>Insumos!$A158</f>
        <v/>
      </c>
      <c r="B158" s="44">
        <f>Insumos!$B158</f>
        <v/>
      </c>
      <c r="C158" s="45">
        <f>Insumos!$E158</f>
        <v/>
      </c>
      <c r="D158" s="46">
        <f>Insumos!$F158</f>
        <v/>
      </c>
      <c r="E158" s="28" t="n"/>
      <c r="F158" s="28" t="n"/>
      <c r="G158" s="42">
        <f>IFERROR($E158*$D158,0)+IFERROR($F158,0)</f>
        <v/>
      </c>
      <c r="H158" s="18" t="n"/>
      <c r="I158" s="16" t="n"/>
    </row>
    <row r="159">
      <c r="A159" s="38">
        <f>Insumos!$A159</f>
        <v/>
      </c>
      <c r="B159" s="39">
        <f>Insumos!$B159</f>
        <v/>
      </c>
      <c r="C159" s="40">
        <f>Insumos!$E159</f>
        <v/>
      </c>
      <c r="D159" s="41">
        <f>Insumos!$F159</f>
        <v/>
      </c>
      <c r="E159" s="28" t="n"/>
      <c r="F159" s="28" t="n"/>
      <c r="G159" s="42">
        <f>IFERROR($E159*$D159,0)+IFERROR($F159,0)</f>
        <v/>
      </c>
      <c r="H159" s="18" t="n"/>
      <c r="I159" s="16" t="n"/>
    </row>
    <row r="160">
      <c r="A160" s="43">
        <f>Insumos!$A160</f>
        <v/>
      </c>
      <c r="B160" s="44">
        <f>Insumos!$B160</f>
        <v/>
      </c>
      <c r="C160" s="45">
        <f>Insumos!$E160</f>
        <v/>
      </c>
      <c r="D160" s="46">
        <f>Insumos!$F160</f>
        <v/>
      </c>
      <c r="E160" s="28" t="n"/>
      <c r="F160" s="28" t="n"/>
      <c r="G160" s="42">
        <f>IFERROR($E160*$D160,0)+IFERROR($F160,0)</f>
        <v/>
      </c>
      <c r="H160" s="18" t="n"/>
      <c r="I160" s="16" t="n"/>
    </row>
    <row r="161">
      <c r="A161" s="38">
        <f>Insumos!$A161</f>
        <v/>
      </c>
      <c r="B161" s="39">
        <f>Insumos!$B161</f>
        <v/>
      </c>
      <c r="C161" s="40">
        <f>Insumos!$E161</f>
        <v/>
      </c>
      <c r="D161" s="41">
        <f>Insumos!$F161</f>
        <v/>
      </c>
      <c r="E161" s="28" t="n"/>
      <c r="F161" s="28" t="n"/>
      <c r="G161" s="42">
        <f>IFERROR($E161*$D161,0)+IFERROR($F161,0)</f>
        <v/>
      </c>
      <c r="H161" s="18" t="n"/>
      <c r="I161" s="16" t="n"/>
    </row>
    <row r="162">
      <c r="A162" s="43">
        <f>Insumos!$A162</f>
        <v/>
      </c>
      <c r="B162" s="44">
        <f>Insumos!$B162</f>
        <v/>
      </c>
      <c r="C162" s="45">
        <f>Insumos!$E162</f>
        <v/>
      </c>
      <c r="D162" s="46">
        <f>Insumos!$F162</f>
        <v/>
      </c>
      <c r="E162" s="28" t="n"/>
      <c r="F162" s="28" t="n"/>
      <c r="G162" s="42">
        <f>IFERROR($E162*$D162,0)+IFERROR($F162,0)</f>
        <v/>
      </c>
      <c r="H162" s="18" t="n"/>
      <c r="I162" s="16" t="n"/>
    </row>
    <row r="163">
      <c r="A163" s="38">
        <f>Insumos!$A163</f>
        <v/>
      </c>
      <c r="B163" s="39">
        <f>Insumos!$B163</f>
        <v/>
      </c>
      <c r="C163" s="40">
        <f>Insumos!$E163</f>
        <v/>
      </c>
      <c r="D163" s="41">
        <f>Insumos!$F163</f>
        <v/>
      </c>
      <c r="E163" s="28" t="n"/>
      <c r="F163" s="28" t="n"/>
      <c r="G163" s="42">
        <f>IFERROR($E163*$D163,0)+IFERROR($F163,0)</f>
        <v/>
      </c>
      <c r="H163" s="18" t="n"/>
      <c r="I163" s="16" t="n"/>
    </row>
  </sheetData>
  <autoFilter ref="A4:I163"/>
  <mergeCells count="3">
    <mergeCell ref="A1:I1"/>
    <mergeCell ref="A3:I3"/>
    <mergeCell ref="A2:I2"/>
  </mergeCells>
  <conditionalFormatting sqref="G5:G163">
    <cfRule type="expression" priority="1" dxfId="0" stopIfTrue="0">
      <formula>AND($E5="",$F5="")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15" customWidth="1" min="4" max="4"/>
    <col width="16" customWidth="1" min="5" max="5"/>
    <col width="10" customWidth="1" min="6" max="6"/>
    <col width="11" customWidth="1" min="7" max="7"/>
    <col width="11" customWidth="1" min="8" max="8"/>
    <col width="13" customWidth="1" min="9" max="9"/>
    <col width="14" customWidth="1" min="10" max="10"/>
    <col width="26" customWidth="1" min="11" max="11"/>
  </cols>
  <sheetData>
    <row r="1" ht="30" customHeight="1">
      <c r="A1" s="1" t="inlineStr">
        <is>
          <t>PLANILLA 2 · INGRESOS DE MERCADERIA DE LA SEMANA</t>
        </is>
      </c>
    </row>
    <row r="2" ht="18" customHeight="1">
      <c r="A2" s="2" t="inlineStr">
        <is>
          <t>Se anota CADA VEZ que entra mercaderia a un area, en el momento en que entra. Sin esto no se puede calcular el consumo.</t>
        </is>
      </c>
    </row>
    <row r="3" ht="18" customHeight="1">
      <c r="A3" s="3" t="inlineStr">
        <is>
          <t>La fila 5 es un EJEMPLO: borrela antes de empezar. Cargue desde la fila 6.</t>
        </is>
      </c>
    </row>
    <row r="4" ht="34" customHeight="1">
      <c r="A4" s="6" t="inlineStr">
        <is>
          <t>FECHA</t>
        </is>
      </c>
      <c r="B4" s="6" t="inlineStr">
        <is>
          <t>AREA</t>
        </is>
      </c>
      <c r="C4" s="6" t="inlineStr">
        <is>
          <t>INSUMO</t>
        </is>
      </c>
      <c r="D4" s="6" t="inlineStr">
        <is>
          <t>PROVEEDOR</t>
        </is>
      </c>
      <c r="E4" s="6" t="inlineStr">
        <is>
          <t>N° REMITO /
FACTURA</t>
        </is>
      </c>
      <c r="F4" s="6" t="inlineStr">
        <is>
          <t>BULTOS</t>
        </is>
      </c>
      <c r="G4" s="6" t="inlineStr">
        <is>
          <t>CONTENIDO
POR BULTO</t>
        </is>
      </c>
      <c r="H4" s="6" t="inlineStr">
        <is>
          <t>PARCIAL</t>
        </is>
      </c>
      <c r="I4" s="6" t="inlineStr">
        <is>
          <t>TOTAL
(calculado)</t>
        </is>
      </c>
      <c r="J4" s="6" t="inlineStr">
        <is>
          <t>RECIBIO
(iniciales)</t>
        </is>
      </c>
      <c r="K4" s="6" t="inlineStr">
        <is>
          <t>CONTROL AUTOMATICO</t>
        </is>
      </c>
    </row>
    <row r="5">
      <c r="A5" s="47">
        <f>IF(Config!$B$6="","",Config!$B$6)</f>
        <v/>
      </c>
      <c r="B5" s="48" t="inlineStr">
        <is>
          <t>Panaderia</t>
        </is>
      </c>
      <c r="C5" s="48" t="inlineStr">
        <is>
          <t>Harina 000 x25kg</t>
        </is>
      </c>
      <c r="D5" s="48" t="inlineStr">
        <is>
          <t>Molino XX</t>
        </is>
      </c>
      <c r="E5" s="48" t="inlineStr">
        <is>
          <t>R-0001234</t>
        </is>
      </c>
      <c r="F5" s="49" t="n">
        <v>4</v>
      </c>
      <c r="G5" s="50">
        <f>IFERROR(INDEX(Insumos!$F$5:$F$163,MATCH($B5&amp;" | "&amp;$C5,Insumos!$I$5:$I$163,0)),"")</f>
        <v/>
      </c>
      <c r="H5" s="49" t="n">
        <v>12.5</v>
      </c>
      <c r="I5" s="50">
        <f>IFERROR($F5*$G5,0)+IFERROR($H5,0)</f>
        <v/>
      </c>
      <c r="J5" s="48" t="inlineStr">
        <is>
          <t>JP</t>
        </is>
      </c>
      <c r="K5" s="51" t="inlineStr">
        <is>
          <t>EJEMPLO - borrar esta fila</t>
        </is>
      </c>
    </row>
    <row r="6">
      <c r="A6" s="12" t="n"/>
      <c r="B6" s="18" t="n"/>
      <c r="C6" s="16" t="n"/>
      <c r="D6" s="18" t="n"/>
      <c r="E6" s="18" t="n"/>
      <c r="F6" s="28" t="n"/>
      <c r="G6" s="41">
        <f>IFERROR(INDEX(Insumos!$F$5:$F$163,MATCH($B6&amp;" | "&amp;$C6,Insumos!$I$5:$I$163,0)),"")</f>
        <v/>
      </c>
      <c r="H6" s="28" t="n"/>
      <c r="I6" s="42">
        <f>IFERROR($F6*$G6,0)+IFERROR($H6,0)</f>
        <v/>
      </c>
      <c r="J6" s="18" t="n"/>
      <c r="K6" s="35">
        <f>IF($C6="","",IF(COUNTIF(Insumos!$I$5:$I$163,$B6&amp;" | "&amp;$C6)=0,"REVISAR: area+insumo no existe en el maestro","OK"))</f>
        <v/>
      </c>
    </row>
    <row r="7">
      <c r="A7" s="12" t="n"/>
      <c r="B7" s="18" t="n"/>
      <c r="C7" s="16" t="n"/>
      <c r="D7" s="18" t="n"/>
      <c r="E7" s="18" t="n"/>
      <c r="F7" s="28" t="n"/>
      <c r="G7" s="41">
        <f>IFERROR(INDEX(Insumos!$F$5:$F$163,MATCH($B7&amp;" | "&amp;$C7,Insumos!$I$5:$I$163,0)),"")</f>
        <v/>
      </c>
      <c r="H7" s="28" t="n"/>
      <c r="I7" s="42">
        <f>IFERROR($F7*$G7,0)+IFERROR($H7,0)</f>
        <v/>
      </c>
      <c r="J7" s="18" t="n"/>
      <c r="K7" s="35">
        <f>IF($C7="","",IF(COUNTIF(Insumos!$I$5:$I$163,$B7&amp;" | "&amp;$C7)=0,"REVISAR: area+insumo no existe en el maestro","OK"))</f>
        <v/>
      </c>
    </row>
    <row r="8">
      <c r="A8" s="12" t="n"/>
      <c r="B8" s="18" t="n"/>
      <c r="C8" s="16" t="n"/>
      <c r="D8" s="18" t="n"/>
      <c r="E8" s="18" t="n"/>
      <c r="F8" s="28" t="n"/>
      <c r="G8" s="41">
        <f>IFERROR(INDEX(Insumos!$F$5:$F$163,MATCH($B8&amp;" | "&amp;$C8,Insumos!$I$5:$I$163,0)),"")</f>
        <v/>
      </c>
      <c r="H8" s="28" t="n"/>
      <c r="I8" s="42">
        <f>IFERROR($F8*$G8,0)+IFERROR($H8,0)</f>
        <v/>
      </c>
      <c r="J8" s="18" t="n"/>
      <c r="K8" s="35">
        <f>IF($C8="","",IF(COUNTIF(Insumos!$I$5:$I$163,$B8&amp;" | "&amp;$C8)=0,"REVISAR: area+insumo no existe en el maestro","OK"))</f>
        <v/>
      </c>
    </row>
    <row r="9">
      <c r="A9" s="12" t="n"/>
      <c r="B9" s="18" t="n"/>
      <c r="C9" s="16" t="n"/>
      <c r="D9" s="18" t="n"/>
      <c r="E9" s="18" t="n"/>
      <c r="F9" s="28" t="n"/>
      <c r="G9" s="41">
        <f>IFERROR(INDEX(Insumos!$F$5:$F$163,MATCH($B9&amp;" | "&amp;$C9,Insumos!$I$5:$I$163,0)),"")</f>
        <v/>
      </c>
      <c r="H9" s="28" t="n"/>
      <c r="I9" s="42">
        <f>IFERROR($F9*$G9,0)+IFERROR($H9,0)</f>
        <v/>
      </c>
      <c r="J9" s="18" t="n"/>
      <c r="K9" s="35">
        <f>IF($C9="","",IF(COUNTIF(Insumos!$I$5:$I$163,$B9&amp;" | "&amp;$C9)=0,"REVISAR: area+insumo no existe en el maestro","OK"))</f>
        <v/>
      </c>
    </row>
    <row r="10">
      <c r="A10" s="12" t="n"/>
      <c r="B10" s="18" t="n"/>
      <c r="C10" s="16" t="n"/>
      <c r="D10" s="18" t="n"/>
      <c r="E10" s="18" t="n"/>
      <c r="F10" s="28" t="n"/>
      <c r="G10" s="41">
        <f>IFERROR(INDEX(Insumos!$F$5:$F$163,MATCH($B10&amp;" | "&amp;$C10,Insumos!$I$5:$I$163,0)),"")</f>
        <v/>
      </c>
      <c r="H10" s="28" t="n"/>
      <c r="I10" s="42">
        <f>IFERROR($F10*$G10,0)+IFERROR($H10,0)</f>
        <v/>
      </c>
      <c r="J10" s="18" t="n"/>
      <c r="K10" s="35">
        <f>IF($C10="","",IF(COUNTIF(Insumos!$I$5:$I$163,$B10&amp;" | "&amp;$C10)=0,"REVISAR: area+insumo no existe en el maestro","OK"))</f>
        <v/>
      </c>
    </row>
    <row r="11">
      <c r="A11" s="12" t="n"/>
      <c r="B11" s="18" t="n"/>
      <c r="C11" s="16" t="n"/>
      <c r="D11" s="18" t="n"/>
      <c r="E11" s="18" t="n"/>
      <c r="F11" s="28" t="n"/>
      <c r="G11" s="41">
        <f>IFERROR(INDEX(Insumos!$F$5:$F$163,MATCH($B11&amp;" | "&amp;$C11,Insumos!$I$5:$I$163,0)),"")</f>
        <v/>
      </c>
      <c r="H11" s="28" t="n"/>
      <c r="I11" s="42">
        <f>IFERROR($F11*$G11,0)+IFERROR($H11,0)</f>
        <v/>
      </c>
      <c r="J11" s="18" t="n"/>
      <c r="K11" s="35">
        <f>IF($C11="","",IF(COUNTIF(Insumos!$I$5:$I$163,$B11&amp;" | "&amp;$C11)=0,"REVISAR: area+insumo no existe en el maestro","OK"))</f>
        <v/>
      </c>
    </row>
    <row r="12">
      <c r="A12" s="12" t="n"/>
      <c r="B12" s="18" t="n"/>
      <c r="C12" s="16" t="n"/>
      <c r="D12" s="18" t="n"/>
      <c r="E12" s="18" t="n"/>
      <c r="F12" s="28" t="n"/>
      <c r="G12" s="41">
        <f>IFERROR(INDEX(Insumos!$F$5:$F$163,MATCH($B12&amp;" | "&amp;$C12,Insumos!$I$5:$I$163,0)),"")</f>
        <v/>
      </c>
      <c r="H12" s="28" t="n"/>
      <c r="I12" s="42">
        <f>IFERROR($F12*$G12,0)+IFERROR($H12,0)</f>
        <v/>
      </c>
      <c r="J12" s="18" t="n"/>
      <c r="K12" s="35">
        <f>IF($C12="","",IF(COUNTIF(Insumos!$I$5:$I$163,$B12&amp;" | "&amp;$C12)=0,"REVISAR: area+insumo no existe en el maestro","OK"))</f>
        <v/>
      </c>
    </row>
    <row r="13">
      <c r="A13" s="12" t="n"/>
      <c r="B13" s="18" t="n"/>
      <c r="C13" s="16" t="n"/>
      <c r="D13" s="18" t="n"/>
      <c r="E13" s="18" t="n"/>
      <c r="F13" s="28" t="n"/>
      <c r="G13" s="41">
        <f>IFERROR(INDEX(Insumos!$F$5:$F$163,MATCH($B13&amp;" | "&amp;$C13,Insumos!$I$5:$I$163,0)),"")</f>
        <v/>
      </c>
      <c r="H13" s="28" t="n"/>
      <c r="I13" s="42">
        <f>IFERROR($F13*$G13,0)+IFERROR($H13,0)</f>
        <v/>
      </c>
      <c r="J13" s="18" t="n"/>
      <c r="K13" s="35">
        <f>IF($C13="","",IF(COUNTIF(Insumos!$I$5:$I$163,$B13&amp;" | "&amp;$C13)=0,"REVISAR: area+insumo no existe en el maestro","OK"))</f>
        <v/>
      </c>
    </row>
    <row r="14">
      <c r="A14" s="12" t="n"/>
      <c r="B14" s="18" t="n"/>
      <c r="C14" s="16" t="n"/>
      <c r="D14" s="18" t="n"/>
      <c r="E14" s="18" t="n"/>
      <c r="F14" s="28" t="n"/>
      <c r="G14" s="41">
        <f>IFERROR(INDEX(Insumos!$F$5:$F$163,MATCH($B14&amp;" | "&amp;$C14,Insumos!$I$5:$I$163,0)),"")</f>
        <v/>
      </c>
      <c r="H14" s="28" t="n"/>
      <c r="I14" s="42">
        <f>IFERROR($F14*$G14,0)+IFERROR($H14,0)</f>
        <v/>
      </c>
      <c r="J14" s="18" t="n"/>
      <c r="K14" s="35">
        <f>IF($C14="","",IF(COUNTIF(Insumos!$I$5:$I$163,$B14&amp;" | "&amp;$C14)=0,"REVISAR: area+insumo no existe en el maestro","OK"))</f>
        <v/>
      </c>
    </row>
    <row r="15">
      <c r="A15" s="12" t="n"/>
      <c r="B15" s="18" t="n"/>
      <c r="C15" s="16" t="n"/>
      <c r="D15" s="18" t="n"/>
      <c r="E15" s="18" t="n"/>
      <c r="F15" s="28" t="n"/>
      <c r="G15" s="41">
        <f>IFERROR(INDEX(Insumos!$F$5:$F$163,MATCH($B15&amp;" | "&amp;$C15,Insumos!$I$5:$I$163,0)),"")</f>
        <v/>
      </c>
      <c r="H15" s="28" t="n"/>
      <c r="I15" s="42">
        <f>IFERROR($F15*$G15,0)+IFERROR($H15,0)</f>
        <v/>
      </c>
      <c r="J15" s="18" t="n"/>
      <c r="K15" s="35">
        <f>IF($C15="","",IF(COUNTIF(Insumos!$I$5:$I$163,$B15&amp;" | "&amp;$C15)=0,"REVISAR: area+insumo no existe en el maestro","OK"))</f>
        <v/>
      </c>
    </row>
    <row r="16">
      <c r="A16" s="12" t="n"/>
      <c r="B16" s="18" t="n"/>
      <c r="C16" s="16" t="n"/>
      <c r="D16" s="18" t="n"/>
      <c r="E16" s="18" t="n"/>
      <c r="F16" s="28" t="n"/>
      <c r="G16" s="41">
        <f>IFERROR(INDEX(Insumos!$F$5:$F$163,MATCH($B16&amp;" | "&amp;$C16,Insumos!$I$5:$I$163,0)),"")</f>
        <v/>
      </c>
      <c r="H16" s="28" t="n"/>
      <c r="I16" s="42">
        <f>IFERROR($F16*$G16,0)+IFERROR($H16,0)</f>
        <v/>
      </c>
      <c r="J16" s="18" t="n"/>
      <c r="K16" s="35">
        <f>IF($C16="","",IF(COUNTIF(Insumos!$I$5:$I$163,$B16&amp;" | "&amp;$C16)=0,"REVISAR: area+insumo no existe en el maestro","OK"))</f>
        <v/>
      </c>
    </row>
    <row r="17">
      <c r="A17" s="12" t="n"/>
      <c r="B17" s="18" t="n"/>
      <c r="C17" s="16" t="n"/>
      <c r="D17" s="18" t="n"/>
      <c r="E17" s="18" t="n"/>
      <c r="F17" s="28" t="n"/>
      <c r="G17" s="41">
        <f>IFERROR(INDEX(Insumos!$F$5:$F$163,MATCH($B17&amp;" | "&amp;$C17,Insumos!$I$5:$I$163,0)),"")</f>
        <v/>
      </c>
      <c r="H17" s="28" t="n"/>
      <c r="I17" s="42">
        <f>IFERROR($F17*$G17,0)+IFERROR($H17,0)</f>
        <v/>
      </c>
      <c r="J17" s="18" t="n"/>
      <c r="K17" s="35">
        <f>IF($C17="","",IF(COUNTIF(Insumos!$I$5:$I$163,$B17&amp;" | "&amp;$C17)=0,"REVISAR: area+insumo no existe en el maestro","OK"))</f>
        <v/>
      </c>
    </row>
    <row r="18">
      <c r="A18" s="12" t="n"/>
      <c r="B18" s="18" t="n"/>
      <c r="C18" s="16" t="n"/>
      <c r="D18" s="18" t="n"/>
      <c r="E18" s="18" t="n"/>
      <c r="F18" s="28" t="n"/>
      <c r="G18" s="41">
        <f>IFERROR(INDEX(Insumos!$F$5:$F$163,MATCH($B18&amp;" | "&amp;$C18,Insumos!$I$5:$I$163,0)),"")</f>
        <v/>
      </c>
      <c r="H18" s="28" t="n"/>
      <c r="I18" s="42">
        <f>IFERROR($F18*$G18,0)+IFERROR($H18,0)</f>
        <v/>
      </c>
      <c r="J18" s="18" t="n"/>
      <c r="K18" s="35">
        <f>IF($C18="","",IF(COUNTIF(Insumos!$I$5:$I$163,$B18&amp;" | "&amp;$C18)=0,"REVISAR: area+insumo no existe en el maestro","OK"))</f>
        <v/>
      </c>
    </row>
    <row r="19">
      <c r="A19" s="12" t="n"/>
      <c r="B19" s="18" t="n"/>
      <c r="C19" s="16" t="n"/>
      <c r="D19" s="18" t="n"/>
      <c r="E19" s="18" t="n"/>
      <c r="F19" s="28" t="n"/>
      <c r="G19" s="41">
        <f>IFERROR(INDEX(Insumos!$F$5:$F$163,MATCH($B19&amp;" | "&amp;$C19,Insumos!$I$5:$I$163,0)),"")</f>
        <v/>
      </c>
      <c r="H19" s="28" t="n"/>
      <c r="I19" s="42">
        <f>IFERROR($F19*$G19,0)+IFERROR($H19,0)</f>
        <v/>
      </c>
      <c r="J19" s="18" t="n"/>
      <c r="K19" s="35">
        <f>IF($C19="","",IF(COUNTIF(Insumos!$I$5:$I$163,$B19&amp;" | "&amp;$C19)=0,"REVISAR: area+insumo no existe en el maestro","OK"))</f>
        <v/>
      </c>
    </row>
    <row r="20">
      <c r="A20" s="12" t="n"/>
      <c r="B20" s="18" t="n"/>
      <c r="C20" s="16" t="n"/>
      <c r="D20" s="18" t="n"/>
      <c r="E20" s="18" t="n"/>
      <c r="F20" s="28" t="n"/>
      <c r="G20" s="41">
        <f>IFERROR(INDEX(Insumos!$F$5:$F$163,MATCH($B20&amp;" | "&amp;$C20,Insumos!$I$5:$I$163,0)),"")</f>
        <v/>
      </c>
      <c r="H20" s="28" t="n"/>
      <c r="I20" s="42">
        <f>IFERROR($F20*$G20,0)+IFERROR($H20,0)</f>
        <v/>
      </c>
      <c r="J20" s="18" t="n"/>
      <c r="K20" s="35">
        <f>IF($C20="","",IF(COUNTIF(Insumos!$I$5:$I$163,$B20&amp;" | "&amp;$C20)=0,"REVISAR: area+insumo no existe en el maestro","OK"))</f>
        <v/>
      </c>
    </row>
    <row r="21">
      <c r="A21" s="12" t="n"/>
      <c r="B21" s="18" t="n"/>
      <c r="C21" s="16" t="n"/>
      <c r="D21" s="18" t="n"/>
      <c r="E21" s="18" t="n"/>
      <c r="F21" s="28" t="n"/>
      <c r="G21" s="41">
        <f>IFERROR(INDEX(Insumos!$F$5:$F$163,MATCH($B21&amp;" | "&amp;$C21,Insumos!$I$5:$I$163,0)),"")</f>
        <v/>
      </c>
      <c r="H21" s="28" t="n"/>
      <c r="I21" s="42">
        <f>IFERROR($F21*$G21,0)+IFERROR($H21,0)</f>
        <v/>
      </c>
      <c r="J21" s="18" t="n"/>
      <c r="K21" s="35">
        <f>IF($C21="","",IF(COUNTIF(Insumos!$I$5:$I$163,$B21&amp;" | "&amp;$C21)=0,"REVISAR: area+insumo no existe en el maestro","OK"))</f>
        <v/>
      </c>
    </row>
    <row r="22">
      <c r="A22" s="12" t="n"/>
      <c r="B22" s="18" t="n"/>
      <c r="C22" s="16" t="n"/>
      <c r="D22" s="18" t="n"/>
      <c r="E22" s="18" t="n"/>
      <c r="F22" s="28" t="n"/>
      <c r="G22" s="41">
        <f>IFERROR(INDEX(Insumos!$F$5:$F$163,MATCH($B22&amp;" | "&amp;$C22,Insumos!$I$5:$I$163,0)),"")</f>
        <v/>
      </c>
      <c r="H22" s="28" t="n"/>
      <c r="I22" s="42">
        <f>IFERROR($F22*$G22,0)+IFERROR($H22,0)</f>
        <v/>
      </c>
      <c r="J22" s="18" t="n"/>
      <c r="K22" s="35">
        <f>IF($C22="","",IF(COUNTIF(Insumos!$I$5:$I$163,$B22&amp;" | "&amp;$C22)=0,"REVISAR: area+insumo no existe en el maestro","OK"))</f>
        <v/>
      </c>
    </row>
    <row r="23">
      <c r="A23" s="12" t="n"/>
      <c r="B23" s="18" t="n"/>
      <c r="C23" s="16" t="n"/>
      <c r="D23" s="18" t="n"/>
      <c r="E23" s="18" t="n"/>
      <c r="F23" s="28" t="n"/>
      <c r="G23" s="41">
        <f>IFERROR(INDEX(Insumos!$F$5:$F$163,MATCH($B23&amp;" | "&amp;$C23,Insumos!$I$5:$I$163,0)),"")</f>
        <v/>
      </c>
      <c r="H23" s="28" t="n"/>
      <c r="I23" s="42">
        <f>IFERROR($F23*$G23,0)+IFERROR($H23,0)</f>
        <v/>
      </c>
      <c r="J23" s="18" t="n"/>
      <c r="K23" s="35">
        <f>IF($C23="","",IF(COUNTIF(Insumos!$I$5:$I$163,$B23&amp;" | "&amp;$C23)=0,"REVISAR: area+insumo no existe en el maestro","OK"))</f>
        <v/>
      </c>
    </row>
    <row r="24">
      <c r="A24" s="12" t="n"/>
      <c r="B24" s="18" t="n"/>
      <c r="C24" s="16" t="n"/>
      <c r="D24" s="18" t="n"/>
      <c r="E24" s="18" t="n"/>
      <c r="F24" s="28" t="n"/>
      <c r="G24" s="41">
        <f>IFERROR(INDEX(Insumos!$F$5:$F$163,MATCH($B24&amp;" | "&amp;$C24,Insumos!$I$5:$I$163,0)),"")</f>
        <v/>
      </c>
      <c r="H24" s="28" t="n"/>
      <c r="I24" s="42">
        <f>IFERROR($F24*$G24,0)+IFERROR($H24,0)</f>
        <v/>
      </c>
      <c r="J24" s="18" t="n"/>
      <c r="K24" s="35">
        <f>IF($C24="","",IF(COUNTIF(Insumos!$I$5:$I$163,$B24&amp;" | "&amp;$C24)=0,"REVISAR: area+insumo no existe en el maestro","OK"))</f>
        <v/>
      </c>
    </row>
    <row r="25">
      <c r="A25" s="12" t="n"/>
      <c r="B25" s="18" t="n"/>
      <c r="C25" s="16" t="n"/>
      <c r="D25" s="18" t="n"/>
      <c r="E25" s="18" t="n"/>
      <c r="F25" s="28" t="n"/>
      <c r="G25" s="41">
        <f>IFERROR(INDEX(Insumos!$F$5:$F$163,MATCH($B25&amp;" | "&amp;$C25,Insumos!$I$5:$I$163,0)),"")</f>
        <v/>
      </c>
      <c r="H25" s="28" t="n"/>
      <c r="I25" s="42">
        <f>IFERROR($F25*$G25,0)+IFERROR($H25,0)</f>
        <v/>
      </c>
      <c r="J25" s="18" t="n"/>
      <c r="K25" s="35">
        <f>IF($C25="","",IF(COUNTIF(Insumos!$I$5:$I$163,$B25&amp;" | "&amp;$C25)=0,"REVISAR: area+insumo no existe en el maestro","OK"))</f>
        <v/>
      </c>
    </row>
    <row r="26">
      <c r="A26" s="12" t="n"/>
      <c r="B26" s="18" t="n"/>
      <c r="C26" s="16" t="n"/>
      <c r="D26" s="18" t="n"/>
      <c r="E26" s="18" t="n"/>
      <c r="F26" s="28" t="n"/>
      <c r="G26" s="41">
        <f>IFERROR(INDEX(Insumos!$F$5:$F$163,MATCH($B26&amp;" | "&amp;$C26,Insumos!$I$5:$I$163,0)),"")</f>
        <v/>
      </c>
      <c r="H26" s="28" t="n"/>
      <c r="I26" s="42">
        <f>IFERROR($F26*$G26,0)+IFERROR($H26,0)</f>
        <v/>
      </c>
      <c r="J26" s="18" t="n"/>
      <c r="K26" s="35">
        <f>IF($C26="","",IF(COUNTIF(Insumos!$I$5:$I$163,$B26&amp;" | "&amp;$C26)=0,"REVISAR: area+insumo no existe en el maestro","OK"))</f>
        <v/>
      </c>
    </row>
    <row r="27">
      <c r="A27" s="12" t="n"/>
      <c r="B27" s="18" t="n"/>
      <c r="C27" s="16" t="n"/>
      <c r="D27" s="18" t="n"/>
      <c r="E27" s="18" t="n"/>
      <c r="F27" s="28" t="n"/>
      <c r="G27" s="41">
        <f>IFERROR(INDEX(Insumos!$F$5:$F$163,MATCH($B27&amp;" | "&amp;$C27,Insumos!$I$5:$I$163,0)),"")</f>
        <v/>
      </c>
      <c r="H27" s="28" t="n"/>
      <c r="I27" s="42">
        <f>IFERROR($F27*$G27,0)+IFERROR($H27,0)</f>
        <v/>
      </c>
      <c r="J27" s="18" t="n"/>
      <c r="K27" s="35">
        <f>IF($C27="","",IF(COUNTIF(Insumos!$I$5:$I$163,$B27&amp;" | "&amp;$C27)=0,"REVISAR: area+insumo no existe en el maestro","OK"))</f>
        <v/>
      </c>
    </row>
    <row r="28">
      <c r="A28" s="12" t="n"/>
      <c r="B28" s="18" t="n"/>
      <c r="C28" s="16" t="n"/>
      <c r="D28" s="18" t="n"/>
      <c r="E28" s="18" t="n"/>
      <c r="F28" s="28" t="n"/>
      <c r="G28" s="41">
        <f>IFERROR(INDEX(Insumos!$F$5:$F$163,MATCH($B28&amp;" | "&amp;$C28,Insumos!$I$5:$I$163,0)),"")</f>
        <v/>
      </c>
      <c r="H28" s="28" t="n"/>
      <c r="I28" s="42">
        <f>IFERROR($F28*$G28,0)+IFERROR($H28,0)</f>
        <v/>
      </c>
      <c r="J28" s="18" t="n"/>
      <c r="K28" s="35">
        <f>IF($C28="","",IF(COUNTIF(Insumos!$I$5:$I$163,$B28&amp;" | "&amp;$C28)=0,"REVISAR: area+insumo no existe en el maestro","OK"))</f>
        <v/>
      </c>
    </row>
    <row r="29">
      <c r="A29" s="12" t="n"/>
      <c r="B29" s="18" t="n"/>
      <c r="C29" s="16" t="n"/>
      <c r="D29" s="18" t="n"/>
      <c r="E29" s="18" t="n"/>
      <c r="F29" s="28" t="n"/>
      <c r="G29" s="41">
        <f>IFERROR(INDEX(Insumos!$F$5:$F$163,MATCH($B29&amp;" | "&amp;$C29,Insumos!$I$5:$I$163,0)),"")</f>
        <v/>
      </c>
      <c r="H29" s="28" t="n"/>
      <c r="I29" s="42">
        <f>IFERROR($F29*$G29,0)+IFERROR($H29,0)</f>
        <v/>
      </c>
      <c r="J29" s="18" t="n"/>
      <c r="K29" s="35">
        <f>IF($C29="","",IF(COUNTIF(Insumos!$I$5:$I$163,$B29&amp;" | "&amp;$C29)=0,"REVISAR: area+insumo no existe en el maestro","OK"))</f>
        <v/>
      </c>
    </row>
    <row r="30">
      <c r="A30" s="12" t="n"/>
      <c r="B30" s="18" t="n"/>
      <c r="C30" s="16" t="n"/>
      <c r="D30" s="18" t="n"/>
      <c r="E30" s="18" t="n"/>
      <c r="F30" s="28" t="n"/>
      <c r="G30" s="41">
        <f>IFERROR(INDEX(Insumos!$F$5:$F$163,MATCH($B30&amp;" | "&amp;$C30,Insumos!$I$5:$I$163,0)),"")</f>
        <v/>
      </c>
      <c r="H30" s="28" t="n"/>
      <c r="I30" s="42">
        <f>IFERROR($F30*$G30,0)+IFERROR($H30,0)</f>
        <v/>
      </c>
      <c r="J30" s="18" t="n"/>
      <c r="K30" s="35">
        <f>IF($C30="","",IF(COUNTIF(Insumos!$I$5:$I$163,$B30&amp;" | "&amp;$C30)=0,"REVISAR: area+insumo no existe en el maestro","OK"))</f>
        <v/>
      </c>
    </row>
    <row r="31">
      <c r="A31" s="12" t="n"/>
      <c r="B31" s="18" t="n"/>
      <c r="C31" s="16" t="n"/>
      <c r="D31" s="18" t="n"/>
      <c r="E31" s="18" t="n"/>
      <c r="F31" s="28" t="n"/>
      <c r="G31" s="41">
        <f>IFERROR(INDEX(Insumos!$F$5:$F$163,MATCH($B31&amp;" | "&amp;$C31,Insumos!$I$5:$I$163,0)),"")</f>
        <v/>
      </c>
      <c r="H31" s="28" t="n"/>
      <c r="I31" s="42">
        <f>IFERROR($F31*$G31,0)+IFERROR($H31,0)</f>
        <v/>
      </c>
      <c r="J31" s="18" t="n"/>
      <c r="K31" s="35">
        <f>IF($C31="","",IF(COUNTIF(Insumos!$I$5:$I$163,$B31&amp;" | "&amp;$C31)=0,"REVISAR: area+insumo no existe en el maestro","OK"))</f>
        <v/>
      </c>
    </row>
    <row r="32">
      <c r="A32" s="12" t="n"/>
      <c r="B32" s="18" t="n"/>
      <c r="C32" s="16" t="n"/>
      <c r="D32" s="18" t="n"/>
      <c r="E32" s="18" t="n"/>
      <c r="F32" s="28" t="n"/>
      <c r="G32" s="41">
        <f>IFERROR(INDEX(Insumos!$F$5:$F$163,MATCH($B32&amp;" | "&amp;$C32,Insumos!$I$5:$I$163,0)),"")</f>
        <v/>
      </c>
      <c r="H32" s="28" t="n"/>
      <c r="I32" s="42">
        <f>IFERROR($F32*$G32,0)+IFERROR($H32,0)</f>
        <v/>
      </c>
      <c r="J32" s="18" t="n"/>
      <c r="K32" s="35">
        <f>IF($C32="","",IF(COUNTIF(Insumos!$I$5:$I$163,$B32&amp;" | "&amp;$C32)=0,"REVISAR: area+insumo no existe en el maestro","OK"))</f>
        <v/>
      </c>
    </row>
    <row r="33">
      <c r="A33" s="12" t="n"/>
      <c r="B33" s="18" t="n"/>
      <c r="C33" s="16" t="n"/>
      <c r="D33" s="18" t="n"/>
      <c r="E33" s="18" t="n"/>
      <c r="F33" s="28" t="n"/>
      <c r="G33" s="41">
        <f>IFERROR(INDEX(Insumos!$F$5:$F$163,MATCH($B33&amp;" | "&amp;$C33,Insumos!$I$5:$I$163,0)),"")</f>
        <v/>
      </c>
      <c r="H33" s="28" t="n"/>
      <c r="I33" s="42">
        <f>IFERROR($F33*$G33,0)+IFERROR($H33,0)</f>
        <v/>
      </c>
      <c r="J33" s="18" t="n"/>
      <c r="K33" s="35">
        <f>IF($C33="","",IF(COUNTIF(Insumos!$I$5:$I$163,$B33&amp;" | "&amp;$C33)=0,"REVISAR: area+insumo no existe en el maestro","OK"))</f>
        <v/>
      </c>
    </row>
    <row r="34">
      <c r="A34" s="12" t="n"/>
      <c r="B34" s="18" t="n"/>
      <c r="C34" s="16" t="n"/>
      <c r="D34" s="18" t="n"/>
      <c r="E34" s="18" t="n"/>
      <c r="F34" s="28" t="n"/>
      <c r="G34" s="41">
        <f>IFERROR(INDEX(Insumos!$F$5:$F$163,MATCH($B34&amp;" | "&amp;$C34,Insumos!$I$5:$I$163,0)),"")</f>
        <v/>
      </c>
      <c r="H34" s="28" t="n"/>
      <c r="I34" s="42">
        <f>IFERROR($F34*$G34,0)+IFERROR($H34,0)</f>
        <v/>
      </c>
      <c r="J34" s="18" t="n"/>
      <c r="K34" s="35">
        <f>IF($C34="","",IF(COUNTIF(Insumos!$I$5:$I$163,$B34&amp;" | "&amp;$C34)=0,"REVISAR: area+insumo no existe en el maestro","OK"))</f>
        <v/>
      </c>
    </row>
    <row r="35">
      <c r="A35" s="12" t="n"/>
      <c r="B35" s="18" t="n"/>
      <c r="C35" s="16" t="n"/>
      <c r="D35" s="18" t="n"/>
      <c r="E35" s="18" t="n"/>
      <c r="F35" s="28" t="n"/>
      <c r="G35" s="41">
        <f>IFERROR(INDEX(Insumos!$F$5:$F$163,MATCH($B35&amp;" | "&amp;$C35,Insumos!$I$5:$I$163,0)),"")</f>
        <v/>
      </c>
      <c r="H35" s="28" t="n"/>
      <c r="I35" s="42">
        <f>IFERROR($F35*$G35,0)+IFERROR($H35,0)</f>
        <v/>
      </c>
      <c r="J35" s="18" t="n"/>
      <c r="K35" s="35">
        <f>IF($C35="","",IF(COUNTIF(Insumos!$I$5:$I$163,$B35&amp;" | "&amp;$C35)=0,"REVISAR: area+insumo no existe en el maestro","OK"))</f>
        <v/>
      </c>
    </row>
    <row r="36">
      <c r="A36" s="12" t="n"/>
      <c r="B36" s="18" t="n"/>
      <c r="C36" s="16" t="n"/>
      <c r="D36" s="18" t="n"/>
      <c r="E36" s="18" t="n"/>
      <c r="F36" s="28" t="n"/>
      <c r="G36" s="41">
        <f>IFERROR(INDEX(Insumos!$F$5:$F$163,MATCH($B36&amp;" | "&amp;$C36,Insumos!$I$5:$I$163,0)),"")</f>
        <v/>
      </c>
      <c r="H36" s="28" t="n"/>
      <c r="I36" s="42">
        <f>IFERROR($F36*$G36,0)+IFERROR($H36,0)</f>
        <v/>
      </c>
      <c r="J36" s="18" t="n"/>
      <c r="K36" s="35">
        <f>IF($C36="","",IF(COUNTIF(Insumos!$I$5:$I$163,$B36&amp;" | "&amp;$C36)=0,"REVISAR: area+insumo no existe en el maestro","OK"))</f>
        <v/>
      </c>
    </row>
    <row r="37">
      <c r="A37" s="12" t="n"/>
      <c r="B37" s="18" t="n"/>
      <c r="C37" s="16" t="n"/>
      <c r="D37" s="18" t="n"/>
      <c r="E37" s="18" t="n"/>
      <c r="F37" s="28" t="n"/>
      <c r="G37" s="41">
        <f>IFERROR(INDEX(Insumos!$F$5:$F$163,MATCH($B37&amp;" | "&amp;$C37,Insumos!$I$5:$I$163,0)),"")</f>
        <v/>
      </c>
      <c r="H37" s="28" t="n"/>
      <c r="I37" s="42">
        <f>IFERROR($F37*$G37,0)+IFERROR($H37,0)</f>
        <v/>
      </c>
      <c r="J37" s="18" t="n"/>
      <c r="K37" s="35">
        <f>IF($C37="","",IF(COUNTIF(Insumos!$I$5:$I$163,$B37&amp;" | "&amp;$C37)=0,"REVISAR: area+insumo no existe en el maestro","OK"))</f>
        <v/>
      </c>
    </row>
    <row r="38">
      <c r="A38" s="12" t="n"/>
      <c r="B38" s="18" t="n"/>
      <c r="C38" s="16" t="n"/>
      <c r="D38" s="18" t="n"/>
      <c r="E38" s="18" t="n"/>
      <c r="F38" s="28" t="n"/>
      <c r="G38" s="41">
        <f>IFERROR(INDEX(Insumos!$F$5:$F$163,MATCH($B38&amp;" | "&amp;$C38,Insumos!$I$5:$I$163,0)),"")</f>
        <v/>
      </c>
      <c r="H38" s="28" t="n"/>
      <c r="I38" s="42">
        <f>IFERROR($F38*$G38,0)+IFERROR($H38,0)</f>
        <v/>
      </c>
      <c r="J38" s="18" t="n"/>
      <c r="K38" s="35">
        <f>IF($C38="","",IF(COUNTIF(Insumos!$I$5:$I$163,$B38&amp;" | "&amp;$C38)=0,"REVISAR: area+insumo no existe en el maestro","OK"))</f>
        <v/>
      </c>
    </row>
    <row r="39">
      <c r="A39" s="12" t="n"/>
      <c r="B39" s="18" t="n"/>
      <c r="C39" s="16" t="n"/>
      <c r="D39" s="18" t="n"/>
      <c r="E39" s="18" t="n"/>
      <c r="F39" s="28" t="n"/>
      <c r="G39" s="41">
        <f>IFERROR(INDEX(Insumos!$F$5:$F$163,MATCH($B39&amp;" | "&amp;$C39,Insumos!$I$5:$I$163,0)),"")</f>
        <v/>
      </c>
      <c r="H39" s="28" t="n"/>
      <c r="I39" s="42">
        <f>IFERROR($F39*$G39,0)+IFERROR($H39,0)</f>
        <v/>
      </c>
      <c r="J39" s="18" t="n"/>
      <c r="K39" s="35">
        <f>IF($C39="","",IF(COUNTIF(Insumos!$I$5:$I$163,$B39&amp;" | "&amp;$C39)=0,"REVISAR: area+insumo no existe en el maestro","OK"))</f>
        <v/>
      </c>
    </row>
    <row r="40">
      <c r="A40" s="12" t="n"/>
      <c r="B40" s="18" t="n"/>
      <c r="C40" s="16" t="n"/>
      <c r="D40" s="18" t="n"/>
      <c r="E40" s="18" t="n"/>
      <c r="F40" s="28" t="n"/>
      <c r="G40" s="41">
        <f>IFERROR(INDEX(Insumos!$F$5:$F$163,MATCH($B40&amp;" | "&amp;$C40,Insumos!$I$5:$I$163,0)),"")</f>
        <v/>
      </c>
      <c r="H40" s="28" t="n"/>
      <c r="I40" s="42">
        <f>IFERROR($F40*$G40,0)+IFERROR($H40,0)</f>
        <v/>
      </c>
      <c r="J40" s="18" t="n"/>
      <c r="K40" s="35">
        <f>IF($C40="","",IF(COUNTIF(Insumos!$I$5:$I$163,$B40&amp;" | "&amp;$C40)=0,"REVISAR: area+insumo no existe en el maestro","OK"))</f>
        <v/>
      </c>
    </row>
    <row r="41">
      <c r="A41" s="12" t="n"/>
      <c r="B41" s="18" t="n"/>
      <c r="C41" s="16" t="n"/>
      <c r="D41" s="18" t="n"/>
      <c r="E41" s="18" t="n"/>
      <c r="F41" s="28" t="n"/>
      <c r="G41" s="41">
        <f>IFERROR(INDEX(Insumos!$F$5:$F$163,MATCH($B41&amp;" | "&amp;$C41,Insumos!$I$5:$I$163,0)),"")</f>
        <v/>
      </c>
      <c r="H41" s="28" t="n"/>
      <c r="I41" s="42">
        <f>IFERROR($F41*$G41,0)+IFERROR($H41,0)</f>
        <v/>
      </c>
      <c r="J41" s="18" t="n"/>
      <c r="K41" s="35">
        <f>IF($C41="","",IF(COUNTIF(Insumos!$I$5:$I$163,$B41&amp;" | "&amp;$C41)=0,"REVISAR: area+insumo no existe en el maestro","OK"))</f>
        <v/>
      </c>
    </row>
    <row r="42">
      <c r="A42" s="12" t="n"/>
      <c r="B42" s="18" t="n"/>
      <c r="C42" s="16" t="n"/>
      <c r="D42" s="18" t="n"/>
      <c r="E42" s="18" t="n"/>
      <c r="F42" s="28" t="n"/>
      <c r="G42" s="41">
        <f>IFERROR(INDEX(Insumos!$F$5:$F$163,MATCH($B42&amp;" | "&amp;$C42,Insumos!$I$5:$I$163,0)),"")</f>
        <v/>
      </c>
      <c r="H42" s="28" t="n"/>
      <c r="I42" s="42">
        <f>IFERROR($F42*$G42,0)+IFERROR($H42,0)</f>
        <v/>
      </c>
      <c r="J42" s="18" t="n"/>
      <c r="K42" s="35">
        <f>IF($C42="","",IF(COUNTIF(Insumos!$I$5:$I$163,$B42&amp;" | "&amp;$C42)=0,"REVISAR: area+insumo no existe en el maestro","OK"))</f>
        <v/>
      </c>
    </row>
    <row r="43">
      <c r="A43" s="12" t="n"/>
      <c r="B43" s="18" t="n"/>
      <c r="C43" s="16" t="n"/>
      <c r="D43" s="18" t="n"/>
      <c r="E43" s="18" t="n"/>
      <c r="F43" s="28" t="n"/>
      <c r="G43" s="41">
        <f>IFERROR(INDEX(Insumos!$F$5:$F$163,MATCH($B43&amp;" | "&amp;$C43,Insumos!$I$5:$I$163,0)),"")</f>
        <v/>
      </c>
      <c r="H43" s="28" t="n"/>
      <c r="I43" s="42">
        <f>IFERROR($F43*$G43,0)+IFERROR($H43,0)</f>
        <v/>
      </c>
      <c r="J43" s="18" t="n"/>
      <c r="K43" s="35">
        <f>IF($C43="","",IF(COUNTIF(Insumos!$I$5:$I$163,$B43&amp;" | "&amp;$C43)=0,"REVISAR: area+insumo no existe en el maestro","OK"))</f>
        <v/>
      </c>
    </row>
    <row r="44">
      <c r="A44" s="12" t="n"/>
      <c r="B44" s="18" t="n"/>
      <c r="C44" s="16" t="n"/>
      <c r="D44" s="18" t="n"/>
      <c r="E44" s="18" t="n"/>
      <c r="F44" s="28" t="n"/>
      <c r="G44" s="41">
        <f>IFERROR(INDEX(Insumos!$F$5:$F$163,MATCH($B44&amp;" | "&amp;$C44,Insumos!$I$5:$I$163,0)),"")</f>
        <v/>
      </c>
      <c r="H44" s="28" t="n"/>
      <c r="I44" s="42">
        <f>IFERROR($F44*$G44,0)+IFERROR($H44,0)</f>
        <v/>
      </c>
      <c r="J44" s="18" t="n"/>
      <c r="K44" s="35">
        <f>IF($C44="","",IF(COUNTIF(Insumos!$I$5:$I$163,$B44&amp;" | "&amp;$C44)=0,"REVISAR: area+insumo no existe en el maestro","OK"))</f>
        <v/>
      </c>
    </row>
    <row r="45">
      <c r="A45" s="12" t="n"/>
      <c r="B45" s="18" t="n"/>
      <c r="C45" s="16" t="n"/>
      <c r="D45" s="18" t="n"/>
      <c r="E45" s="18" t="n"/>
      <c r="F45" s="28" t="n"/>
      <c r="G45" s="41">
        <f>IFERROR(INDEX(Insumos!$F$5:$F$163,MATCH($B45&amp;" | "&amp;$C45,Insumos!$I$5:$I$163,0)),"")</f>
        <v/>
      </c>
      <c r="H45" s="28" t="n"/>
      <c r="I45" s="42">
        <f>IFERROR($F45*$G45,0)+IFERROR($H45,0)</f>
        <v/>
      </c>
      <c r="J45" s="18" t="n"/>
      <c r="K45" s="35">
        <f>IF($C45="","",IF(COUNTIF(Insumos!$I$5:$I$163,$B45&amp;" | "&amp;$C45)=0,"REVISAR: area+insumo no existe en el maestro","OK"))</f>
        <v/>
      </c>
    </row>
    <row r="46">
      <c r="A46" s="12" t="n"/>
      <c r="B46" s="18" t="n"/>
      <c r="C46" s="16" t="n"/>
      <c r="D46" s="18" t="n"/>
      <c r="E46" s="18" t="n"/>
      <c r="F46" s="28" t="n"/>
      <c r="G46" s="41">
        <f>IFERROR(INDEX(Insumos!$F$5:$F$163,MATCH($B46&amp;" | "&amp;$C46,Insumos!$I$5:$I$163,0)),"")</f>
        <v/>
      </c>
      <c r="H46" s="28" t="n"/>
      <c r="I46" s="42">
        <f>IFERROR($F46*$G46,0)+IFERROR($H46,0)</f>
        <v/>
      </c>
      <c r="J46" s="18" t="n"/>
      <c r="K46" s="35">
        <f>IF($C46="","",IF(COUNTIF(Insumos!$I$5:$I$163,$B46&amp;" | "&amp;$C46)=0,"REVISAR: area+insumo no existe en el maestro","OK"))</f>
        <v/>
      </c>
    </row>
    <row r="47">
      <c r="A47" s="12" t="n"/>
      <c r="B47" s="18" t="n"/>
      <c r="C47" s="16" t="n"/>
      <c r="D47" s="18" t="n"/>
      <c r="E47" s="18" t="n"/>
      <c r="F47" s="28" t="n"/>
      <c r="G47" s="41">
        <f>IFERROR(INDEX(Insumos!$F$5:$F$163,MATCH($B47&amp;" | "&amp;$C47,Insumos!$I$5:$I$163,0)),"")</f>
        <v/>
      </c>
      <c r="H47" s="28" t="n"/>
      <c r="I47" s="42">
        <f>IFERROR($F47*$G47,0)+IFERROR($H47,0)</f>
        <v/>
      </c>
      <c r="J47" s="18" t="n"/>
      <c r="K47" s="35">
        <f>IF($C47="","",IF(COUNTIF(Insumos!$I$5:$I$163,$B47&amp;" | "&amp;$C47)=0,"REVISAR: area+insumo no existe en el maestro","OK"))</f>
        <v/>
      </c>
    </row>
    <row r="48">
      <c r="A48" s="12" t="n"/>
      <c r="B48" s="18" t="n"/>
      <c r="C48" s="16" t="n"/>
      <c r="D48" s="18" t="n"/>
      <c r="E48" s="18" t="n"/>
      <c r="F48" s="28" t="n"/>
      <c r="G48" s="41">
        <f>IFERROR(INDEX(Insumos!$F$5:$F$163,MATCH($B48&amp;" | "&amp;$C48,Insumos!$I$5:$I$163,0)),"")</f>
        <v/>
      </c>
      <c r="H48" s="28" t="n"/>
      <c r="I48" s="42">
        <f>IFERROR($F48*$G48,0)+IFERROR($H48,0)</f>
        <v/>
      </c>
      <c r="J48" s="18" t="n"/>
      <c r="K48" s="35">
        <f>IF($C48="","",IF(COUNTIF(Insumos!$I$5:$I$163,$B48&amp;" | "&amp;$C48)=0,"REVISAR: area+insumo no existe en el maestro","OK"))</f>
        <v/>
      </c>
    </row>
    <row r="49">
      <c r="A49" s="12" t="n"/>
      <c r="B49" s="18" t="n"/>
      <c r="C49" s="16" t="n"/>
      <c r="D49" s="18" t="n"/>
      <c r="E49" s="18" t="n"/>
      <c r="F49" s="28" t="n"/>
      <c r="G49" s="41">
        <f>IFERROR(INDEX(Insumos!$F$5:$F$163,MATCH($B49&amp;" | "&amp;$C49,Insumos!$I$5:$I$163,0)),"")</f>
        <v/>
      </c>
      <c r="H49" s="28" t="n"/>
      <c r="I49" s="42">
        <f>IFERROR($F49*$G49,0)+IFERROR($H49,0)</f>
        <v/>
      </c>
      <c r="J49" s="18" t="n"/>
      <c r="K49" s="35">
        <f>IF($C49="","",IF(COUNTIF(Insumos!$I$5:$I$163,$B49&amp;" | "&amp;$C49)=0,"REVISAR: area+insumo no existe en el maestro","OK"))</f>
        <v/>
      </c>
    </row>
    <row r="50">
      <c r="A50" s="12" t="n"/>
      <c r="B50" s="18" t="n"/>
      <c r="C50" s="16" t="n"/>
      <c r="D50" s="18" t="n"/>
      <c r="E50" s="18" t="n"/>
      <c r="F50" s="28" t="n"/>
      <c r="G50" s="41">
        <f>IFERROR(INDEX(Insumos!$F$5:$F$163,MATCH($B50&amp;" | "&amp;$C50,Insumos!$I$5:$I$163,0)),"")</f>
        <v/>
      </c>
      <c r="H50" s="28" t="n"/>
      <c r="I50" s="42">
        <f>IFERROR($F50*$G50,0)+IFERROR($H50,0)</f>
        <v/>
      </c>
      <c r="J50" s="18" t="n"/>
      <c r="K50" s="35">
        <f>IF($C50="","",IF(COUNTIF(Insumos!$I$5:$I$163,$B50&amp;" | "&amp;$C50)=0,"REVISAR: area+insumo no existe en el maestro","OK"))</f>
        <v/>
      </c>
    </row>
    <row r="51">
      <c r="A51" s="12" t="n"/>
      <c r="B51" s="18" t="n"/>
      <c r="C51" s="16" t="n"/>
      <c r="D51" s="18" t="n"/>
      <c r="E51" s="18" t="n"/>
      <c r="F51" s="28" t="n"/>
      <c r="G51" s="41">
        <f>IFERROR(INDEX(Insumos!$F$5:$F$163,MATCH($B51&amp;" | "&amp;$C51,Insumos!$I$5:$I$163,0)),"")</f>
        <v/>
      </c>
      <c r="H51" s="28" t="n"/>
      <c r="I51" s="42">
        <f>IFERROR($F51*$G51,0)+IFERROR($H51,0)</f>
        <v/>
      </c>
      <c r="J51" s="18" t="n"/>
      <c r="K51" s="35">
        <f>IF($C51="","",IF(COUNTIF(Insumos!$I$5:$I$163,$B51&amp;" | "&amp;$C51)=0,"REVISAR: area+insumo no existe en el maestro","OK"))</f>
        <v/>
      </c>
    </row>
    <row r="52">
      <c r="A52" s="12" t="n"/>
      <c r="B52" s="18" t="n"/>
      <c r="C52" s="16" t="n"/>
      <c r="D52" s="18" t="n"/>
      <c r="E52" s="18" t="n"/>
      <c r="F52" s="28" t="n"/>
      <c r="G52" s="41">
        <f>IFERROR(INDEX(Insumos!$F$5:$F$163,MATCH($B52&amp;" | "&amp;$C52,Insumos!$I$5:$I$163,0)),"")</f>
        <v/>
      </c>
      <c r="H52" s="28" t="n"/>
      <c r="I52" s="42">
        <f>IFERROR($F52*$G52,0)+IFERROR($H52,0)</f>
        <v/>
      </c>
      <c r="J52" s="18" t="n"/>
      <c r="K52" s="35">
        <f>IF($C52="","",IF(COUNTIF(Insumos!$I$5:$I$163,$B52&amp;" | "&amp;$C52)=0,"REVISAR: area+insumo no existe en el maestro","OK"))</f>
        <v/>
      </c>
    </row>
    <row r="53">
      <c r="A53" s="12" t="n"/>
      <c r="B53" s="18" t="n"/>
      <c r="C53" s="16" t="n"/>
      <c r="D53" s="18" t="n"/>
      <c r="E53" s="18" t="n"/>
      <c r="F53" s="28" t="n"/>
      <c r="G53" s="41">
        <f>IFERROR(INDEX(Insumos!$F$5:$F$163,MATCH($B53&amp;" | "&amp;$C53,Insumos!$I$5:$I$163,0)),"")</f>
        <v/>
      </c>
      <c r="H53" s="28" t="n"/>
      <c r="I53" s="42">
        <f>IFERROR($F53*$G53,0)+IFERROR($H53,0)</f>
        <v/>
      </c>
      <c r="J53" s="18" t="n"/>
      <c r="K53" s="35">
        <f>IF($C53="","",IF(COUNTIF(Insumos!$I$5:$I$163,$B53&amp;" | "&amp;$C53)=0,"REVISAR: area+insumo no existe en el maestro","OK"))</f>
        <v/>
      </c>
    </row>
    <row r="54">
      <c r="A54" s="12" t="n"/>
      <c r="B54" s="18" t="n"/>
      <c r="C54" s="16" t="n"/>
      <c r="D54" s="18" t="n"/>
      <c r="E54" s="18" t="n"/>
      <c r="F54" s="28" t="n"/>
      <c r="G54" s="41">
        <f>IFERROR(INDEX(Insumos!$F$5:$F$163,MATCH($B54&amp;" | "&amp;$C54,Insumos!$I$5:$I$163,0)),"")</f>
        <v/>
      </c>
      <c r="H54" s="28" t="n"/>
      <c r="I54" s="42">
        <f>IFERROR($F54*$G54,0)+IFERROR($H54,0)</f>
        <v/>
      </c>
      <c r="J54" s="18" t="n"/>
      <c r="K54" s="35">
        <f>IF($C54="","",IF(COUNTIF(Insumos!$I$5:$I$163,$B54&amp;" | "&amp;$C54)=0,"REVISAR: area+insumo no existe en el maestro","OK"))</f>
        <v/>
      </c>
    </row>
    <row r="55">
      <c r="A55" s="12" t="n"/>
      <c r="B55" s="18" t="n"/>
      <c r="C55" s="16" t="n"/>
      <c r="D55" s="18" t="n"/>
      <c r="E55" s="18" t="n"/>
      <c r="F55" s="28" t="n"/>
      <c r="G55" s="41">
        <f>IFERROR(INDEX(Insumos!$F$5:$F$163,MATCH($B55&amp;" | "&amp;$C55,Insumos!$I$5:$I$163,0)),"")</f>
        <v/>
      </c>
      <c r="H55" s="28" t="n"/>
      <c r="I55" s="42">
        <f>IFERROR($F55*$G55,0)+IFERROR($H55,0)</f>
        <v/>
      </c>
      <c r="J55" s="18" t="n"/>
      <c r="K55" s="35">
        <f>IF($C55="","",IF(COUNTIF(Insumos!$I$5:$I$163,$B55&amp;" | "&amp;$C55)=0,"REVISAR: area+insumo no existe en el maestro","OK"))</f>
        <v/>
      </c>
    </row>
    <row r="56">
      <c r="A56" s="12" t="n"/>
      <c r="B56" s="18" t="n"/>
      <c r="C56" s="16" t="n"/>
      <c r="D56" s="18" t="n"/>
      <c r="E56" s="18" t="n"/>
      <c r="F56" s="28" t="n"/>
      <c r="G56" s="41">
        <f>IFERROR(INDEX(Insumos!$F$5:$F$163,MATCH($B56&amp;" | "&amp;$C56,Insumos!$I$5:$I$163,0)),"")</f>
        <v/>
      </c>
      <c r="H56" s="28" t="n"/>
      <c r="I56" s="42">
        <f>IFERROR($F56*$G56,0)+IFERROR($H56,0)</f>
        <v/>
      </c>
      <c r="J56" s="18" t="n"/>
      <c r="K56" s="35">
        <f>IF($C56="","",IF(COUNTIF(Insumos!$I$5:$I$163,$B56&amp;" | "&amp;$C56)=0,"REVISAR: area+insumo no existe en el maestro","OK"))</f>
        <v/>
      </c>
    </row>
    <row r="57">
      <c r="A57" s="12" t="n"/>
      <c r="B57" s="18" t="n"/>
      <c r="C57" s="16" t="n"/>
      <c r="D57" s="18" t="n"/>
      <c r="E57" s="18" t="n"/>
      <c r="F57" s="28" t="n"/>
      <c r="G57" s="41">
        <f>IFERROR(INDEX(Insumos!$F$5:$F$163,MATCH($B57&amp;" | "&amp;$C57,Insumos!$I$5:$I$163,0)),"")</f>
        <v/>
      </c>
      <c r="H57" s="28" t="n"/>
      <c r="I57" s="42">
        <f>IFERROR($F57*$G57,0)+IFERROR($H57,0)</f>
        <v/>
      </c>
      <c r="J57" s="18" t="n"/>
      <c r="K57" s="35">
        <f>IF($C57="","",IF(COUNTIF(Insumos!$I$5:$I$163,$B57&amp;" | "&amp;$C57)=0,"REVISAR: area+insumo no existe en el maestro","OK"))</f>
        <v/>
      </c>
    </row>
    <row r="58">
      <c r="A58" s="12" t="n"/>
      <c r="B58" s="18" t="n"/>
      <c r="C58" s="16" t="n"/>
      <c r="D58" s="18" t="n"/>
      <c r="E58" s="18" t="n"/>
      <c r="F58" s="28" t="n"/>
      <c r="G58" s="41">
        <f>IFERROR(INDEX(Insumos!$F$5:$F$163,MATCH($B58&amp;" | "&amp;$C58,Insumos!$I$5:$I$163,0)),"")</f>
        <v/>
      </c>
      <c r="H58" s="28" t="n"/>
      <c r="I58" s="42">
        <f>IFERROR($F58*$G58,0)+IFERROR($H58,0)</f>
        <v/>
      </c>
      <c r="J58" s="18" t="n"/>
      <c r="K58" s="35">
        <f>IF($C58="","",IF(COUNTIF(Insumos!$I$5:$I$163,$B58&amp;" | "&amp;$C58)=0,"REVISAR: area+insumo no existe en el maestro","OK"))</f>
        <v/>
      </c>
    </row>
    <row r="59">
      <c r="A59" s="12" t="n"/>
      <c r="B59" s="18" t="n"/>
      <c r="C59" s="16" t="n"/>
      <c r="D59" s="18" t="n"/>
      <c r="E59" s="18" t="n"/>
      <c r="F59" s="28" t="n"/>
      <c r="G59" s="41">
        <f>IFERROR(INDEX(Insumos!$F$5:$F$163,MATCH($B59&amp;" | "&amp;$C59,Insumos!$I$5:$I$163,0)),"")</f>
        <v/>
      </c>
      <c r="H59" s="28" t="n"/>
      <c r="I59" s="42">
        <f>IFERROR($F59*$G59,0)+IFERROR($H59,0)</f>
        <v/>
      </c>
      <c r="J59" s="18" t="n"/>
      <c r="K59" s="35">
        <f>IF($C59="","",IF(COUNTIF(Insumos!$I$5:$I$163,$B59&amp;" | "&amp;$C59)=0,"REVISAR: area+insumo no existe en el maestro","OK"))</f>
        <v/>
      </c>
    </row>
    <row r="60">
      <c r="A60" s="12" t="n"/>
      <c r="B60" s="18" t="n"/>
      <c r="C60" s="16" t="n"/>
      <c r="D60" s="18" t="n"/>
      <c r="E60" s="18" t="n"/>
      <c r="F60" s="28" t="n"/>
      <c r="G60" s="41">
        <f>IFERROR(INDEX(Insumos!$F$5:$F$163,MATCH($B60&amp;" | "&amp;$C60,Insumos!$I$5:$I$163,0)),"")</f>
        <v/>
      </c>
      <c r="H60" s="28" t="n"/>
      <c r="I60" s="42">
        <f>IFERROR($F60*$G60,0)+IFERROR($H60,0)</f>
        <v/>
      </c>
      <c r="J60" s="18" t="n"/>
      <c r="K60" s="35">
        <f>IF($C60="","",IF(COUNTIF(Insumos!$I$5:$I$163,$B60&amp;" | "&amp;$C60)=0,"REVISAR: area+insumo no existe en el maestro","OK"))</f>
        <v/>
      </c>
    </row>
    <row r="61">
      <c r="A61" s="12" t="n"/>
      <c r="B61" s="18" t="n"/>
      <c r="C61" s="16" t="n"/>
      <c r="D61" s="18" t="n"/>
      <c r="E61" s="18" t="n"/>
      <c r="F61" s="28" t="n"/>
      <c r="G61" s="41">
        <f>IFERROR(INDEX(Insumos!$F$5:$F$163,MATCH($B61&amp;" | "&amp;$C61,Insumos!$I$5:$I$163,0)),"")</f>
        <v/>
      </c>
      <c r="H61" s="28" t="n"/>
      <c r="I61" s="42">
        <f>IFERROR($F61*$G61,0)+IFERROR($H61,0)</f>
        <v/>
      </c>
      <c r="J61" s="18" t="n"/>
      <c r="K61" s="35">
        <f>IF($C61="","",IF(COUNTIF(Insumos!$I$5:$I$163,$B61&amp;" | "&amp;$C61)=0,"REVISAR: area+insumo no existe en el maestro","OK"))</f>
        <v/>
      </c>
    </row>
    <row r="62">
      <c r="A62" s="12" t="n"/>
      <c r="B62" s="18" t="n"/>
      <c r="C62" s="16" t="n"/>
      <c r="D62" s="18" t="n"/>
      <c r="E62" s="18" t="n"/>
      <c r="F62" s="28" t="n"/>
      <c r="G62" s="41">
        <f>IFERROR(INDEX(Insumos!$F$5:$F$163,MATCH($B62&amp;" | "&amp;$C62,Insumos!$I$5:$I$163,0)),"")</f>
        <v/>
      </c>
      <c r="H62" s="28" t="n"/>
      <c r="I62" s="42">
        <f>IFERROR($F62*$G62,0)+IFERROR($H62,0)</f>
        <v/>
      </c>
      <c r="J62" s="18" t="n"/>
      <c r="K62" s="35">
        <f>IF($C62="","",IF(COUNTIF(Insumos!$I$5:$I$163,$B62&amp;" | "&amp;$C62)=0,"REVISAR: area+insumo no existe en el maestro","OK"))</f>
        <v/>
      </c>
    </row>
    <row r="63">
      <c r="A63" s="12" t="n"/>
      <c r="B63" s="18" t="n"/>
      <c r="C63" s="16" t="n"/>
      <c r="D63" s="18" t="n"/>
      <c r="E63" s="18" t="n"/>
      <c r="F63" s="28" t="n"/>
      <c r="G63" s="41">
        <f>IFERROR(INDEX(Insumos!$F$5:$F$163,MATCH($B63&amp;" | "&amp;$C63,Insumos!$I$5:$I$163,0)),"")</f>
        <v/>
      </c>
      <c r="H63" s="28" t="n"/>
      <c r="I63" s="42">
        <f>IFERROR($F63*$G63,0)+IFERROR($H63,0)</f>
        <v/>
      </c>
      <c r="J63" s="18" t="n"/>
      <c r="K63" s="35">
        <f>IF($C63="","",IF(COUNTIF(Insumos!$I$5:$I$163,$B63&amp;" | "&amp;$C63)=0,"REVISAR: area+insumo no existe en el maestro","OK"))</f>
        <v/>
      </c>
    </row>
    <row r="64">
      <c r="A64" s="12" t="n"/>
      <c r="B64" s="18" t="n"/>
      <c r="C64" s="16" t="n"/>
      <c r="D64" s="18" t="n"/>
      <c r="E64" s="18" t="n"/>
      <c r="F64" s="28" t="n"/>
      <c r="G64" s="41">
        <f>IFERROR(INDEX(Insumos!$F$5:$F$163,MATCH($B64&amp;" | "&amp;$C64,Insumos!$I$5:$I$163,0)),"")</f>
        <v/>
      </c>
      <c r="H64" s="28" t="n"/>
      <c r="I64" s="42">
        <f>IFERROR($F64*$G64,0)+IFERROR($H64,0)</f>
        <v/>
      </c>
      <c r="J64" s="18" t="n"/>
      <c r="K64" s="35">
        <f>IF($C64="","",IF(COUNTIF(Insumos!$I$5:$I$163,$B64&amp;" | "&amp;$C64)=0,"REVISAR: area+insumo no existe en el maestro","OK"))</f>
        <v/>
      </c>
    </row>
    <row r="65">
      <c r="A65" s="12" t="n"/>
      <c r="B65" s="18" t="n"/>
      <c r="C65" s="16" t="n"/>
      <c r="D65" s="18" t="n"/>
      <c r="E65" s="18" t="n"/>
      <c r="F65" s="28" t="n"/>
      <c r="G65" s="41">
        <f>IFERROR(INDEX(Insumos!$F$5:$F$163,MATCH($B65&amp;" | "&amp;$C65,Insumos!$I$5:$I$163,0)),"")</f>
        <v/>
      </c>
      <c r="H65" s="28" t="n"/>
      <c r="I65" s="42">
        <f>IFERROR($F65*$G65,0)+IFERROR($H65,0)</f>
        <v/>
      </c>
      <c r="J65" s="18" t="n"/>
      <c r="K65" s="35">
        <f>IF($C65="","",IF(COUNTIF(Insumos!$I$5:$I$163,$B65&amp;" | "&amp;$C65)=0,"REVISAR: area+insumo no existe en el maestro","OK"))</f>
        <v/>
      </c>
    </row>
    <row r="66">
      <c r="A66" s="12" t="n"/>
      <c r="B66" s="18" t="n"/>
      <c r="C66" s="16" t="n"/>
      <c r="D66" s="18" t="n"/>
      <c r="E66" s="18" t="n"/>
      <c r="F66" s="28" t="n"/>
      <c r="G66" s="41">
        <f>IFERROR(INDEX(Insumos!$F$5:$F$163,MATCH($B66&amp;" | "&amp;$C66,Insumos!$I$5:$I$163,0)),"")</f>
        <v/>
      </c>
      <c r="H66" s="28" t="n"/>
      <c r="I66" s="42">
        <f>IFERROR($F66*$G66,0)+IFERROR($H66,0)</f>
        <v/>
      </c>
      <c r="J66" s="18" t="n"/>
      <c r="K66" s="35">
        <f>IF($C66="","",IF(COUNTIF(Insumos!$I$5:$I$163,$B66&amp;" | "&amp;$C66)=0,"REVISAR: area+insumo no existe en el maestro","OK"))</f>
        <v/>
      </c>
    </row>
    <row r="67">
      <c r="A67" s="12" t="n"/>
      <c r="B67" s="18" t="n"/>
      <c r="C67" s="16" t="n"/>
      <c r="D67" s="18" t="n"/>
      <c r="E67" s="18" t="n"/>
      <c r="F67" s="28" t="n"/>
      <c r="G67" s="41">
        <f>IFERROR(INDEX(Insumos!$F$5:$F$163,MATCH($B67&amp;" | "&amp;$C67,Insumos!$I$5:$I$163,0)),"")</f>
        <v/>
      </c>
      <c r="H67" s="28" t="n"/>
      <c r="I67" s="42">
        <f>IFERROR($F67*$G67,0)+IFERROR($H67,0)</f>
        <v/>
      </c>
      <c r="J67" s="18" t="n"/>
      <c r="K67" s="35">
        <f>IF($C67="","",IF(COUNTIF(Insumos!$I$5:$I$163,$B67&amp;" | "&amp;$C67)=0,"REVISAR: area+insumo no existe en el maestro","OK"))</f>
        <v/>
      </c>
    </row>
    <row r="68">
      <c r="A68" s="12" t="n"/>
      <c r="B68" s="18" t="n"/>
      <c r="C68" s="16" t="n"/>
      <c r="D68" s="18" t="n"/>
      <c r="E68" s="18" t="n"/>
      <c r="F68" s="28" t="n"/>
      <c r="G68" s="41">
        <f>IFERROR(INDEX(Insumos!$F$5:$F$163,MATCH($B68&amp;" | "&amp;$C68,Insumos!$I$5:$I$163,0)),"")</f>
        <v/>
      </c>
      <c r="H68" s="28" t="n"/>
      <c r="I68" s="42">
        <f>IFERROR($F68*$G68,0)+IFERROR($H68,0)</f>
        <v/>
      </c>
      <c r="J68" s="18" t="n"/>
      <c r="K68" s="35">
        <f>IF($C68="","",IF(COUNTIF(Insumos!$I$5:$I$163,$B68&amp;" | "&amp;$C68)=0,"REVISAR: area+insumo no existe en el maestro","OK"))</f>
        <v/>
      </c>
    </row>
    <row r="69">
      <c r="A69" s="12" t="n"/>
      <c r="B69" s="18" t="n"/>
      <c r="C69" s="16" t="n"/>
      <c r="D69" s="18" t="n"/>
      <c r="E69" s="18" t="n"/>
      <c r="F69" s="28" t="n"/>
      <c r="G69" s="41">
        <f>IFERROR(INDEX(Insumos!$F$5:$F$163,MATCH($B69&amp;" | "&amp;$C69,Insumos!$I$5:$I$163,0)),"")</f>
        <v/>
      </c>
      <c r="H69" s="28" t="n"/>
      <c r="I69" s="42">
        <f>IFERROR($F69*$G69,0)+IFERROR($H69,0)</f>
        <v/>
      </c>
      <c r="J69" s="18" t="n"/>
      <c r="K69" s="35">
        <f>IF($C69="","",IF(COUNTIF(Insumos!$I$5:$I$163,$B69&amp;" | "&amp;$C69)=0,"REVISAR: area+insumo no existe en el maestro","OK"))</f>
        <v/>
      </c>
    </row>
    <row r="70">
      <c r="A70" s="12" t="n"/>
      <c r="B70" s="18" t="n"/>
      <c r="C70" s="16" t="n"/>
      <c r="D70" s="18" t="n"/>
      <c r="E70" s="18" t="n"/>
      <c r="F70" s="28" t="n"/>
      <c r="G70" s="41">
        <f>IFERROR(INDEX(Insumos!$F$5:$F$163,MATCH($B70&amp;" | "&amp;$C70,Insumos!$I$5:$I$163,0)),"")</f>
        <v/>
      </c>
      <c r="H70" s="28" t="n"/>
      <c r="I70" s="42">
        <f>IFERROR($F70*$G70,0)+IFERROR($H70,0)</f>
        <v/>
      </c>
      <c r="J70" s="18" t="n"/>
      <c r="K70" s="35">
        <f>IF($C70="","",IF(COUNTIF(Insumos!$I$5:$I$163,$B70&amp;" | "&amp;$C70)=0,"REVISAR: area+insumo no existe en el maestro","OK"))</f>
        <v/>
      </c>
    </row>
    <row r="71">
      <c r="A71" s="12" t="n"/>
      <c r="B71" s="18" t="n"/>
      <c r="C71" s="16" t="n"/>
      <c r="D71" s="18" t="n"/>
      <c r="E71" s="18" t="n"/>
      <c r="F71" s="28" t="n"/>
      <c r="G71" s="41">
        <f>IFERROR(INDEX(Insumos!$F$5:$F$163,MATCH($B71&amp;" | "&amp;$C71,Insumos!$I$5:$I$163,0)),"")</f>
        <v/>
      </c>
      <c r="H71" s="28" t="n"/>
      <c r="I71" s="42">
        <f>IFERROR($F71*$G71,0)+IFERROR($H71,0)</f>
        <v/>
      </c>
      <c r="J71" s="18" t="n"/>
      <c r="K71" s="35">
        <f>IF($C71="","",IF(COUNTIF(Insumos!$I$5:$I$163,$B71&amp;" | "&amp;$C71)=0,"REVISAR: area+insumo no existe en el maestro","OK"))</f>
        <v/>
      </c>
    </row>
    <row r="72">
      <c r="A72" s="12" t="n"/>
      <c r="B72" s="18" t="n"/>
      <c r="C72" s="16" t="n"/>
      <c r="D72" s="18" t="n"/>
      <c r="E72" s="18" t="n"/>
      <c r="F72" s="28" t="n"/>
      <c r="G72" s="41">
        <f>IFERROR(INDEX(Insumos!$F$5:$F$163,MATCH($B72&amp;" | "&amp;$C72,Insumos!$I$5:$I$163,0)),"")</f>
        <v/>
      </c>
      <c r="H72" s="28" t="n"/>
      <c r="I72" s="42">
        <f>IFERROR($F72*$G72,0)+IFERROR($H72,0)</f>
        <v/>
      </c>
      <c r="J72" s="18" t="n"/>
      <c r="K72" s="35">
        <f>IF($C72="","",IF(COUNTIF(Insumos!$I$5:$I$163,$B72&amp;" | "&amp;$C72)=0,"REVISAR: area+insumo no existe en el maestro","OK"))</f>
        <v/>
      </c>
    </row>
    <row r="73">
      <c r="A73" s="12" t="n"/>
      <c r="B73" s="18" t="n"/>
      <c r="C73" s="16" t="n"/>
      <c r="D73" s="18" t="n"/>
      <c r="E73" s="18" t="n"/>
      <c r="F73" s="28" t="n"/>
      <c r="G73" s="41">
        <f>IFERROR(INDEX(Insumos!$F$5:$F$163,MATCH($B73&amp;" | "&amp;$C73,Insumos!$I$5:$I$163,0)),"")</f>
        <v/>
      </c>
      <c r="H73" s="28" t="n"/>
      <c r="I73" s="42">
        <f>IFERROR($F73*$G73,0)+IFERROR($H73,0)</f>
        <v/>
      </c>
      <c r="J73" s="18" t="n"/>
      <c r="K73" s="35">
        <f>IF($C73="","",IF(COUNTIF(Insumos!$I$5:$I$163,$B73&amp;" | "&amp;$C73)=0,"REVISAR: area+insumo no existe en el maestro","OK"))</f>
        <v/>
      </c>
    </row>
    <row r="74">
      <c r="A74" s="12" t="n"/>
      <c r="B74" s="18" t="n"/>
      <c r="C74" s="16" t="n"/>
      <c r="D74" s="18" t="n"/>
      <c r="E74" s="18" t="n"/>
      <c r="F74" s="28" t="n"/>
      <c r="G74" s="41">
        <f>IFERROR(INDEX(Insumos!$F$5:$F$163,MATCH($B74&amp;" | "&amp;$C74,Insumos!$I$5:$I$163,0)),"")</f>
        <v/>
      </c>
      <c r="H74" s="28" t="n"/>
      <c r="I74" s="42">
        <f>IFERROR($F74*$G74,0)+IFERROR($H74,0)</f>
        <v/>
      </c>
      <c r="J74" s="18" t="n"/>
      <c r="K74" s="35">
        <f>IF($C74="","",IF(COUNTIF(Insumos!$I$5:$I$163,$B74&amp;" | "&amp;$C74)=0,"REVISAR: area+insumo no existe en el maestro","OK"))</f>
        <v/>
      </c>
    </row>
    <row r="75">
      <c r="A75" s="12" t="n"/>
      <c r="B75" s="18" t="n"/>
      <c r="C75" s="16" t="n"/>
      <c r="D75" s="18" t="n"/>
      <c r="E75" s="18" t="n"/>
      <c r="F75" s="28" t="n"/>
      <c r="G75" s="41">
        <f>IFERROR(INDEX(Insumos!$F$5:$F$163,MATCH($B75&amp;" | "&amp;$C75,Insumos!$I$5:$I$163,0)),"")</f>
        <v/>
      </c>
      <c r="H75" s="28" t="n"/>
      <c r="I75" s="42">
        <f>IFERROR($F75*$G75,0)+IFERROR($H75,0)</f>
        <v/>
      </c>
      <c r="J75" s="18" t="n"/>
      <c r="K75" s="35">
        <f>IF($C75="","",IF(COUNTIF(Insumos!$I$5:$I$163,$B75&amp;" | "&amp;$C75)=0,"REVISAR: area+insumo no existe en el maestro","OK"))</f>
        <v/>
      </c>
    </row>
    <row r="76">
      <c r="A76" s="12" t="n"/>
      <c r="B76" s="18" t="n"/>
      <c r="C76" s="16" t="n"/>
      <c r="D76" s="18" t="n"/>
      <c r="E76" s="18" t="n"/>
      <c r="F76" s="28" t="n"/>
      <c r="G76" s="41">
        <f>IFERROR(INDEX(Insumos!$F$5:$F$163,MATCH($B76&amp;" | "&amp;$C76,Insumos!$I$5:$I$163,0)),"")</f>
        <v/>
      </c>
      <c r="H76" s="28" t="n"/>
      <c r="I76" s="42">
        <f>IFERROR($F76*$G76,0)+IFERROR($H76,0)</f>
        <v/>
      </c>
      <c r="J76" s="18" t="n"/>
      <c r="K76" s="35">
        <f>IF($C76="","",IF(COUNTIF(Insumos!$I$5:$I$163,$B76&amp;" | "&amp;$C76)=0,"REVISAR: area+insumo no existe en el maestro","OK"))</f>
        <v/>
      </c>
    </row>
    <row r="77">
      <c r="A77" s="12" t="n"/>
      <c r="B77" s="18" t="n"/>
      <c r="C77" s="16" t="n"/>
      <c r="D77" s="18" t="n"/>
      <c r="E77" s="18" t="n"/>
      <c r="F77" s="28" t="n"/>
      <c r="G77" s="41">
        <f>IFERROR(INDEX(Insumos!$F$5:$F$163,MATCH($B77&amp;" | "&amp;$C77,Insumos!$I$5:$I$163,0)),"")</f>
        <v/>
      </c>
      <c r="H77" s="28" t="n"/>
      <c r="I77" s="42">
        <f>IFERROR($F77*$G77,0)+IFERROR($H77,0)</f>
        <v/>
      </c>
      <c r="J77" s="18" t="n"/>
      <c r="K77" s="35">
        <f>IF($C77="","",IF(COUNTIF(Insumos!$I$5:$I$163,$B77&amp;" | "&amp;$C77)=0,"REVISAR: area+insumo no existe en el maestro","OK"))</f>
        <v/>
      </c>
    </row>
    <row r="78">
      <c r="A78" s="12" t="n"/>
      <c r="B78" s="18" t="n"/>
      <c r="C78" s="16" t="n"/>
      <c r="D78" s="18" t="n"/>
      <c r="E78" s="18" t="n"/>
      <c r="F78" s="28" t="n"/>
      <c r="G78" s="41">
        <f>IFERROR(INDEX(Insumos!$F$5:$F$163,MATCH($B78&amp;" | "&amp;$C78,Insumos!$I$5:$I$163,0)),"")</f>
        <v/>
      </c>
      <c r="H78" s="28" t="n"/>
      <c r="I78" s="42">
        <f>IFERROR($F78*$G78,0)+IFERROR($H78,0)</f>
        <v/>
      </c>
      <c r="J78" s="18" t="n"/>
      <c r="K78" s="35">
        <f>IF($C78="","",IF(COUNTIF(Insumos!$I$5:$I$163,$B78&amp;" | "&amp;$C78)=0,"REVISAR: area+insumo no existe en el maestro","OK"))</f>
        <v/>
      </c>
    </row>
    <row r="79">
      <c r="A79" s="12" t="n"/>
      <c r="B79" s="18" t="n"/>
      <c r="C79" s="16" t="n"/>
      <c r="D79" s="18" t="n"/>
      <c r="E79" s="18" t="n"/>
      <c r="F79" s="28" t="n"/>
      <c r="G79" s="41">
        <f>IFERROR(INDEX(Insumos!$F$5:$F$163,MATCH($B79&amp;" | "&amp;$C79,Insumos!$I$5:$I$163,0)),"")</f>
        <v/>
      </c>
      <c r="H79" s="28" t="n"/>
      <c r="I79" s="42">
        <f>IFERROR($F79*$G79,0)+IFERROR($H79,0)</f>
        <v/>
      </c>
      <c r="J79" s="18" t="n"/>
      <c r="K79" s="35">
        <f>IF($C79="","",IF(COUNTIF(Insumos!$I$5:$I$163,$B79&amp;" | "&amp;$C79)=0,"REVISAR: area+insumo no existe en el maestro","OK"))</f>
        <v/>
      </c>
    </row>
    <row r="80">
      <c r="A80" s="12" t="n"/>
      <c r="B80" s="18" t="n"/>
      <c r="C80" s="16" t="n"/>
      <c r="D80" s="18" t="n"/>
      <c r="E80" s="18" t="n"/>
      <c r="F80" s="28" t="n"/>
      <c r="G80" s="41">
        <f>IFERROR(INDEX(Insumos!$F$5:$F$163,MATCH($B80&amp;" | "&amp;$C80,Insumos!$I$5:$I$163,0)),"")</f>
        <v/>
      </c>
      <c r="H80" s="28" t="n"/>
      <c r="I80" s="42">
        <f>IFERROR($F80*$G80,0)+IFERROR($H80,0)</f>
        <v/>
      </c>
      <c r="J80" s="18" t="n"/>
      <c r="K80" s="35">
        <f>IF($C80="","",IF(COUNTIF(Insumos!$I$5:$I$163,$B80&amp;" | "&amp;$C80)=0,"REVISAR: area+insumo no existe en el maestro","OK"))</f>
        <v/>
      </c>
    </row>
    <row r="81">
      <c r="A81" s="12" t="n"/>
      <c r="B81" s="18" t="n"/>
      <c r="C81" s="16" t="n"/>
      <c r="D81" s="18" t="n"/>
      <c r="E81" s="18" t="n"/>
      <c r="F81" s="28" t="n"/>
      <c r="G81" s="41">
        <f>IFERROR(INDEX(Insumos!$F$5:$F$163,MATCH($B81&amp;" | "&amp;$C81,Insumos!$I$5:$I$163,0)),"")</f>
        <v/>
      </c>
      <c r="H81" s="28" t="n"/>
      <c r="I81" s="42">
        <f>IFERROR($F81*$G81,0)+IFERROR($H81,0)</f>
        <v/>
      </c>
      <c r="J81" s="18" t="n"/>
      <c r="K81" s="35">
        <f>IF($C81="","",IF(COUNTIF(Insumos!$I$5:$I$163,$B81&amp;" | "&amp;$C81)=0,"REVISAR: area+insumo no existe en el maestro","OK"))</f>
        <v/>
      </c>
    </row>
    <row r="82">
      <c r="A82" s="12" t="n"/>
      <c r="B82" s="18" t="n"/>
      <c r="C82" s="16" t="n"/>
      <c r="D82" s="18" t="n"/>
      <c r="E82" s="18" t="n"/>
      <c r="F82" s="28" t="n"/>
      <c r="G82" s="41">
        <f>IFERROR(INDEX(Insumos!$F$5:$F$163,MATCH($B82&amp;" | "&amp;$C82,Insumos!$I$5:$I$163,0)),"")</f>
        <v/>
      </c>
      <c r="H82" s="28" t="n"/>
      <c r="I82" s="42">
        <f>IFERROR($F82*$G82,0)+IFERROR($H82,0)</f>
        <v/>
      </c>
      <c r="J82" s="18" t="n"/>
      <c r="K82" s="35">
        <f>IF($C82="","",IF(COUNTIF(Insumos!$I$5:$I$163,$B82&amp;" | "&amp;$C82)=0,"REVISAR: area+insumo no existe en el maestro","OK"))</f>
        <v/>
      </c>
    </row>
    <row r="83">
      <c r="A83" s="12" t="n"/>
      <c r="B83" s="18" t="n"/>
      <c r="C83" s="16" t="n"/>
      <c r="D83" s="18" t="n"/>
      <c r="E83" s="18" t="n"/>
      <c r="F83" s="28" t="n"/>
      <c r="G83" s="41">
        <f>IFERROR(INDEX(Insumos!$F$5:$F$163,MATCH($B83&amp;" | "&amp;$C83,Insumos!$I$5:$I$163,0)),"")</f>
        <v/>
      </c>
      <c r="H83" s="28" t="n"/>
      <c r="I83" s="42">
        <f>IFERROR($F83*$G83,0)+IFERROR($H83,0)</f>
        <v/>
      </c>
      <c r="J83" s="18" t="n"/>
      <c r="K83" s="35">
        <f>IF($C83="","",IF(COUNTIF(Insumos!$I$5:$I$163,$B83&amp;" | "&amp;$C83)=0,"REVISAR: area+insumo no existe en el maestro","OK"))</f>
        <v/>
      </c>
    </row>
    <row r="84">
      <c r="A84" s="12" t="n"/>
      <c r="B84" s="18" t="n"/>
      <c r="C84" s="16" t="n"/>
      <c r="D84" s="18" t="n"/>
      <c r="E84" s="18" t="n"/>
      <c r="F84" s="28" t="n"/>
      <c r="G84" s="41">
        <f>IFERROR(INDEX(Insumos!$F$5:$F$163,MATCH($B84&amp;" | "&amp;$C84,Insumos!$I$5:$I$163,0)),"")</f>
        <v/>
      </c>
      <c r="H84" s="28" t="n"/>
      <c r="I84" s="42">
        <f>IFERROR($F84*$G84,0)+IFERROR($H84,0)</f>
        <v/>
      </c>
      <c r="J84" s="18" t="n"/>
      <c r="K84" s="35">
        <f>IF($C84="","",IF(COUNTIF(Insumos!$I$5:$I$163,$B84&amp;" | "&amp;$C84)=0,"REVISAR: area+insumo no existe en el maestro","OK"))</f>
        <v/>
      </c>
    </row>
    <row r="85">
      <c r="A85" s="12" t="n"/>
      <c r="B85" s="18" t="n"/>
      <c r="C85" s="16" t="n"/>
      <c r="D85" s="18" t="n"/>
      <c r="E85" s="18" t="n"/>
      <c r="F85" s="28" t="n"/>
      <c r="G85" s="41">
        <f>IFERROR(INDEX(Insumos!$F$5:$F$163,MATCH($B85&amp;" | "&amp;$C85,Insumos!$I$5:$I$163,0)),"")</f>
        <v/>
      </c>
      <c r="H85" s="28" t="n"/>
      <c r="I85" s="42">
        <f>IFERROR($F85*$G85,0)+IFERROR($H85,0)</f>
        <v/>
      </c>
      <c r="J85" s="18" t="n"/>
      <c r="K85" s="35">
        <f>IF($C85="","",IF(COUNTIF(Insumos!$I$5:$I$163,$B85&amp;" | "&amp;$C85)=0,"REVISAR: area+insumo no existe en el maestro","OK"))</f>
        <v/>
      </c>
    </row>
    <row r="86">
      <c r="A86" s="12" t="n"/>
      <c r="B86" s="18" t="n"/>
      <c r="C86" s="16" t="n"/>
      <c r="D86" s="18" t="n"/>
      <c r="E86" s="18" t="n"/>
      <c r="F86" s="28" t="n"/>
      <c r="G86" s="41">
        <f>IFERROR(INDEX(Insumos!$F$5:$F$163,MATCH($B86&amp;" | "&amp;$C86,Insumos!$I$5:$I$163,0)),"")</f>
        <v/>
      </c>
      <c r="H86" s="28" t="n"/>
      <c r="I86" s="42">
        <f>IFERROR($F86*$G86,0)+IFERROR($H86,0)</f>
        <v/>
      </c>
      <c r="J86" s="18" t="n"/>
      <c r="K86" s="35">
        <f>IF($C86="","",IF(COUNTIF(Insumos!$I$5:$I$163,$B86&amp;" | "&amp;$C86)=0,"REVISAR: area+insumo no existe en el maestro","OK"))</f>
        <v/>
      </c>
    </row>
    <row r="87">
      <c r="A87" s="12" t="n"/>
      <c r="B87" s="18" t="n"/>
      <c r="C87" s="16" t="n"/>
      <c r="D87" s="18" t="n"/>
      <c r="E87" s="18" t="n"/>
      <c r="F87" s="28" t="n"/>
      <c r="G87" s="41">
        <f>IFERROR(INDEX(Insumos!$F$5:$F$163,MATCH($B87&amp;" | "&amp;$C87,Insumos!$I$5:$I$163,0)),"")</f>
        <v/>
      </c>
      <c r="H87" s="28" t="n"/>
      <c r="I87" s="42">
        <f>IFERROR($F87*$G87,0)+IFERROR($H87,0)</f>
        <v/>
      </c>
      <c r="J87" s="18" t="n"/>
      <c r="K87" s="35">
        <f>IF($C87="","",IF(COUNTIF(Insumos!$I$5:$I$163,$B87&amp;" | "&amp;$C87)=0,"REVISAR: area+insumo no existe en el maestro","OK"))</f>
        <v/>
      </c>
    </row>
    <row r="88">
      <c r="A88" s="12" t="n"/>
      <c r="B88" s="18" t="n"/>
      <c r="C88" s="16" t="n"/>
      <c r="D88" s="18" t="n"/>
      <c r="E88" s="18" t="n"/>
      <c r="F88" s="28" t="n"/>
      <c r="G88" s="41">
        <f>IFERROR(INDEX(Insumos!$F$5:$F$163,MATCH($B88&amp;" | "&amp;$C88,Insumos!$I$5:$I$163,0)),"")</f>
        <v/>
      </c>
      <c r="H88" s="28" t="n"/>
      <c r="I88" s="42">
        <f>IFERROR($F88*$G88,0)+IFERROR($H88,0)</f>
        <v/>
      </c>
      <c r="J88" s="18" t="n"/>
      <c r="K88" s="35">
        <f>IF($C88="","",IF(COUNTIF(Insumos!$I$5:$I$163,$B88&amp;" | "&amp;$C88)=0,"REVISAR: area+insumo no existe en el maestro","OK"))</f>
        <v/>
      </c>
    </row>
    <row r="89">
      <c r="A89" s="12" t="n"/>
      <c r="B89" s="18" t="n"/>
      <c r="C89" s="16" t="n"/>
      <c r="D89" s="18" t="n"/>
      <c r="E89" s="18" t="n"/>
      <c r="F89" s="28" t="n"/>
      <c r="G89" s="41">
        <f>IFERROR(INDEX(Insumos!$F$5:$F$163,MATCH($B89&amp;" | "&amp;$C89,Insumos!$I$5:$I$163,0)),"")</f>
        <v/>
      </c>
      <c r="H89" s="28" t="n"/>
      <c r="I89" s="42">
        <f>IFERROR($F89*$G89,0)+IFERROR($H89,0)</f>
        <v/>
      </c>
      <c r="J89" s="18" t="n"/>
      <c r="K89" s="35">
        <f>IF($C89="","",IF(COUNTIF(Insumos!$I$5:$I$163,$B89&amp;" | "&amp;$C89)=0,"REVISAR: area+insumo no existe en el maestro","OK"))</f>
        <v/>
      </c>
    </row>
    <row r="90">
      <c r="A90" s="12" t="n"/>
      <c r="B90" s="18" t="n"/>
      <c r="C90" s="16" t="n"/>
      <c r="D90" s="18" t="n"/>
      <c r="E90" s="18" t="n"/>
      <c r="F90" s="28" t="n"/>
      <c r="G90" s="41">
        <f>IFERROR(INDEX(Insumos!$F$5:$F$163,MATCH($B90&amp;" | "&amp;$C90,Insumos!$I$5:$I$163,0)),"")</f>
        <v/>
      </c>
      <c r="H90" s="28" t="n"/>
      <c r="I90" s="42">
        <f>IFERROR($F90*$G90,0)+IFERROR($H90,0)</f>
        <v/>
      </c>
      <c r="J90" s="18" t="n"/>
      <c r="K90" s="35">
        <f>IF($C90="","",IF(COUNTIF(Insumos!$I$5:$I$163,$B90&amp;" | "&amp;$C90)=0,"REVISAR: area+insumo no existe en el maestro","OK"))</f>
        <v/>
      </c>
    </row>
    <row r="91">
      <c r="A91" s="12" t="n"/>
      <c r="B91" s="18" t="n"/>
      <c r="C91" s="16" t="n"/>
      <c r="D91" s="18" t="n"/>
      <c r="E91" s="18" t="n"/>
      <c r="F91" s="28" t="n"/>
      <c r="G91" s="41">
        <f>IFERROR(INDEX(Insumos!$F$5:$F$163,MATCH($B91&amp;" | "&amp;$C91,Insumos!$I$5:$I$163,0)),"")</f>
        <v/>
      </c>
      <c r="H91" s="28" t="n"/>
      <c r="I91" s="42">
        <f>IFERROR($F91*$G91,0)+IFERROR($H91,0)</f>
        <v/>
      </c>
      <c r="J91" s="18" t="n"/>
      <c r="K91" s="35">
        <f>IF($C91="","",IF(COUNTIF(Insumos!$I$5:$I$163,$B91&amp;" | "&amp;$C91)=0,"REVISAR: area+insumo no existe en el maestro","OK"))</f>
        <v/>
      </c>
    </row>
    <row r="92">
      <c r="A92" s="12" t="n"/>
      <c r="B92" s="18" t="n"/>
      <c r="C92" s="16" t="n"/>
      <c r="D92" s="18" t="n"/>
      <c r="E92" s="18" t="n"/>
      <c r="F92" s="28" t="n"/>
      <c r="G92" s="41">
        <f>IFERROR(INDEX(Insumos!$F$5:$F$163,MATCH($B92&amp;" | "&amp;$C92,Insumos!$I$5:$I$163,0)),"")</f>
        <v/>
      </c>
      <c r="H92" s="28" t="n"/>
      <c r="I92" s="42">
        <f>IFERROR($F92*$G92,0)+IFERROR($H92,0)</f>
        <v/>
      </c>
      <c r="J92" s="18" t="n"/>
      <c r="K92" s="35">
        <f>IF($C92="","",IF(COUNTIF(Insumos!$I$5:$I$163,$B92&amp;" | "&amp;$C92)=0,"REVISAR: area+insumo no existe en el maestro","OK"))</f>
        <v/>
      </c>
    </row>
    <row r="93">
      <c r="A93" s="12" t="n"/>
      <c r="B93" s="18" t="n"/>
      <c r="C93" s="16" t="n"/>
      <c r="D93" s="18" t="n"/>
      <c r="E93" s="18" t="n"/>
      <c r="F93" s="28" t="n"/>
      <c r="G93" s="41">
        <f>IFERROR(INDEX(Insumos!$F$5:$F$163,MATCH($B93&amp;" | "&amp;$C93,Insumos!$I$5:$I$163,0)),"")</f>
        <v/>
      </c>
      <c r="H93" s="28" t="n"/>
      <c r="I93" s="42">
        <f>IFERROR($F93*$G93,0)+IFERROR($H93,0)</f>
        <v/>
      </c>
      <c r="J93" s="18" t="n"/>
      <c r="K93" s="35">
        <f>IF($C93="","",IF(COUNTIF(Insumos!$I$5:$I$163,$B93&amp;" | "&amp;$C93)=0,"REVISAR: area+insumo no existe en el maestro","OK"))</f>
        <v/>
      </c>
    </row>
    <row r="94">
      <c r="A94" s="12" t="n"/>
      <c r="B94" s="18" t="n"/>
      <c r="C94" s="16" t="n"/>
      <c r="D94" s="18" t="n"/>
      <c r="E94" s="18" t="n"/>
      <c r="F94" s="28" t="n"/>
      <c r="G94" s="41">
        <f>IFERROR(INDEX(Insumos!$F$5:$F$163,MATCH($B94&amp;" | "&amp;$C94,Insumos!$I$5:$I$163,0)),"")</f>
        <v/>
      </c>
      <c r="H94" s="28" t="n"/>
      <c r="I94" s="42">
        <f>IFERROR($F94*$G94,0)+IFERROR($H94,0)</f>
        <v/>
      </c>
      <c r="J94" s="18" t="n"/>
      <c r="K94" s="35">
        <f>IF($C94="","",IF(COUNTIF(Insumos!$I$5:$I$163,$B94&amp;" | "&amp;$C94)=0,"REVISAR: area+insumo no existe en el maestro","OK"))</f>
        <v/>
      </c>
    </row>
    <row r="95">
      <c r="A95" s="12" t="n"/>
      <c r="B95" s="18" t="n"/>
      <c r="C95" s="16" t="n"/>
      <c r="D95" s="18" t="n"/>
      <c r="E95" s="18" t="n"/>
      <c r="F95" s="28" t="n"/>
      <c r="G95" s="41">
        <f>IFERROR(INDEX(Insumos!$F$5:$F$163,MATCH($B95&amp;" | "&amp;$C95,Insumos!$I$5:$I$163,0)),"")</f>
        <v/>
      </c>
      <c r="H95" s="28" t="n"/>
      <c r="I95" s="42">
        <f>IFERROR($F95*$G95,0)+IFERROR($H95,0)</f>
        <v/>
      </c>
      <c r="J95" s="18" t="n"/>
      <c r="K95" s="35">
        <f>IF($C95="","",IF(COUNTIF(Insumos!$I$5:$I$163,$B95&amp;" | "&amp;$C95)=0,"REVISAR: area+insumo no existe en el maestro","OK"))</f>
        <v/>
      </c>
    </row>
    <row r="96">
      <c r="A96" s="12" t="n"/>
      <c r="B96" s="18" t="n"/>
      <c r="C96" s="16" t="n"/>
      <c r="D96" s="18" t="n"/>
      <c r="E96" s="18" t="n"/>
      <c r="F96" s="28" t="n"/>
      <c r="G96" s="41">
        <f>IFERROR(INDEX(Insumos!$F$5:$F$163,MATCH($B96&amp;" | "&amp;$C96,Insumos!$I$5:$I$163,0)),"")</f>
        <v/>
      </c>
      <c r="H96" s="28" t="n"/>
      <c r="I96" s="42">
        <f>IFERROR($F96*$G96,0)+IFERROR($H96,0)</f>
        <v/>
      </c>
      <c r="J96" s="18" t="n"/>
      <c r="K96" s="35">
        <f>IF($C96="","",IF(COUNTIF(Insumos!$I$5:$I$163,$B96&amp;" | "&amp;$C96)=0,"REVISAR: area+insumo no existe en el maestro","OK"))</f>
        <v/>
      </c>
    </row>
    <row r="97">
      <c r="A97" s="12" t="n"/>
      <c r="B97" s="18" t="n"/>
      <c r="C97" s="16" t="n"/>
      <c r="D97" s="18" t="n"/>
      <c r="E97" s="18" t="n"/>
      <c r="F97" s="28" t="n"/>
      <c r="G97" s="41">
        <f>IFERROR(INDEX(Insumos!$F$5:$F$163,MATCH($B97&amp;" | "&amp;$C97,Insumos!$I$5:$I$163,0)),"")</f>
        <v/>
      </c>
      <c r="H97" s="28" t="n"/>
      <c r="I97" s="42">
        <f>IFERROR($F97*$G97,0)+IFERROR($H97,0)</f>
        <v/>
      </c>
      <c r="J97" s="18" t="n"/>
      <c r="K97" s="35">
        <f>IF($C97="","",IF(COUNTIF(Insumos!$I$5:$I$163,$B97&amp;" | "&amp;$C97)=0,"REVISAR: area+insumo no existe en el maestro","OK"))</f>
        <v/>
      </c>
    </row>
    <row r="98">
      <c r="A98" s="12" t="n"/>
      <c r="B98" s="18" t="n"/>
      <c r="C98" s="16" t="n"/>
      <c r="D98" s="18" t="n"/>
      <c r="E98" s="18" t="n"/>
      <c r="F98" s="28" t="n"/>
      <c r="G98" s="41">
        <f>IFERROR(INDEX(Insumos!$F$5:$F$163,MATCH($B98&amp;" | "&amp;$C98,Insumos!$I$5:$I$163,0)),"")</f>
        <v/>
      </c>
      <c r="H98" s="28" t="n"/>
      <c r="I98" s="42">
        <f>IFERROR($F98*$G98,0)+IFERROR($H98,0)</f>
        <v/>
      </c>
      <c r="J98" s="18" t="n"/>
      <c r="K98" s="35">
        <f>IF($C98="","",IF(COUNTIF(Insumos!$I$5:$I$163,$B98&amp;" | "&amp;$C98)=0,"REVISAR: area+insumo no existe en el maestro","OK"))</f>
        <v/>
      </c>
    </row>
    <row r="99">
      <c r="A99" s="12" t="n"/>
      <c r="B99" s="18" t="n"/>
      <c r="C99" s="16" t="n"/>
      <c r="D99" s="18" t="n"/>
      <c r="E99" s="18" t="n"/>
      <c r="F99" s="28" t="n"/>
      <c r="G99" s="41">
        <f>IFERROR(INDEX(Insumos!$F$5:$F$163,MATCH($B99&amp;" | "&amp;$C99,Insumos!$I$5:$I$163,0)),"")</f>
        <v/>
      </c>
      <c r="H99" s="28" t="n"/>
      <c r="I99" s="42">
        <f>IFERROR($F99*$G99,0)+IFERROR($H99,0)</f>
        <v/>
      </c>
      <c r="J99" s="18" t="n"/>
      <c r="K99" s="35">
        <f>IF($C99="","",IF(COUNTIF(Insumos!$I$5:$I$163,$B99&amp;" | "&amp;$C99)=0,"REVISAR: area+insumo no existe en el maestro","OK"))</f>
        <v/>
      </c>
    </row>
    <row r="100">
      <c r="A100" s="12" t="n"/>
      <c r="B100" s="18" t="n"/>
      <c r="C100" s="16" t="n"/>
      <c r="D100" s="18" t="n"/>
      <c r="E100" s="18" t="n"/>
      <c r="F100" s="28" t="n"/>
      <c r="G100" s="41">
        <f>IFERROR(INDEX(Insumos!$F$5:$F$163,MATCH($B100&amp;" | "&amp;$C100,Insumos!$I$5:$I$163,0)),"")</f>
        <v/>
      </c>
      <c r="H100" s="28" t="n"/>
      <c r="I100" s="42">
        <f>IFERROR($F100*$G100,0)+IFERROR($H100,0)</f>
        <v/>
      </c>
      <c r="J100" s="18" t="n"/>
      <c r="K100" s="35">
        <f>IF($C100="","",IF(COUNTIF(Insumos!$I$5:$I$163,$B100&amp;" | "&amp;$C100)=0,"REVISAR: area+insumo no existe en el maestro","OK"))</f>
        <v/>
      </c>
    </row>
    <row r="101">
      <c r="A101" s="12" t="n"/>
      <c r="B101" s="18" t="n"/>
      <c r="C101" s="16" t="n"/>
      <c r="D101" s="18" t="n"/>
      <c r="E101" s="18" t="n"/>
      <c r="F101" s="28" t="n"/>
      <c r="G101" s="41">
        <f>IFERROR(INDEX(Insumos!$F$5:$F$163,MATCH($B101&amp;" | "&amp;$C101,Insumos!$I$5:$I$163,0)),"")</f>
        <v/>
      </c>
      <c r="H101" s="28" t="n"/>
      <c r="I101" s="42">
        <f>IFERROR($F101*$G101,0)+IFERROR($H101,0)</f>
        <v/>
      </c>
      <c r="J101" s="18" t="n"/>
      <c r="K101" s="35">
        <f>IF($C101="","",IF(COUNTIF(Insumos!$I$5:$I$163,$B101&amp;" | "&amp;$C101)=0,"REVISAR: area+insumo no existe en el maestro","OK"))</f>
        <v/>
      </c>
    </row>
    <row r="102">
      <c r="A102" s="12" t="n"/>
      <c r="B102" s="18" t="n"/>
      <c r="C102" s="16" t="n"/>
      <c r="D102" s="18" t="n"/>
      <c r="E102" s="18" t="n"/>
      <c r="F102" s="28" t="n"/>
      <c r="G102" s="41">
        <f>IFERROR(INDEX(Insumos!$F$5:$F$163,MATCH($B102&amp;" | "&amp;$C102,Insumos!$I$5:$I$163,0)),"")</f>
        <v/>
      </c>
      <c r="H102" s="28" t="n"/>
      <c r="I102" s="42">
        <f>IFERROR($F102*$G102,0)+IFERROR($H102,0)</f>
        <v/>
      </c>
      <c r="J102" s="18" t="n"/>
      <c r="K102" s="35">
        <f>IF($C102="","",IF(COUNTIF(Insumos!$I$5:$I$163,$B102&amp;" | "&amp;$C102)=0,"REVISAR: area+insumo no existe en el maestro","OK"))</f>
        <v/>
      </c>
    </row>
    <row r="103">
      <c r="A103" s="12" t="n"/>
      <c r="B103" s="18" t="n"/>
      <c r="C103" s="16" t="n"/>
      <c r="D103" s="18" t="n"/>
      <c r="E103" s="18" t="n"/>
      <c r="F103" s="28" t="n"/>
      <c r="G103" s="41">
        <f>IFERROR(INDEX(Insumos!$F$5:$F$163,MATCH($B103&amp;" | "&amp;$C103,Insumos!$I$5:$I$163,0)),"")</f>
        <v/>
      </c>
      <c r="H103" s="28" t="n"/>
      <c r="I103" s="42">
        <f>IFERROR($F103*$G103,0)+IFERROR($H103,0)</f>
        <v/>
      </c>
      <c r="J103" s="18" t="n"/>
      <c r="K103" s="35">
        <f>IF($C103="","",IF(COUNTIF(Insumos!$I$5:$I$163,$B103&amp;" | "&amp;$C103)=0,"REVISAR: area+insumo no existe en el maestro","OK"))</f>
        <v/>
      </c>
    </row>
    <row r="104">
      <c r="A104" s="12" t="n"/>
      <c r="B104" s="18" t="n"/>
      <c r="C104" s="16" t="n"/>
      <c r="D104" s="18" t="n"/>
      <c r="E104" s="18" t="n"/>
      <c r="F104" s="28" t="n"/>
      <c r="G104" s="41">
        <f>IFERROR(INDEX(Insumos!$F$5:$F$163,MATCH($B104&amp;" | "&amp;$C104,Insumos!$I$5:$I$163,0)),"")</f>
        <v/>
      </c>
      <c r="H104" s="28" t="n"/>
      <c r="I104" s="42">
        <f>IFERROR($F104*$G104,0)+IFERROR($H104,0)</f>
        <v/>
      </c>
      <c r="J104" s="18" t="n"/>
      <c r="K104" s="35">
        <f>IF($C104="","",IF(COUNTIF(Insumos!$I$5:$I$163,$B104&amp;" | "&amp;$C104)=0,"REVISAR: area+insumo no existe en el maestro","OK"))</f>
        <v/>
      </c>
    </row>
    <row r="105">
      <c r="A105" s="12" t="n"/>
      <c r="B105" s="18" t="n"/>
      <c r="C105" s="16" t="n"/>
      <c r="D105" s="18" t="n"/>
      <c r="E105" s="18" t="n"/>
      <c r="F105" s="28" t="n"/>
      <c r="G105" s="41">
        <f>IFERROR(INDEX(Insumos!$F$5:$F$163,MATCH($B105&amp;" | "&amp;$C105,Insumos!$I$5:$I$163,0)),"")</f>
        <v/>
      </c>
      <c r="H105" s="28" t="n"/>
      <c r="I105" s="42">
        <f>IFERROR($F105*$G105,0)+IFERROR($H105,0)</f>
        <v/>
      </c>
      <c r="J105" s="18" t="n"/>
      <c r="K105" s="35">
        <f>IF($C105="","",IF(COUNTIF(Insumos!$I$5:$I$163,$B105&amp;" | "&amp;$C105)=0,"REVISAR: area+insumo no existe en el maestro","OK"))</f>
        <v/>
      </c>
    </row>
    <row r="106">
      <c r="A106" s="12" t="n"/>
      <c r="B106" s="18" t="n"/>
      <c r="C106" s="16" t="n"/>
      <c r="D106" s="18" t="n"/>
      <c r="E106" s="18" t="n"/>
      <c r="F106" s="28" t="n"/>
      <c r="G106" s="41">
        <f>IFERROR(INDEX(Insumos!$F$5:$F$163,MATCH($B106&amp;" | "&amp;$C106,Insumos!$I$5:$I$163,0)),"")</f>
        <v/>
      </c>
      <c r="H106" s="28" t="n"/>
      <c r="I106" s="42">
        <f>IFERROR($F106*$G106,0)+IFERROR($H106,0)</f>
        <v/>
      </c>
      <c r="J106" s="18" t="n"/>
      <c r="K106" s="35">
        <f>IF($C106="","",IF(COUNTIF(Insumos!$I$5:$I$163,$B106&amp;" | "&amp;$C106)=0,"REVISAR: area+insumo no existe en el maestro","OK"))</f>
        <v/>
      </c>
    </row>
    <row r="107">
      <c r="A107" s="12" t="n"/>
      <c r="B107" s="18" t="n"/>
      <c r="C107" s="16" t="n"/>
      <c r="D107" s="18" t="n"/>
      <c r="E107" s="18" t="n"/>
      <c r="F107" s="28" t="n"/>
      <c r="G107" s="41">
        <f>IFERROR(INDEX(Insumos!$F$5:$F$163,MATCH($B107&amp;" | "&amp;$C107,Insumos!$I$5:$I$163,0)),"")</f>
        <v/>
      </c>
      <c r="H107" s="28" t="n"/>
      <c r="I107" s="42">
        <f>IFERROR($F107*$G107,0)+IFERROR($H107,0)</f>
        <v/>
      </c>
      <c r="J107" s="18" t="n"/>
      <c r="K107" s="35">
        <f>IF($C107="","",IF(COUNTIF(Insumos!$I$5:$I$163,$B107&amp;" | "&amp;$C107)=0,"REVISAR: area+insumo no existe en el maestro","OK"))</f>
        <v/>
      </c>
    </row>
    <row r="108">
      <c r="A108" s="12" t="n"/>
      <c r="B108" s="18" t="n"/>
      <c r="C108" s="16" t="n"/>
      <c r="D108" s="18" t="n"/>
      <c r="E108" s="18" t="n"/>
      <c r="F108" s="28" t="n"/>
      <c r="G108" s="41">
        <f>IFERROR(INDEX(Insumos!$F$5:$F$163,MATCH($B108&amp;" | "&amp;$C108,Insumos!$I$5:$I$163,0)),"")</f>
        <v/>
      </c>
      <c r="H108" s="28" t="n"/>
      <c r="I108" s="42">
        <f>IFERROR($F108*$G108,0)+IFERROR($H108,0)</f>
        <v/>
      </c>
      <c r="J108" s="18" t="n"/>
      <c r="K108" s="35">
        <f>IF($C108="","",IF(COUNTIF(Insumos!$I$5:$I$163,$B108&amp;" | "&amp;$C108)=0,"REVISAR: area+insumo no existe en el maestro","OK"))</f>
        <v/>
      </c>
    </row>
    <row r="109">
      <c r="A109" s="12" t="n"/>
      <c r="B109" s="18" t="n"/>
      <c r="C109" s="16" t="n"/>
      <c r="D109" s="18" t="n"/>
      <c r="E109" s="18" t="n"/>
      <c r="F109" s="28" t="n"/>
      <c r="G109" s="41">
        <f>IFERROR(INDEX(Insumos!$F$5:$F$163,MATCH($B109&amp;" | "&amp;$C109,Insumos!$I$5:$I$163,0)),"")</f>
        <v/>
      </c>
      <c r="H109" s="28" t="n"/>
      <c r="I109" s="42">
        <f>IFERROR($F109*$G109,0)+IFERROR($H109,0)</f>
        <v/>
      </c>
      <c r="J109" s="18" t="n"/>
      <c r="K109" s="35">
        <f>IF($C109="","",IF(COUNTIF(Insumos!$I$5:$I$163,$B109&amp;" | "&amp;$C109)=0,"REVISAR: area+insumo no existe en el maestro","OK"))</f>
        <v/>
      </c>
    </row>
    <row r="110">
      <c r="A110" s="12" t="n"/>
      <c r="B110" s="18" t="n"/>
      <c r="C110" s="16" t="n"/>
      <c r="D110" s="18" t="n"/>
      <c r="E110" s="18" t="n"/>
      <c r="F110" s="28" t="n"/>
      <c r="G110" s="41">
        <f>IFERROR(INDEX(Insumos!$F$5:$F$163,MATCH($B110&amp;" | "&amp;$C110,Insumos!$I$5:$I$163,0)),"")</f>
        <v/>
      </c>
      <c r="H110" s="28" t="n"/>
      <c r="I110" s="42">
        <f>IFERROR($F110*$G110,0)+IFERROR($H110,0)</f>
        <v/>
      </c>
      <c r="J110" s="18" t="n"/>
      <c r="K110" s="35">
        <f>IF($C110="","",IF(COUNTIF(Insumos!$I$5:$I$163,$B110&amp;" | "&amp;$C110)=0,"REVISAR: area+insumo no existe en el maestro","OK"))</f>
        <v/>
      </c>
    </row>
    <row r="111">
      <c r="A111" s="12" t="n"/>
      <c r="B111" s="18" t="n"/>
      <c r="C111" s="16" t="n"/>
      <c r="D111" s="18" t="n"/>
      <c r="E111" s="18" t="n"/>
      <c r="F111" s="28" t="n"/>
      <c r="G111" s="41">
        <f>IFERROR(INDEX(Insumos!$F$5:$F$163,MATCH($B111&amp;" | "&amp;$C111,Insumos!$I$5:$I$163,0)),"")</f>
        <v/>
      </c>
      <c r="H111" s="28" t="n"/>
      <c r="I111" s="42">
        <f>IFERROR($F111*$G111,0)+IFERROR($H111,0)</f>
        <v/>
      </c>
      <c r="J111" s="18" t="n"/>
      <c r="K111" s="35">
        <f>IF($C111="","",IF(COUNTIF(Insumos!$I$5:$I$163,$B111&amp;" | "&amp;$C111)=0,"REVISAR: area+insumo no existe en el maestro","OK"))</f>
        <v/>
      </c>
    </row>
    <row r="112">
      <c r="A112" s="12" t="n"/>
      <c r="B112" s="18" t="n"/>
      <c r="C112" s="16" t="n"/>
      <c r="D112" s="18" t="n"/>
      <c r="E112" s="18" t="n"/>
      <c r="F112" s="28" t="n"/>
      <c r="G112" s="41">
        <f>IFERROR(INDEX(Insumos!$F$5:$F$163,MATCH($B112&amp;" | "&amp;$C112,Insumos!$I$5:$I$163,0)),"")</f>
        <v/>
      </c>
      <c r="H112" s="28" t="n"/>
      <c r="I112" s="42">
        <f>IFERROR($F112*$G112,0)+IFERROR($H112,0)</f>
        <v/>
      </c>
      <c r="J112" s="18" t="n"/>
      <c r="K112" s="35">
        <f>IF($C112="","",IF(COUNTIF(Insumos!$I$5:$I$163,$B112&amp;" | "&amp;$C112)=0,"REVISAR: area+insumo no existe en el maestro","OK"))</f>
        <v/>
      </c>
    </row>
    <row r="113">
      <c r="A113" s="12" t="n"/>
      <c r="B113" s="18" t="n"/>
      <c r="C113" s="16" t="n"/>
      <c r="D113" s="18" t="n"/>
      <c r="E113" s="18" t="n"/>
      <c r="F113" s="28" t="n"/>
      <c r="G113" s="41">
        <f>IFERROR(INDEX(Insumos!$F$5:$F$163,MATCH($B113&amp;" | "&amp;$C113,Insumos!$I$5:$I$163,0)),"")</f>
        <v/>
      </c>
      <c r="H113" s="28" t="n"/>
      <c r="I113" s="42">
        <f>IFERROR($F113*$G113,0)+IFERROR($H113,0)</f>
        <v/>
      </c>
      <c r="J113" s="18" t="n"/>
      <c r="K113" s="35">
        <f>IF($C113="","",IF(COUNTIF(Insumos!$I$5:$I$163,$B113&amp;" | "&amp;$C113)=0,"REVISAR: area+insumo no existe en el maestro","OK"))</f>
        <v/>
      </c>
    </row>
    <row r="114">
      <c r="A114" s="12" t="n"/>
      <c r="B114" s="18" t="n"/>
      <c r="C114" s="16" t="n"/>
      <c r="D114" s="18" t="n"/>
      <c r="E114" s="18" t="n"/>
      <c r="F114" s="28" t="n"/>
      <c r="G114" s="41">
        <f>IFERROR(INDEX(Insumos!$F$5:$F$163,MATCH($B114&amp;" | "&amp;$C114,Insumos!$I$5:$I$163,0)),"")</f>
        <v/>
      </c>
      <c r="H114" s="28" t="n"/>
      <c r="I114" s="42">
        <f>IFERROR($F114*$G114,0)+IFERROR($H114,0)</f>
        <v/>
      </c>
      <c r="J114" s="18" t="n"/>
      <c r="K114" s="35">
        <f>IF($C114="","",IF(COUNTIF(Insumos!$I$5:$I$163,$B114&amp;" | "&amp;$C114)=0,"REVISAR: area+insumo no existe en el maestro","OK"))</f>
        <v/>
      </c>
    </row>
    <row r="115">
      <c r="A115" s="12" t="n"/>
      <c r="B115" s="18" t="n"/>
      <c r="C115" s="16" t="n"/>
      <c r="D115" s="18" t="n"/>
      <c r="E115" s="18" t="n"/>
      <c r="F115" s="28" t="n"/>
      <c r="G115" s="41">
        <f>IFERROR(INDEX(Insumos!$F$5:$F$163,MATCH($B115&amp;" | "&amp;$C115,Insumos!$I$5:$I$163,0)),"")</f>
        <v/>
      </c>
      <c r="H115" s="28" t="n"/>
      <c r="I115" s="42">
        <f>IFERROR($F115*$G115,0)+IFERROR($H115,0)</f>
        <v/>
      </c>
      <c r="J115" s="18" t="n"/>
      <c r="K115" s="35">
        <f>IF($C115="","",IF(COUNTIF(Insumos!$I$5:$I$163,$B115&amp;" | "&amp;$C115)=0,"REVISAR: area+insumo no existe en el maestro","OK"))</f>
        <v/>
      </c>
    </row>
    <row r="116">
      <c r="A116" s="12" t="n"/>
      <c r="B116" s="18" t="n"/>
      <c r="C116" s="16" t="n"/>
      <c r="D116" s="18" t="n"/>
      <c r="E116" s="18" t="n"/>
      <c r="F116" s="28" t="n"/>
      <c r="G116" s="41">
        <f>IFERROR(INDEX(Insumos!$F$5:$F$163,MATCH($B116&amp;" | "&amp;$C116,Insumos!$I$5:$I$163,0)),"")</f>
        <v/>
      </c>
      <c r="H116" s="28" t="n"/>
      <c r="I116" s="42">
        <f>IFERROR($F116*$G116,0)+IFERROR($H116,0)</f>
        <v/>
      </c>
      <c r="J116" s="18" t="n"/>
      <c r="K116" s="35">
        <f>IF($C116="","",IF(COUNTIF(Insumos!$I$5:$I$163,$B116&amp;" | "&amp;$C116)=0,"REVISAR: area+insumo no existe en el maestro","OK"))</f>
        <v/>
      </c>
    </row>
    <row r="117">
      <c r="A117" s="12" t="n"/>
      <c r="B117" s="18" t="n"/>
      <c r="C117" s="16" t="n"/>
      <c r="D117" s="18" t="n"/>
      <c r="E117" s="18" t="n"/>
      <c r="F117" s="28" t="n"/>
      <c r="G117" s="41">
        <f>IFERROR(INDEX(Insumos!$F$5:$F$163,MATCH($B117&amp;" | "&amp;$C117,Insumos!$I$5:$I$163,0)),"")</f>
        <v/>
      </c>
      <c r="H117" s="28" t="n"/>
      <c r="I117" s="42">
        <f>IFERROR($F117*$G117,0)+IFERROR($H117,0)</f>
        <v/>
      </c>
      <c r="J117" s="18" t="n"/>
      <c r="K117" s="35">
        <f>IF($C117="","",IF(COUNTIF(Insumos!$I$5:$I$163,$B117&amp;" | "&amp;$C117)=0,"REVISAR: area+insumo no existe en el maestro","OK"))</f>
        <v/>
      </c>
    </row>
    <row r="118">
      <c r="A118" s="12" t="n"/>
      <c r="B118" s="18" t="n"/>
      <c r="C118" s="16" t="n"/>
      <c r="D118" s="18" t="n"/>
      <c r="E118" s="18" t="n"/>
      <c r="F118" s="28" t="n"/>
      <c r="G118" s="41">
        <f>IFERROR(INDEX(Insumos!$F$5:$F$163,MATCH($B118&amp;" | "&amp;$C118,Insumos!$I$5:$I$163,0)),"")</f>
        <v/>
      </c>
      <c r="H118" s="28" t="n"/>
      <c r="I118" s="42">
        <f>IFERROR($F118*$G118,0)+IFERROR($H118,0)</f>
        <v/>
      </c>
      <c r="J118" s="18" t="n"/>
      <c r="K118" s="35">
        <f>IF($C118="","",IF(COUNTIF(Insumos!$I$5:$I$163,$B118&amp;" | "&amp;$C118)=0,"REVISAR: area+insumo no existe en el maestro","OK"))</f>
        <v/>
      </c>
    </row>
    <row r="119">
      <c r="A119" s="12" t="n"/>
      <c r="B119" s="18" t="n"/>
      <c r="C119" s="16" t="n"/>
      <c r="D119" s="18" t="n"/>
      <c r="E119" s="18" t="n"/>
      <c r="F119" s="28" t="n"/>
      <c r="G119" s="41">
        <f>IFERROR(INDEX(Insumos!$F$5:$F$163,MATCH($B119&amp;" | "&amp;$C119,Insumos!$I$5:$I$163,0)),"")</f>
        <v/>
      </c>
      <c r="H119" s="28" t="n"/>
      <c r="I119" s="42">
        <f>IFERROR($F119*$G119,0)+IFERROR($H119,0)</f>
        <v/>
      </c>
      <c r="J119" s="18" t="n"/>
      <c r="K119" s="35">
        <f>IF($C119="","",IF(COUNTIF(Insumos!$I$5:$I$163,$B119&amp;" | "&amp;$C119)=0,"REVISAR: area+insumo no existe en el maestro","OK"))</f>
        <v/>
      </c>
    </row>
    <row r="120">
      <c r="A120" s="12" t="n"/>
      <c r="B120" s="18" t="n"/>
      <c r="C120" s="16" t="n"/>
      <c r="D120" s="18" t="n"/>
      <c r="E120" s="18" t="n"/>
      <c r="F120" s="28" t="n"/>
      <c r="G120" s="41">
        <f>IFERROR(INDEX(Insumos!$F$5:$F$163,MATCH($B120&amp;" | "&amp;$C120,Insumos!$I$5:$I$163,0)),"")</f>
        <v/>
      </c>
      <c r="H120" s="28" t="n"/>
      <c r="I120" s="42">
        <f>IFERROR($F120*$G120,0)+IFERROR($H120,0)</f>
        <v/>
      </c>
      <c r="J120" s="18" t="n"/>
      <c r="K120" s="35">
        <f>IF($C120="","",IF(COUNTIF(Insumos!$I$5:$I$163,$B120&amp;" | "&amp;$C120)=0,"REVISAR: area+insumo no existe en el maestro","OK"))</f>
        <v/>
      </c>
    </row>
    <row r="121">
      <c r="A121" s="12" t="n"/>
      <c r="B121" s="18" t="n"/>
      <c r="C121" s="16" t="n"/>
      <c r="D121" s="18" t="n"/>
      <c r="E121" s="18" t="n"/>
      <c r="F121" s="28" t="n"/>
      <c r="G121" s="41">
        <f>IFERROR(INDEX(Insumos!$F$5:$F$163,MATCH($B121&amp;" | "&amp;$C121,Insumos!$I$5:$I$163,0)),"")</f>
        <v/>
      </c>
      <c r="H121" s="28" t="n"/>
      <c r="I121" s="42">
        <f>IFERROR($F121*$G121,0)+IFERROR($H121,0)</f>
        <v/>
      </c>
      <c r="J121" s="18" t="n"/>
      <c r="K121" s="35">
        <f>IF($C121="","",IF(COUNTIF(Insumos!$I$5:$I$163,$B121&amp;" | "&amp;$C121)=0,"REVISAR: area+insumo no existe en el maestro","OK"))</f>
        <v/>
      </c>
    </row>
    <row r="122">
      <c r="A122" s="12" t="n"/>
      <c r="B122" s="18" t="n"/>
      <c r="C122" s="16" t="n"/>
      <c r="D122" s="18" t="n"/>
      <c r="E122" s="18" t="n"/>
      <c r="F122" s="28" t="n"/>
      <c r="G122" s="41">
        <f>IFERROR(INDEX(Insumos!$F$5:$F$163,MATCH($B122&amp;" | "&amp;$C122,Insumos!$I$5:$I$163,0)),"")</f>
        <v/>
      </c>
      <c r="H122" s="28" t="n"/>
      <c r="I122" s="42">
        <f>IFERROR($F122*$G122,0)+IFERROR($H122,0)</f>
        <v/>
      </c>
      <c r="J122" s="18" t="n"/>
      <c r="K122" s="35">
        <f>IF($C122="","",IF(COUNTIF(Insumos!$I$5:$I$163,$B122&amp;" | "&amp;$C122)=0,"REVISAR: area+insumo no existe en el maestro","OK"))</f>
        <v/>
      </c>
    </row>
    <row r="123">
      <c r="A123" s="12" t="n"/>
      <c r="B123" s="18" t="n"/>
      <c r="C123" s="16" t="n"/>
      <c r="D123" s="18" t="n"/>
      <c r="E123" s="18" t="n"/>
      <c r="F123" s="28" t="n"/>
      <c r="G123" s="41">
        <f>IFERROR(INDEX(Insumos!$F$5:$F$163,MATCH($B123&amp;" | "&amp;$C123,Insumos!$I$5:$I$163,0)),"")</f>
        <v/>
      </c>
      <c r="H123" s="28" t="n"/>
      <c r="I123" s="42">
        <f>IFERROR($F123*$G123,0)+IFERROR($H123,0)</f>
        <v/>
      </c>
      <c r="J123" s="18" t="n"/>
      <c r="K123" s="35">
        <f>IF($C123="","",IF(COUNTIF(Insumos!$I$5:$I$163,$B123&amp;" | "&amp;$C123)=0,"REVISAR: area+insumo no existe en el maestro","OK"))</f>
        <v/>
      </c>
    </row>
    <row r="124">
      <c r="A124" s="12" t="n"/>
      <c r="B124" s="18" t="n"/>
      <c r="C124" s="16" t="n"/>
      <c r="D124" s="18" t="n"/>
      <c r="E124" s="18" t="n"/>
      <c r="F124" s="28" t="n"/>
      <c r="G124" s="41">
        <f>IFERROR(INDEX(Insumos!$F$5:$F$163,MATCH($B124&amp;" | "&amp;$C124,Insumos!$I$5:$I$163,0)),"")</f>
        <v/>
      </c>
      <c r="H124" s="28" t="n"/>
      <c r="I124" s="42">
        <f>IFERROR($F124*$G124,0)+IFERROR($H124,0)</f>
        <v/>
      </c>
      <c r="J124" s="18" t="n"/>
      <c r="K124" s="35">
        <f>IF($C124="","",IF(COUNTIF(Insumos!$I$5:$I$163,$B124&amp;" | "&amp;$C124)=0,"REVISAR: area+insumo no existe en el maestro","OK"))</f>
        <v/>
      </c>
    </row>
    <row r="125">
      <c r="A125" s="12" t="n"/>
      <c r="B125" s="18" t="n"/>
      <c r="C125" s="16" t="n"/>
      <c r="D125" s="18" t="n"/>
      <c r="E125" s="18" t="n"/>
      <c r="F125" s="28" t="n"/>
      <c r="G125" s="41">
        <f>IFERROR(INDEX(Insumos!$F$5:$F$163,MATCH($B125&amp;" | "&amp;$C125,Insumos!$I$5:$I$163,0)),"")</f>
        <v/>
      </c>
      <c r="H125" s="28" t="n"/>
      <c r="I125" s="42">
        <f>IFERROR($F125*$G125,0)+IFERROR($H125,0)</f>
        <v/>
      </c>
      <c r="J125" s="18" t="n"/>
      <c r="K125" s="35">
        <f>IF($C125="","",IF(COUNTIF(Insumos!$I$5:$I$163,$B125&amp;" | "&amp;$C125)=0,"REVISAR: area+insumo no existe en el maestro","OK"))</f>
        <v/>
      </c>
    </row>
    <row r="126">
      <c r="A126" s="12" t="n"/>
      <c r="B126" s="18" t="n"/>
      <c r="C126" s="16" t="n"/>
      <c r="D126" s="18" t="n"/>
      <c r="E126" s="18" t="n"/>
      <c r="F126" s="28" t="n"/>
      <c r="G126" s="41">
        <f>IFERROR(INDEX(Insumos!$F$5:$F$163,MATCH($B126&amp;" | "&amp;$C126,Insumos!$I$5:$I$163,0)),"")</f>
        <v/>
      </c>
      <c r="H126" s="28" t="n"/>
      <c r="I126" s="42">
        <f>IFERROR($F126*$G126,0)+IFERROR($H126,0)</f>
        <v/>
      </c>
      <c r="J126" s="18" t="n"/>
      <c r="K126" s="35">
        <f>IF($C126="","",IF(COUNTIF(Insumos!$I$5:$I$163,$B126&amp;" | "&amp;$C126)=0,"REVISAR: area+insumo no existe en el maestro","OK"))</f>
        <v/>
      </c>
    </row>
    <row r="127">
      <c r="A127" s="12" t="n"/>
      <c r="B127" s="18" t="n"/>
      <c r="C127" s="16" t="n"/>
      <c r="D127" s="18" t="n"/>
      <c r="E127" s="18" t="n"/>
      <c r="F127" s="28" t="n"/>
      <c r="G127" s="41">
        <f>IFERROR(INDEX(Insumos!$F$5:$F$163,MATCH($B127&amp;" | "&amp;$C127,Insumos!$I$5:$I$163,0)),"")</f>
        <v/>
      </c>
      <c r="H127" s="28" t="n"/>
      <c r="I127" s="42">
        <f>IFERROR($F127*$G127,0)+IFERROR($H127,0)</f>
        <v/>
      </c>
      <c r="J127" s="18" t="n"/>
      <c r="K127" s="35">
        <f>IF($C127="","",IF(COUNTIF(Insumos!$I$5:$I$163,$B127&amp;" | "&amp;$C127)=0,"REVISAR: area+insumo no existe en el maestro","OK"))</f>
        <v/>
      </c>
    </row>
    <row r="128">
      <c r="A128" s="12" t="n"/>
      <c r="B128" s="18" t="n"/>
      <c r="C128" s="16" t="n"/>
      <c r="D128" s="18" t="n"/>
      <c r="E128" s="18" t="n"/>
      <c r="F128" s="28" t="n"/>
      <c r="G128" s="41">
        <f>IFERROR(INDEX(Insumos!$F$5:$F$163,MATCH($B128&amp;" | "&amp;$C128,Insumos!$I$5:$I$163,0)),"")</f>
        <v/>
      </c>
      <c r="H128" s="28" t="n"/>
      <c r="I128" s="42">
        <f>IFERROR($F128*$G128,0)+IFERROR($H128,0)</f>
        <v/>
      </c>
      <c r="J128" s="18" t="n"/>
      <c r="K128" s="35">
        <f>IF($C128="","",IF(COUNTIF(Insumos!$I$5:$I$163,$B128&amp;" | "&amp;$C128)=0,"REVISAR: area+insumo no existe en el maestro","OK"))</f>
        <v/>
      </c>
    </row>
    <row r="129">
      <c r="A129" s="12" t="n"/>
      <c r="B129" s="18" t="n"/>
      <c r="C129" s="16" t="n"/>
      <c r="D129" s="18" t="n"/>
      <c r="E129" s="18" t="n"/>
      <c r="F129" s="28" t="n"/>
      <c r="G129" s="41">
        <f>IFERROR(INDEX(Insumos!$F$5:$F$163,MATCH($B129&amp;" | "&amp;$C129,Insumos!$I$5:$I$163,0)),"")</f>
        <v/>
      </c>
      <c r="H129" s="28" t="n"/>
      <c r="I129" s="42">
        <f>IFERROR($F129*$G129,0)+IFERROR($H129,0)</f>
        <v/>
      </c>
      <c r="J129" s="18" t="n"/>
      <c r="K129" s="35">
        <f>IF($C129="","",IF(COUNTIF(Insumos!$I$5:$I$163,$B129&amp;" | "&amp;$C129)=0,"REVISAR: area+insumo no existe en el maestro","OK"))</f>
        <v/>
      </c>
    </row>
    <row r="130">
      <c r="A130" s="12" t="n"/>
      <c r="B130" s="18" t="n"/>
      <c r="C130" s="16" t="n"/>
      <c r="D130" s="18" t="n"/>
      <c r="E130" s="18" t="n"/>
      <c r="F130" s="28" t="n"/>
      <c r="G130" s="41">
        <f>IFERROR(INDEX(Insumos!$F$5:$F$163,MATCH($B130&amp;" | "&amp;$C130,Insumos!$I$5:$I$163,0)),"")</f>
        <v/>
      </c>
      <c r="H130" s="28" t="n"/>
      <c r="I130" s="42">
        <f>IFERROR($F130*$G130,0)+IFERROR($H130,0)</f>
        <v/>
      </c>
      <c r="J130" s="18" t="n"/>
      <c r="K130" s="35">
        <f>IF($C130="","",IF(COUNTIF(Insumos!$I$5:$I$163,$B130&amp;" | "&amp;$C130)=0,"REVISAR: area+insumo no existe en el maestro","OK"))</f>
        <v/>
      </c>
    </row>
    <row r="131">
      <c r="A131" s="12" t="n"/>
      <c r="B131" s="18" t="n"/>
      <c r="C131" s="16" t="n"/>
      <c r="D131" s="18" t="n"/>
      <c r="E131" s="18" t="n"/>
      <c r="F131" s="28" t="n"/>
      <c r="G131" s="41">
        <f>IFERROR(INDEX(Insumos!$F$5:$F$163,MATCH($B131&amp;" | "&amp;$C131,Insumos!$I$5:$I$163,0)),"")</f>
        <v/>
      </c>
      <c r="H131" s="28" t="n"/>
      <c r="I131" s="42">
        <f>IFERROR($F131*$G131,0)+IFERROR($H131,0)</f>
        <v/>
      </c>
      <c r="J131" s="18" t="n"/>
      <c r="K131" s="35">
        <f>IF($C131="","",IF(COUNTIF(Insumos!$I$5:$I$163,$B131&amp;" | "&amp;$C131)=0,"REVISAR: area+insumo no existe en el maestro","OK"))</f>
        <v/>
      </c>
    </row>
    <row r="132">
      <c r="A132" s="12" t="n"/>
      <c r="B132" s="18" t="n"/>
      <c r="C132" s="16" t="n"/>
      <c r="D132" s="18" t="n"/>
      <c r="E132" s="18" t="n"/>
      <c r="F132" s="28" t="n"/>
      <c r="G132" s="41">
        <f>IFERROR(INDEX(Insumos!$F$5:$F$163,MATCH($B132&amp;" | "&amp;$C132,Insumos!$I$5:$I$163,0)),"")</f>
        <v/>
      </c>
      <c r="H132" s="28" t="n"/>
      <c r="I132" s="42">
        <f>IFERROR($F132*$G132,0)+IFERROR($H132,0)</f>
        <v/>
      </c>
      <c r="J132" s="18" t="n"/>
      <c r="K132" s="35">
        <f>IF($C132="","",IF(COUNTIF(Insumos!$I$5:$I$163,$B132&amp;" | "&amp;$C132)=0,"REVISAR: area+insumo no existe en el maestro","OK"))</f>
        <v/>
      </c>
    </row>
    <row r="133">
      <c r="A133" s="12" t="n"/>
      <c r="B133" s="18" t="n"/>
      <c r="C133" s="16" t="n"/>
      <c r="D133" s="18" t="n"/>
      <c r="E133" s="18" t="n"/>
      <c r="F133" s="28" t="n"/>
      <c r="G133" s="41">
        <f>IFERROR(INDEX(Insumos!$F$5:$F$163,MATCH($B133&amp;" | "&amp;$C133,Insumos!$I$5:$I$163,0)),"")</f>
        <v/>
      </c>
      <c r="H133" s="28" t="n"/>
      <c r="I133" s="42">
        <f>IFERROR($F133*$G133,0)+IFERROR($H133,0)</f>
        <v/>
      </c>
      <c r="J133" s="18" t="n"/>
      <c r="K133" s="35">
        <f>IF($C133="","",IF(COUNTIF(Insumos!$I$5:$I$163,$B133&amp;" | "&amp;$C133)=0,"REVISAR: area+insumo no existe en el maestro","OK"))</f>
        <v/>
      </c>
    </row>
    <row r="134">
      <c r="A134" s="12" t="n"/>
      <c r="B134" s="18" t="n"/>
      <c r="C134" s="16" t="n"/>
      <c r="D134" s="18" t="n"/>
      <c r="E134" s="18" t="n"/>
      <c r="F134" s="28" t="n"/>
      <c r="G134" s="41">
        <f>IFERROR(INDEX(Insumos!$F$5:$F$163,MATCH($B134&amp;" | "&amp;$C134,Insumos!$I$5:$I$163,0)),"")</f>
        <v/>
      </c>
      <c r="H134" s="28" t="n"/>
      <c r="I134" s="42">
        <f>IFERROR($F134*$G134,0)+IFERROR($H134,0)</f>
        <v/>
      </c>
      <c r="J134" s="18" t="n"/>
      <c r="K134" s="35">
        <f>IF($C134="","",IF(COUNTIF(Insumos!$I$5:$I$163,$B134&amp;" | "&amp;$C134)=0,"REVISAR: area+insumo no existe en el maestro","OK"))</f>
        <v/>
      </c>
    </row>
    <row r="135">
      <c r="A135" s="12" t="n"/>
      <c r="B135" s="18" t="n"/>
      <c r="C135" s="16" t="n"/>
      <c r="D135" s="18" t="n"/>
      <c r="E135" s="18" t="n"/>
      <c r="F135" s="28" t="n"/>
      <c r="G135" s="41">
        <f>IFERROR(INDEX(Insumos!$F$5:$F$163,MATCH($B135&amp;" | "&amp;$C135,Insumos!$I$5:$I$163,0)),"")</f>
        <v/>
      </c>
      <c r="H135" s="28" t="n"/>
      <c r="I135" s="42">
        <f>IFERROR($F135*$G135,0)+IFERROR($H135,0)</f>
        <v/>
      </c>
      <c r="J135" s="18" t="n"/>
      <c r="K135" s="35">
        <f>IF($C135="","",IF(COUNTIF(Insumos!$I$5:$I$163,$B135&amp;" | "&amp;$C135)=0,"REVISAR: area+insumo no existe en el maestro","OK"))</f>
        <v/>
      </c>
    </row>
    <row r="136">
      <c r="A136" s="12" t="n"/>
      <c r="B136" s="18" t="n"/>
      <c r="C136" s="16" t="n"/>
      <c r="D136" s="18" t="n"/>
      <c r="E136" s="18" t="n"/>
      <c r="F136" s="28" t="n"/>
      <c r="G136" s="41">
        <f>IFERROR(INDEX(Insumos!$F$5:$F$163,MATCH($B136&amp;" | "&amp;$C136,Insumos!$I$5:$I$163,0)),"")</f>
        <v/>
      </c>
      <c r="H136" s="28" t="n"/>
      <c r="I136" s="42">
        <f>IFERROR($F136*$G136,0)+IFERROR($H136,0)</f>
        <v/>
      </c>
      <c r="J136" s="18" t="n"/>
      <c r="K136" s="35">
        <f>IF($C136="","",IF(COUNTIF(Insumos!$I$5:$I$163,$B136&amp;" | "&amp;$C136)=0,"REVISAR: area+insumo no existe en el maestro","OK"))</f>
        <v/>
      </c>
    </row>
    <row r="137">
      <c r="A137" s="12" t="n"/>
      <c r="B137" s="18" t="n"/>
      <c r="C137" s="16" t="n"/>
      <c r="D137" s="18" t="n"/>
      <c r="E137" s="18" t="n"/>
      <c r="F137" s="28" t="n"/>
      <c r="G137" s="41">
        <f>IFERROR(INDEX(Insumos!$F$5:$F$163,MATCH($B137&amp;" | "&amp;$C137,Insumos!$I$5:$I$163,0)),"")</f>
        <v/>
      </c>
      <c r="H137" s="28" t="n"/>
      <c r="I137" s="42">
        <f>IFERROR($F137*$G137,0)+IFERROR($H137,0)</f>
        <v/>
      </c>
      <c r="J137" s="18" t="n"/>
      <c r="K137" s="35">
        <f>IF($C137="","",IF(COUNTIF(Insumos!$I$5:$I$163,$B137&amp;" | "&amp;$C137)=0,"REVISAR: area+insumo no existe en el maestro","OK"))</f>
        <v/>
      </c>
    </row>
    <row r="138">
      <c r="A138" s="12" t="n"/>
      <c r="B138" s="18" t="n"/>
      <c r="C138" s="16" t="n"/>
      <c r="D138" s="18" t="n"/>
      <c r="E138" s="18" t="n"/>
      <c r="F138" s="28" t="n"/>
      <c r="G138" s="41">
        <f>IFERROR(INDEX(Insumos!$F$5:$F$163,MATCH($B138&amp;" | "&amp;$C138,Insumos!$I$5:$I$163,0)),"")</f>
        <v/>
      </c>
      <c r="H138" s="28" t="n"/>
      <c r="I138" s="42">
        <f>IFERROR($F138*$G138,0)+IFERROR($H138,0)</f>
        <v/>
      </c>
      <c r="J138" s="18" t="n"/>
      <c r="K138" s="35">
        <f>IF($C138="","",IF(COUNTIF(Insumos!$I$5:$I$163,$B138&amp;" | "&amp;$C138)=0,"REVISAR: area+insumo no existe en el maestro","OK"))</f>
        <v/>
      </c>
    </row>
    <row r="139">
      <c r="A139" s="12" t="n"/>
      <c r="B139" s="18" t="n"/>
      <c r="C139" s="16" t="n"/>
      <c r="D139" s="18" t="n"/>
      <c r="E139" s="18" t="n"/>
      <c r="F139" s="28" t="n"/>
      <c r="G139" s="41">
        <f>IFERROR(INDEX(Insumos!$F$5:$F$163,MATCH($B139&amp;" | "&amp;$C139,Insumos!$I$5:$I$163,0)),"")</f>
        <v/>
      </c>
      <c r="H139" s="28" t="n"/>
      <c r="I139" s="42">
        <f>IFERROR($F139*$G139,0)+IFERROR($H139,0)</f>
        <v/>
      </c>
      <c r="J139" s="18" t="n"/>
      <c r="K139" s="35">
        <f>IF($C139="","",IF(COUNTIF(Insumos!$I$5:$I$163,$B139&amp;" | "&amp;$C139)=0,"REVISAR: area+insumo no existe en el maestro","OK"))</f>
        <v/>
      </c>
    </row>
    <row r="140">
      <c r="A140" s="12" t="n"/>
      <c r="B140" s="18" t="n"/>
      <c r="C140" s="16" t="n"/>
      <c r="D140" s="18" t="n"/>
      <c r="E140" s="18" t="n"/>
      <c r="F140" s="28" t="n"/>
      <c r="G140" s="41">
        <f>IFERROR(INDEX(Insumos!$F$5:$F$163,MATCH($B140&amp;" | "&amp;$C140,Insumos!$I$5:$I$163,0)),"")</f>
        <v/>
      </c>
      <c r="H140" s="28" t="n"/>
      <c r="I140" s="42">
        <f>IFERROR($F140*$G140,0)+IFERROR($H140,0)</f>
        <v/>
      </c>
      <c r="J140" s="18" t="n"/>
      <c r="K140" s="35">
        <f>IF($C140="","",IF(COUNTIF(Insumos!$I$5:$I$163,$B140&amp;" | "&amp;$C140)=0,"REVISAR: area+insumo no existe en el maestro","OK"))</f>
        <v/>
      </c>
    </row>
    <row r="141">
      <c r="A141" s="12" t="n"/>
      <c r="B141" s="18" t="n"/>
      <c r="C141" s="16" t="n"/>
      <c r="D141" s="18" t="n"/>
      <c r="E141" s="18" t="n"/>
      <c r="F141" s="28" t="n"/>
      <c r="G141" s="41">
        <f>IFERROR(INDEX(Insumos!$F$5:$F$163,MATCH($B141&amp;" | "&amp;$C141,Insumos!$I$5:$I$163,0)),"")</f>
        <v/>
      </c>
      <c r="H141" s="28" t="n"/>
      <c r="I141" s="42">
        <f>IFERROR($F141*$G141,0)+IFERROR($H141,0)</f>
        <v/>
      </c>
      <c r="J141" s="18" t="n"/>
      <c r="K141" s="35">
        <f>IF($C141="","",IF(COUNTIF(Insumos!$I$5:$I$163,$B141&amp;" | "&amp;$C141)=0,"REVISAR: area+insumo no existe en el maestro","OK"))</f>
        <v/>
      </c>
    </row>
    <row r="142">
      <c r="A142" s="12" t="n"/>
      <c r="B142" s="18" t="n"/>
      <c r="C142" s="16" t="n"/>
      <c r="D142" s="18" t="n"/>
      <c r="E142" s="18" t="n"/>
      <c r="F142" s="28" t="n"/>
      <c r="G142" s="41">
        <f>IFERROR(INDEX(Insumos!$F$5:$F$163,MATCH($B142&amp;" | "&amp;$C142,Insumos!$I$5:$I$163,0)),"")</f>
        <v/>
      </c>
      <c r="H142" s="28" t="n"/>
      <c r="I142" s="42">
        <f>IFERROR($F142*$G142,0)+IFERROR($H142,0)</f>
        <v/>
      </c>
      <c r="J142" s="18" t="n"/>
      <c r="K142" s="35">
        <f>IF($C142="","",IF(COUNTIF(Insumos!$I$5:$I$163,$B142&amp;" | "&amp;$C142)=0,"REVISAR: area+insumo no existe en el maestro","OK"))</f>
        <v/>
      </c>
    </row>
    <row r="143">
      <c r="A143" s="12" t="n"/>
      <c r="B143" s="18" t="n"/>
      <c r="C143" s="16" t="n"/>
      <c r="D143" s="18" t="n"/>
      <c r="E143" s="18" t="n"/>
      <c r="F143" s="28" t="n"/>
      <c r="G143" s="41">
        <f>IFERROR(INDEX(Insumos!$F$5:$F$163,MATCH($B143&amp;" | "&amp;$C143,Insumos!$I$5:$I$163,0)),"")</f>
        <v/>
      </c>
      <c r="H143" s="28" t="n"/>
      <c r="I143" s="42">
        <f>IFERROR($F143*$G143,0)+IFERROR($H143,0)</f>
        <v/>
      </c>
      <c r="J143" s="18" t="n"/>
      <c r="K143" s="35">
        <f>IF($C143="","",IF(COUNTIF(Insumos!$I$5:$I$163,$B143&amp;" | "&amp;$C143)=0,"REVISAR: area+insumo no existe en el maestro","OK"))</f>
        <v/>
      </c>
    </row>
    <row r="144">
      <c r="A144" s="12" t="n"/>
      <c r="B144" s="18" t="n"/>
      <c r="C144" s="16" t="n"/>
      <c r="D144" s="18" t="n"/>
      <c r="E144" s="18" t="n"/>
      <c r="F144" s="28" t="n"/>
      <c r="G144" s="41">
        <f>IFERROR(INDEX(Insumos!$F$5:$F$163,MATCH($B144&amp;" | "&amp;$C144,Insumos!$I$5:$I$163,0)),"")</f>
        <v/>
      </c>
      <c r="H144" s="28" t="n"/>
      <c r="I144" s="42">
        <f>IFERROR($F144*$G144,0)+IFERROR($H144,0)</f>
        <v/>
      </c>
      <c r="J144" s="18" t="n"/>
      <c r="K144" s="35">
        <f>IF($C144="","",IF(COUNTIF(Insumos!$I$5:$I$163,$B144&amp;" | "&amp;$C144)=0,"REVISAR: area+insumo no existe en el maestro","OK"))</f>
        <v/>
      </c>
    </row>
    <row r="145">
      <c r="A145" s="12" t="n"/>
      <c r="B145" s="18" t="n"/>
      <c r="C145" s="16" t="n"/>
      <c r="D145" s="18" t="n"/>
      <c r="E145" s="18" t="n"/>
      <c r="F145" s="28" t="n"/>
      <c r="G145" s="41">
        <f>IFERROR(INDEX(Insumos!$F$5:$F$163,MATCH($B145&amp;" | "&amp;$C145,Insumos!$I$5:$I$163,0)),"")</f>
        <v/>
      </c>
      <c r="H145" s="28" t="n"/>
      <c r="I145" s="42">
        <f>IFERROR($F145*$G145,0)+IFERROR($H145,0)</f>
        <v/>
      </c>
      <c r="J145" s="18" t="n"/>
      <c r="K145" s="35">
        <f>IF($C145="","",IF(COUNTIF(Insumos!$I$5:$I$163,$B145&amp;" | "&amp;$C145)=0,"REVISAR: area+insumo no existe en el maestro","OK"))</f>
        <v/>
      </c>
    </row>
    <row r="146">
      <c r="A146" s="12" t="n"/>
      <c r="B146" s="18" t="n"/>
      <c r="C146" s="16" t="n"/>
      <c r="D146" s="18" t="n"/>
      <c r="E146" s="18" t="n"/>
      <c r="F146" s="28" t="n"/>
      <c r="G146" s="41">
        <f>IFERROR(INDEX(Insumos!$F$5:$F$163,MATCH($B146&amp;" | "&amp;$C146,Insumos!$I$5:$I$163,0)),"")</f>
        <v/>
      </c>
      <c r="H146" s="28" t="n"/>
      <c r="I146" s="42">
        <f>IFERROR($F146*$G146,0)+IFERROR($H146,0)</f>
        <v/>
      </c>
      <c r="J146" s="18" t="n"/>
      <c r="K146" s="35">
        <f>IF($C146="","",IF(COUNTIF(Insumos!$I$5:$I$163,$B146&amp;" | "&amp;$C146)=0,"REVISAR: area+insumo no existe en el maestro","OK"))</f>
        <v/>
      </c>
    </row>
    <row r="147">
      <c r="A147" s="12" t="n"/>
      <c r="B147" s="18" t="n"/>
      <c r="C147" s="16" t="n"/>
      <c r="D147" s="18" t="n"/>
      <c r="E147" s="18" t="n"/>
      <c r="F147" s="28" t="n"/>
      <c r="G147" s="41">
        <f>IFERROR(INDEX(Insumos!$F$5:$F$163,MATCH($B147&amp;" | "&amp;$C147,Insumos!$I$5:$I$163,0)),"")</f>
        <v/>
      </c>
      <c r="H147" s="28" t="n"/>
      <c r="I147" s="42">
        <f>IFERROR($F147*$G147,0)+IFERROR($H147,0)</f>
        <v/>
      </c>
      <c r="J147" s="18" t="n"/>
      <c r="K147" s="35">
        <f>IF($C147="","",IF(COUNTIF(Insumos!$I$5:$I$163,$B147&amp;" | "&amp;$C147)=0,"REVISAR: area+insumo no existe en el maestro","OK"))</f>
        <v/>
      </c>
    </row>
    <row r="148">
      <c r="A148" s="12" t="n"/>
      <c r="B148" s="18" t="n"/>
      <c r="C148" s="16" t="n"/>
      <c r="D148" s="18" t="n"/>
      <c r="E148" s="18" t="n"/>
      <c r="F148" s="28" t="n"/>
      <c r="G148" s="41">
        <f>IFERROR(INDEX(Insumos!$F$5:$F$163,MATCH($B148&amp;" | "&amp;$C148,Insumos!$I$5:$I$163,0)),"")</f>
        <v/>
      </c>
      <c r="H148" s="28" t="n"/>
      <c r="I148" s="42">
        <f>IFERROR($F148*$G148,0)+IFERROR($H148,0)</f>
        <v/>
      </c>
      <c r="J148" s="18" t="n"/>
      <c r="K148" s="35">
        <f>IF($C148="","",IF(COUNTIF(Insumos!$I$5:$I$163,$B148&amp;" | "&amp;$C148)=0,"REVISAR: area+insumo no existe en el maestro","OK"))</f>
        <v/>
      </c>
    </row>
    <row r="149">
      <c r="A149" s="12" t="n"/>
      <c r="B149" s="18" t="n"/>
      <c r="C149" s="16" t="n"/>
      <c r="D149" s="18" t="n"/>
      <c r="E149" s="18" t="n"/>
      <c r="F149" s="28" t="n"/>
      <c r="G149" s="41">
        <f>IFERROR(INDEX(Insumos!$F$5:$F$163,MATCH($B149&amp;" | "&amp;$C149,Insumos!$I$5:$I$163,0)),"")</f>
        <v/>
      </c>
      <c r="H149" s="28" t="n"/>
      <c r="I149" s="42">
        <f>IFERROR($F149*$G149,0)+IFERROR($H149,0)</f>
        <v/>
      </c>
      <c r="J149" s="18" t="n"/>
      <c r="K149" s="35">
        <f>IF($C149="","",IF(COUNTIF(Insumos!$I$5:$I$163,$B149&amp;" | "&amp;$C149)=0,"REVISAR: area+insumo no existe en el maestro","OK"))</f>
        <v/>
      </c>
    </row>
    <row r="150">
      <c r="A150" s="12" t="n"/>
      <c r="B150" s="18" t="n"/>
      <c r="C150" s="16" t="n"/>
      <c r="D150" s="18" t="n"/>
      <c r="E150" s="18" t="n"/>
      <c r="F150" s="28" t="n"/>
      <c r="G150" s="41">
        <f>IFERROR(INDEX(Insumos!$F$5:$F$163,MATCH($B150&amp;" | "&amp;$C150,Insumos!$I$5:$I$163,0)),"")</f>
        <v/>
      </c>
      <c r="H150" s="28" t="n"/>
      <c r="I150" s="42">
        <f>IFERROR($F150*$G150,0)+IFERROR($H150,0)</f>
        <v/>
      </c>
      <c r="J150" s="18" t="n"/>
      <c r="K150" s="35">
        <f>IF($C150="","",IF(COUNTIF(Insumos!$I$5:$I$163,$B150&amp;" | "&amp;$C150)=0,"REVISAR: area+insumo no existe en el maestro","OK"))</f>
        <v/>
      </c>
    </row>
    <row r="151">
      <c r="A151" s="12" t="n"/>
      <c r="B151" s="18" t="n"/>
      <c r="C151" s="16" t="n"/>
      <c r="D151" s="18" t="n"/>
      <c r="E151" s="18" t="n"/>
      <c r="F151" s="28" t="n"/>
      <c r="G151" s="41">
        <f>IFERROR(INDEX(Insumos!$F$5:$F$163,MATCH($B151&amp;" | "&amp;$C151,Insumos!$I$5:$I$163,0)),"")</f>
        <v/>
      </c>
      <c r="H151" s="28" t="n"/>
      <c r="I151" s="42">
        <f>IFERROR($F151*$G151,0)+IFERROR($H151,0)</f>
        <v/>
      </c>
      <c r="J151" s="18" t="n"/>
      <c r="K151" s="35">
        <f>IF($C151="","",IF(COUNTIF(Insumos!$I$5:$I$163,$B151&amp;" | "&amp;$C151)=0,"REVISAR: area+insumo no existe en el maestro","OK"))</f>
        <v/>
      </c>
    </row>
    <row r="152">
      <c r="A152" s="12" t="n"/>
      <c r="B152" s="18" t="n"/>
      <c r="C152" s="16" t="n"/>
      <c r="D152" s="18" t="n"/>
      <c r="E152" s="18" t="n"/>
      <c r="F152" s="28" t="n"/>
      <c r="G152" s="41">
        <f>IFERROR(INDEX(Insumos!$F$5:$F$163,MATCH($B152&amp;" | "&amp;$C152,Insumos!$I$5:$I$163,0)),"")</f>
        <v/>
      </c>
      <c r="H152" s="28" t="n"/>
      <c r="I152" s="42">
        <f>IFERROR($F152*$G152,0)+IFERROR($H152,0)</f>
        <v/>
      </c>
      <c r="J152" s="18" t="n"/>
      <c r="K152" s="35">
        <f>IF($C152="","",IF(COUNTIF(Insumos!$I$5:$I$163,$B152&amp;" | "&amp;$C152)=0,"REVISAR: area+insumo no existe en el maestro","OK"))</f>
        <v/>
      </c>
    </row>
    <row r="153">
      <c r="A153" s="12" t="n"/>
      <c r="B153" s="18" t="n"/>
      <c r="C153" s="16" t="n"/>
      <c r="D153" s="18" t="n"/>
      <c r="E153" s="18" t="n"/>
      <c r="F153" s="28" t="n"/>
      <c r="G153" s="41">
        <f>IFERROR(INDEX(Insumos!$F$5:$F$163,MATCH($B153&amp;" | "&amp;$C153,Insumos!$I$5:$I$163,0)),"")</f>
        <v/>
      </c>
      <c r="H153" s="28" t="n"/>
      <c r="I153" s="42">
        <f>IFERROR($F153*$G153,0)+IFERROR($H153,0)</f>
        <v/>
      </c>
      <c r="J153" s="18" t="n"/>
      <c r="K153" s="35">
        <f>IF($C153="","",IF(COUNTIF(Insumos!$I$5:$I$163,$B153&amp;" | "&amp;$C153)=0,"REVISAR: area+insumo no existe en el maestro","OK"))</f>
        <v/>
      </c>
    </row>
    <row r="154">
      <c r="A154" s="12" t="n"/>
      <c r="B154" s="18" t="n"/>
      <c r="C154" s="16" t="n"/>
      <c r="D154" s="18" t="n"/>
      <c r="E154" s="18" t="n"/>
      <c r="F154" s="28" t="n"/>
      <c r="G154" s="41">
        <f>IFERROR(INDEX(Insumos!$F$5:$F$163,MATCH($B154&amp;" | "&amp;$C154,Insumos!$I$5:$I$163,0)),"")</f>
        <v/>
      </c>
      <c r="H154" s="28" t="n"/>
      <c r="I154" s="42">
        <f>IFERROR($F154*$G154,0)+IFERROR($H154,0)</f>
        <v/>
      </c>
      <c r="J154" s="18" t="n"/>
      <c r="K154" s="35">
        <f>IF($C154="","",IF(COUNTIF(Insumos!$I$5:$I$163,$B154&amp;" | "&amp;$C154)=0,"REVISAR: area+insumo no existe en el maestro","OK"))</f>
        <v/>
      </c>
    </row>
    <row r="155">
      <c r="A155" s="12" t="n"/>
      <c r="B155" s="18" t="n"/>
      <c r="C155" s="16" t="n"/>
      <c r="D155" s="18" t="n"/>
      <c r="E155" s="18" t="n"/>
      <c r="F155" s="28" t="n"/>
      <c r="G155" s="41">
        <f>IFERROR(INDEX(Insumos!$F$5:$F$163,MATCH($B155&amp;" | "&amp;$C155,Insumos!$I$5:$I$163,0)),"")</f>
        <v/>
      </c>
      <c r="H155" s="28" t="n"/>
      <c r="I155" s="42">
        <f>IFERROR($F155*$G155,0)+IFERROR($H155,0)</f>
        <v/>
      </c>
      <c r="J155" s="18" t="n"/>
      <c r="K155" s="35">
        <f>IF($C155="","",IF(COUNTIF(Insumos!$I$5:$I$163,$B155&amp;" | "&amp;$C155)=0,"REVISAR: area+insumo no existe en el maestro","OK"))</f>
        <v/>
      </c>
    </row>
    <row r="156">
      <c r="A156" s="12" t="n"/>
      <c r="B156" s="18" t="n"/>
      <c r="C156" s="16" t="n"/>
      <c r="D156" s="18" t="n"/>
      <c r="E156" s="18" t="n"/>
      <c r="F156" s="28" t="n"/>
      <c r="G156" s="41">
        <f>IFERROR(INDEX(Insumos!$F$5:$F$163,MATCH($B156&amp;" | "&amp;$C156,Insumos!$I$5:$I$163,0)),"")</f>
        <v/>
      </c>
      <c r="H156" s="28" t="n"/>
      <c r="I156" s="42">
        <f>IFERROR($F156*$G156,0)+IFERROR($H156,0)</f>
        <v/>
      </c>
      <c r="J156" s="18" t="n"/>
      <c r="K156" s="35">
        <f>IF($C156="","",IF(COUNTIF(Insumos!$I$5:$I$163,$B156&amp;" | "&amp;$C156)=0,"REVISAR: area+insumo no existe en el maestro","OK"))</f>
        <v/>
      </c>
    </row>
    <row r="157">
      <c r="A157" s="12" t="n"/>
      <c r="B157" s="18" t="n"/>
      <c r="C157" s="16" t="n"/>
      <c r="D157" s="18" t="n"/>
      <c r="E157" s="18" t="n"/>
      <c r="F157" s="28" t="n"/>
      <c r="G157" s="41">
        <f>IFERROR(INDEX(Insumos!$F$5:$F$163,MATCH($B157&amp;" | "&amp;$C157,Insumos!$I$5:$I$163,0)),"")</f>
        <v/>
      </c>
      <c r="H157" s="28" t="n"/>
      <c r="I157" s="42">
        <f>IFERROR($F157*$G157,0)+IFERROR($H157,0)</f>
        <v/>
      </c>
      <c r="J157" s="18" t="n"/>
      <c r="K157" s="35">
        <f>IF($C157="","",IF(COUNTIF(Insumos!$I$5:$I$163,$B157&amp;" | "&amp;$C157)=0,"REVISAR: area+insumo no existe en el maestro","OK"))</f>
        <v/>
      </c>
    </row>
    <row r="158">
      <c r="A158" s="12" t="n"/>
      <c r="B158" s="18" t="n"/>
      <c r="C158" s="16" t="n"/>
      <c r="D158" s="18" t="n"/>
      <c r="E158" s="18" t="n"/>
      <c r="F158" s="28" t="n"/>
      <c r="G158" s="41">
        <f>IFERROR(INDEX(Insumos!$F$5:$F$163,MATCH($B158&amp;" | "&amp;$C158,Insumos!$I$5:$I$163,0)),"")</f>
        <v/>
      </c>
      <c r="H158" s="28" t="n"/>
      <c r="I158" s="42">
        <f>IFERROR($F158*$G158,0)+IFERROR($H158,0)</f>
        <v/>
      </c>
      <c r="J158" s="18" t="n"/>
      <c r="K158" s="35">
        <f>IF($C158="","",IF(COUNTIF(Insumos!$I$5:$I$163,$B158&amp;" | "&amp;$C158)=0,"REVISAR: area+insumo no existe en el maestro","OK"))</f>
        <v/>
      </c>
    </row>
    <row r="159">
      <c r="A159" s="12" t="n"/>
      <c r="B159" s="18" t="n"/>
      <c r="C159" s="16" t="n"/>
      <c r="D159" s="18" t="n"/>
      <c r="E159" s="18" t="n"/>
      <c r="F159" s="28" t="n"/>
      <c r="G159" s="41">
        <f>IFERROR(INDEX(Insumos!$F$5:$F$163,MATCH($B159&amp;" | "&amp;$C159,Insumos!$I$5:$I$163,0)),"")</f>
        <v/>
      </c>
      <c r="H159" s="28" t="n"/>
      <c r="I159" s="42">
        <f>IFERROR($F159*$G159,0)+IFERROR($H159,0)</f>
        <v/>
      </c>
      <c r="J159" s="18" t="n"/>
      <c r="K159" s="35">
        <f>IF($C159="","",IF(COUNTIF(Insumos!$I$5:$I$163,$B159&amp;" | "&amp;$C159)=0,"REVISAR: area+insumo no existe en el maestro","OK"))</f>
        <v/>
      </c>
    </row>
    <row r="160">
      <c r="A160" s="12" t="n"/>
      <c r="B160" s="18" t="n"/>
      <c r="C160" s="16" t="n"/>
      <c r="D160" s="18" t="n"/>
      <c r="E160" s="18" t="n"/>
      <c r="F160" s="28" t="n"/>
      <c r="G160" s="41">
        <f>IFERROR(INDEX(Insumos!$F$5:$F$163,MATCH($B160&amp;" | "&amp;$C160,Insumos!$I$5:$I$163,0)),"")</f>
        <v/>
      </c>
      <c r="H160" s="28" t="n"/>
      <c r="I160" s="42">
        <f>IFERROR($F160*$G160,0)+IFERROR($H160,0)</f>
        <v/>
      </c>
      <c r="J160" s="18" t="n"/>
      <c r="K160" s="35">
        <f>IF($C160="","",IF(COUNTIF(Insumos!$I$5:$I$163,$B160&amp;" | "&amp;$C160)=0,"REVISAR: area+insumo no existe en el maestro","OK"))</f>
        <v/>
      </c>
    </row>
    <row r="161">
      <c r="A161" s="12" t="n"/>
      <c r="B161" s="18" t="n"/>
      <c r="C161" s="16" t="n"/>
      <c r="D161" s="18" t="n"/>
      <c r="E161" s="18" t="n"/>
      <c r="F161" s="28" t="n"/>
      <c r="G161" s="41">
        <f>IFERROR(INDEX(Insumos!$F$5:$F$163,MATCH($B161&amp;" | "&amp;$C161,Insumos!$I$5:$I$163,0)),"")</f>
        <v/>
      </c>
      <c r="H161" s="28" t="n"/>
      <c r="I161" s="42">
        <f>IFERROR($F161*$G161,0)+IFERROR($H161,0)</f>
        <v/>
      </c>
      <c r="J161" s="18" t="n"/>
      <c r="K161" s="35">
        <f>IF($C161="","",IF(COUNTIF(Insumos!$I$5:$I$163,$B161&amp;" | "&amp;$C161)=0,"REVISAR: area+insumo no existe en el maestro","OK"))</f>
        <v/>
      </c>
    </row>
    <row r="162">
      <c r="A162" s="12" t="n"/>
      <c r="B162" s="18" t="n"/>
      <c r="C162" s="16" t="n"/>
      <c r="D162" s="18" t="n"/>
      <c r="E162" s="18" t="n"/>
      <c r="F162" s="28" t="n"/>
      <c r="G162" s="41">
        <f>IFERROR(INDEX(Insumos!$F$5:$F$163,MATCH($B162&amp;" | "&amp;$C162,Insumos!$I$5:$I$163,0)),"")</f>
        <v/>
      </c>
      <c r="H162" s="28" t="n"/>
      <c r="I162" s="42">
        <f>IFERROR($F162*$G162,0)+IFERROR($H162,0)</f>
        <v/>
      </c>
      <c r="J162" s="18" t="n"/>
      <c r="K162" s="35">
        <f>IF($C162="","",IF(COUNTIF(Insumos!$I$5:$I$163,$B162&amp;" | "&amp;$C162)=0,"REVISAR: area+insumo no existe en el maestro","OK"))</f>
        <v/>
      </c>
    </row>
    <row r="163">
      <c r="A163" s="12" t="n"/>
      <c r="B163" s="18" t="n"/>
      <c r="C163" s="16" t="n"/>
      <c r="D163" s="18" t="n"/>
      <c r="E163" s="18" t="n"/>
      <c r="F163" s="28" t="n"/>
      <c r="G163" s="41">
        <f>IFERROR(INDEX(Insumos!$F$5:$F$163,MATCH($B163&amp;" | "&amp;$C163,Insumos!$I$5:$I$163,0)),"")</f>
        <v/>
      </c>
      <c r="H163" s="28" t="n"/>
      <c r="I163" s="42">
        <f>IFERROR($F163*$G163,0)+IFERROR($H163,0)</f>
        <v/>
      </c>
      <c r="J163" s="18" t="n"/>
      <c r="K163" s="35">
        <f>IF($C163="","",IF(COUNTIF(Insumos!$I$5:$I$163,$B163&amp;" | "&amp;$C163)=0,"REVISAR: area+insumo no existe en el maestro","OK"))</f>
        <v/>
      </c>
    </row>
    <row r="164">
      <c r="A164" s="12" t="n"/>
      <c r="B164" s="18" t="n"/>
      <c r="C164" s="16" t="n"/>
      <c r="D164" s="18" t="n"/>
      <c r="E164" s="18" t="n"/>
      <c r="F164" s="28" t="n"/>
      <c r="G164" s="41">
        <f>IFERROR(INDEX(Insumos!$F$5:$F$163,MATCH($B164&amp;" | "&amp;$C164,Insumos!$I$5:$I$163,0)),"")</f>
        <v/>
      </c>
      <c r="H164" s="28" t="n"/>
      <c r="I164" s="42">
        <f>IFERROR($F164*$G164,0)+IFERROR($H164,0)</f>
        <v/>
      </c>
      <c r="J164" s="18" t="n"/>
      <c r="K164" s="35">
        <f>IF($C164="","",IF(COUNTIF(Insumos!$I$5:$I$163,$B164&amp;" | "&amp;$C164)=0,"REVISAR: area+insumo no existe en el maestro","OK"))</f>
        <v/>
      </c>
    </row>
    <row r="165">
      <c r="A165" s="12" t="n"/>
      <c r="B165" s="18" t="n"/>
      <c r="C165" s="16" t="n"/>
      <c r="D165" s="18" t="n"/>
      <c r="E165" s="18" t="n"/>
      <c r="F165" s="28" t="n"/>
      <c r="G165" s="41">
        <f>IFERROR(INDEX(Insumos!$F$5:$F$163,MATCH($B165&amp;" | "&amp;$C165,Insumos!$I$5:$I$163,0)),"")</f>
        <v/>
      </c>
      <c r="H165" s="28" t="n"/>
      <c r="I165" s="42">
        <f>IFERROR($F165*$G165,0)+IFERROR($H165,0)</f>
        <v/>
      </c>
      <c r="J165" s="18" t="n"/>
      <c r="K165" s="35">
        <f>IF($C165="","",IF(COUNTIF(Insumos!$I$5:$I$163,$B165&amp;" | "&amp;$C165)=0,"REVISAR: area+insumo no existe en el maestro","OK"))</f>
        <v/>
      </c>
    </row>
    <row r="166">
      <c r="A166" s="12" t="n"/>
      <c r="B166" s="18" t="n"/>
      <c r="C166" s="16" t="n"/>
      <c r="D166" s="18" t="n"/>
      <c r="E166" s="18" t="n"/>
      <c r="F166" s="28" t="n"/>
      <c r="G166" s="41">
        <f>IFERROR(INDEX(Insumos!$F$5:$F$163,MATCH($B166&amp;" | "&amp;$C166,Insumos!$I$5:$I$163,0)),"")</f>
        <v/>
      </c>
      <c r="H166" s="28" t="n"/>
      <c r="I166" s="42">
        <f>IFERROR($F166*$G166,0)+IFERROR($H166,0)</f>
        <v/>
      </c>
      <c r="J166" s="18" t="n"/>
      <c r="K166" s="35">
        <f>IF($C166="","",IF(COUNTIF(Insumos!$I$5:$I$163,$B166&amp;" | "&amp;$C166)=0,"REVISAR: area+insumo no existe en el maestro","OK"))</f>
        <v/>
      </c>
    </row>
    <row r="167">
      <c r="A167" s="12" t="n"/>
      <c r="B167" s="18" t="n"/>
      <c r="C167" s="16" t="n"/>
      <c r="D167" s="18" t="n"/>
      <c r="E167" s="18" t="n"/>
      <c r="F167" s="28" t="n"/>
      <c r="G167" s="41">
        <f>IFERROR(INDEX(Insumos!$F$5:$F$163,MATCH($B167&amp;" | "&amp;$C167,Insumos!$I$5:$I$163,0)),"")</f>
        <v/>
      </c>
      <c r="H167" s="28" t="n"/>
      <c r="I167" s="42">
        <f>IFERROR($F167*$G167,0)+IFERROR($H167,0)</f>
        <v/>
      </c>
      <c r="J167" s="18" t="n"/>
      <c r="K167" s="35">
        <f>IF($C167="","",IF(COUNTIF(Insumos!$I$5:$I$163,$B167&amp;" | "&amp;$C167)=0,"REVISAR: area+insumo no existe en el maestro","OK"))</f>
        <v/>
      </c>
    </row>
    <row r="168">
      <c r="A168" s="12" t="n"/>
      <c r="B168" s="18" t="n"/>
      <c r="C168" s="16" t="n"/>
      <c r="D168" s="18" t="n"/>
      <c r="E168" s="18" t="n"/>
      <c r="F168" s="28" t="n"/>
      <c r="G168" s="41">
        <f>IFERROR(INDEX(Insumos!$F$5:$F$163,MATCH($B168&amp;" | "&amp;$C168,Insumos!$I$5:$I$163,0)),"")</f>
        <v/>
      </c>
      <c r="H168" s="28" t="n"/>
      <c r="I168" s="42">
        <f>IFERROR($F168*$G168,0)+IFERROR($H168,0)</f>
        <v/>
      </c>
      <c r="J168" s="18" t="n"/>
      <c r="K168" s="35">
        <f>IF($C168="","",IF(COUNTIF(Insumos!$I$5:$I$163,$B168&amp;" | "&amp;$C168)=0,"REVISAR: area+insumo no existe en el maestro","OK"))</f>
        <v/>
      </c>
    </row>
    <row r="169">
      <c r="A169" s="12" t="n"/>
      <c r="B169" s="18" t="n"/>
      <c r="C169" s="16" t="n"/>
      <c r="D169" s="18" t="n"/>
      <c r="E169" s="18" t="n"/>
      <c r="F169" s="28" t="n"/>
      <c r="G169" s="41">
        <f>IFERROR(INDEX(Insumos!$F$5:$F$163,MATCH($B169&amp;" | "&amp;$C169,Insumos!$I$5:$I$163,0)),"")</f>
        <v/>
      </c>
      <c r="H169" s="28" t="n"/>
      <c r="I169" s="42">
        <f>IFERROR($F169*$G169,0)+IFERROR($H169,0)</f>
        <v/>
      </c>
      <c r="J169" s="18" t="n"/>
      <c r="K169" s="35">
        <f>IF($C169="","",IF(COUNTIF(Insumos!$I$5:$I$163,$B169&amp;" | "&amp;$C169)=0,"REVISAR: area+insumo no existe en el maestro","OK"))</f>
        <v/>
      </c>
    </row>
    <row r="170">
      <c r="A170" s="12" t="n"/>
      <c r="B170" s="18" t="n"/>
      <c r="C170" s="16" t="n"/>
      <c r="D170" s="18" t="n"/>
      <c r="E170" s="18" t="n"/>
      <c r="F170" s="28" t="n"/>
      <c r="G170" s="41">
        <f>IFERROR(INDEX(Insumos!$F$5:$F$163,MATCH($B170&amp;" | "&amp;$C170,Insumos!$I$5:$I$163,0)),"")</f>
        <v/>
      </c>
      <c r="H170" s="28" t="n"/>
      <c r="I170" s="42">
        <f>IFERROR($F170*$G170,0)+IFERROR($H170,0)</f>
        <v/>
      </c>
      <c r="J170" s="18" t="n"/>
      <c r="K170" s="35">
        <f>IF($C170="","",IF(COUNTIF(Insumos!$I$5:$I$163,$B170&amp;" | "&amp;$C170)=0,"REVISAR: area+insumo no existe en el maestro","OK"))</f>
        <v/>
      </c>
    </row>
    <row r="171">
      <c r="A171" s="12" t="n"/>
      <c r="B171" s="18" t="n"/>
      <c r="C171" s="16" t="n"/>
      <c r="D171" s="18" t="n"/>
      <c r="E171" s="18" t="n"/>
      <c r="F171" s="28" t="n"/>
      <c r="G171" s="41">
        <f>IFERROR(INDEX(Insumos!$F$5:$F$163,MATCH($B171&amp;" | "&amp;$C171,Insumos!$I$5:$I$163,0)),"")</f>
        <v/>
      </c>
      <c r="H171" s="28" t="n"/>
      <c r="I171" s="42">
        <f>IFERROR($F171*$G171,0)+IFERROR($H171,0)</f>
        <v/>
      </c>
      <c r="J171" s="18" t="n"/>
      <c r="K171" s="35">
        <f>IF($C171="","",IF(COUNTIF(Insumos!$I$5:$I$163,$B171&amp;" | "&amp;$C171)=0,"REVISAR: area+insumo no existe en el maestro","OK"))</f>
        <v/>
      </c>
    </row>
    <row r="172">
      <c r="A172" s="12" t="n"/>
      <c r="B172" s="18" t="n"/>
      <c r="C172" s="16" t="n"/>
      <c r="D172" s="18" t="n"/>
      <c r="E172" s="18" t="n"/>
      <c r="F172" s="28" t="n"/>
      <c r="G172" s="41">
        <f>IFERROR(INDEX(Insumos!$F$5:$F$163,MATCH($B172&amp;" | "&amp;$C172,Insumos!$I$5:$I$163,0)),"")</f>
        <v/>
      </c>
      <c r="H172" s="28" t="n"/>
      <c r="I172" s="42">
        <f>IFERROR($F172*$G172,0)+IFERROR($H172,0)</f>
        <v/>
      </c>
      <c r="J172" s="18" t="n"/>
      <c r="K172" s="35">
        <f>IF($C172="","",IF(COUNTIF(Insumos!$I$5:$I$163,$B172&amp;" | "&amp;$C172)=0,"REVISAR: area+insumo no existe en el maestro","OK"))</f>
        <v/>
      </c>
    </row>
    <row r="173">
      <c r="A173" s="12" t="n"/>
      <c r="B173" s="18" t="n"/>
      <c r="C173" s="16" t="n"/>
      <c r="D173" s="18" t="n"/>
      <c r="E173" s="18" t="n"/>
      <c r="F173" s="28" t="n"/>
      <c r="G173" s="41">
        <f>IFERROR(INDEX(Insumos!$F$5:$F$163,MATCH($B173&amp;" | "&amp;$C173,Insumos!$I$5:$I$163,0)),"")</f>
        <v/>
      </c>
      <c r="H173" s="28" t="n"/>
      <c r="I173" s="42">
        <f>IFERROR($F173*$G173,0)+IFERROR($H173,0)</f>
        <v/>
      </c>
      <c r="J173" s="18" t="n"/>
      <c r="K173" s="35">
        <f>IF($C173="","",IF(COUNTIF(Insumos!$I$5:$I$163,$B173&amp;" | "&amp;$C173)=0,"REVISAR: area+insumo no existe en el maestro","OK"))</f>
        <v/>
      </c>
    </row>
    <row r="174">
      <c r="A174" s="12" t="n"/>
      <c r="B174" s="18" t="n"/>
      <c r="C174" s="16" t="n"/>
      <c r="D174" s="18" t="n"/>
      <c r="E174" s="18" t="n"/>
      <c r="F174" s="28" t="n"/>
      <c r="G174" s="41">
        <f>IFERROR(INDEX(Insumos!$F$5:$F$163,MATCH($B174&amp;" | "&amp;$C174,Insumos!$I$5:$I$163,0)),"")</f>
        <v/>
      </c>
      <c r="H174" s="28" t="n"/>
      <c r="I174" s="42">
        <f>IFERROR($F174*$G174,0)+IFERROR($H174,0)</f>
        <v/>
      </c>
      <c r="J174" s="18" t="n"/>
      <c r="K174" s="35">
        <f>IF($C174="","",IF(COUNTIF(Insumos!$I$5:$I$163,$B174&amp;" | "&amp;$C174)=0,"REVISAR: area+insumo no existe en el maestro","OK"))</f>
        <v/>
      </c>
    </row>
    <row r="175">
      <c r="A175" s="12" t="n"/>
      <c r="B175" s="18" t="n"/>
      <c r="C175" s="16" t="n"/>
      <c r="D175" s="18" t="n"/>
      <c r="E175" s="18" t="n"/>
      <c r="F175" s="28" t="n"/>
      <c r="G175" s="41">
        <f>IFERROR(INDEX(Insumos!$F$5:$F$163,MATCH($B175&amp;" | "&amp;$C175,Insumos!$I$5:$I$163,0)),"")</f>
        <v/>
      </c>
      <c r="H175" s="28" t="n"/>
      <c r="I175" s="42">
        <f>IFERROR($F175*$G175,0)+IFERROR($H175,0)</f>
        <v/>
      </c>
      <c r="J175" s="18" t="n"/>
      <c r="K175" s="35">
        <f>IF($C175="","",IF(COUNTIF(Insumos!$I$5:$I$163,$B175&amp;" | "&amp;$C175)=0,"REVISAR: area+insumo no existe en el maestro","OK"))</f>
        <v/>
      </c>
    </row>
    <row r="176">
      <c r="A176" s="12" t="n"/>
      <c r="B176" s="18" t="n"/>
      <c r="C176" s="16" t="n"/>
      <c r="D176" s="18" t="n"/>
      <c r="E176" s="18" t="n"/>
      <c r="F176" s="28" t="n"/>
      <c r="G176" s="41">
        <f>IFERROR(INDEX(Insumos!$F$5:$F$163,MATCH($B176&amp;" | "&amp;$C176,Insumos!$I$5:$I$163,0)),"")</f>
        <v/>
      </c>
      <c r="H176" s="28" t="n"/>
      <c r="I176" s="42">
        <f>IFERROR($F176*$G176,0)+IFERROR($H176,0)</f>
        <v/>
      </c>
      <c r="J176" s="18" t="n"/>
      <c r="K176" s="35">
        <f>IF($C176="","",IF(COUNTIF(Insumos!$I$5:$I$163,$B176&amp;" | "&amp;$C176)=0,"REVISAR: area+insumo no existe en el maestro","OK"))</f>
        <v/>
      </c>
    </row>
    <row r="177">
      <c r="A177" s="12" t="n"/>
      <c r="B177" s="18" t="n"/>
      <c r="C177" s="16" t="n"/>
      <c r="D177" s="18" t="n"/>
      <c r="E177" s="18" t="n"/>
      <c r="F177" s="28" t="n"/>
      <c r="G177" s="41">
        <f>IFERROR(INDEX(Insumos!$F$5:$F$163,MATCH($B177&amp;" | "&amp;$C177,Insumos!$I$5:$I$163,0)),"")</f>
        <v/>
      </c>
      <c r="H177" s="28" t="n"/>
      <c r="I177" s="42">
        <f>IFERROR($F177*$G177,0)+IFERROR($H177,0)</f>
        <v/>
      </c>
      <c r="J177" s="18" t="n"/>
      <c r="K177" s="35">
        <f>IF($C177="","",IF(COUNTIF(Insumos!$I$5:$I$163,$B177&amp;" | "&amp;$C177)=0,"REVISAR: area+insumo no existe en el maestro","OK"))</f>
        <v/>
      </c>
    </row>
    <row r="178">
      <c r="A178" s="12" t="n"/>
      <c r="B178" s="18" t="n"/>
      <c r="C178" s="16" t="n"/>
      <c r="D178" s="18" t="n"/>
      <c r="E178" s="18" t="n"/>
      <c r="F178" s="28" t="n"/>
      <c r="G178" s="41">
        <f>IFERROR(INDEX(Insumos!$F$5:$F$163,MATCH($B178&amp;" | "&amp;$C178,Insumos!$I$5:$I$163,0)),"")</f>
        <v/>
      </c>
      <c r="H178" s="28" t="n"/>
      <c r="I178" s="42">
        <f>IFERROR($F178*$G178,0)+IFERROR($H178,0)</f>
        <v/>
      </c>
      <c r="J178" s="18" t="n"/>
      <c r="K178" s="35">
        <f>IF($C178="","",IF(COUNTIF(Insumos!$I$5:$I$163,$B178&amp;" | "&amp;$C178)=0,"REVISAR: area+insumo no existe en el maestro","OK"))</f>
        <v/>
      </c>
    </row>
    <row r="179">
      <c r="A179" s="12" t="n"/>
      <c r="B179" s="18" t="n"/>
      <c r="C179" s="16" t="n"/>
      <c r="D179" s="18" t="n"/>
      <c r="E179" s="18" t="n"/>
      <c r="F179" s="28" t="n"/>
      <c r="G179" s="41">
        <f>IFERROR(INDEX(Insumos!$F$5:$F$163,MATCH($B179&amp;" | "&amp;$C179,Insumos!$I$5:$I$163,0)),"")</f>
        <v/>
      </c>
      <c r="H179" s="28" t="n"/>
      <c r="I179" s="42">
        <f>IFERROR($F179*$G179,0)+IFERROR($H179,0)</f>
        <v/>
      </c>
      <c r="J179" s="18" t="n"/>
      <c r="K179" s="35">
        <f>IF($C179="","",IF(COUNTIF(Insumos!$I$5:$I$163,$B179&amp;" | "&amp;$C179)=0,"REVISAR: area+insumo no existe en el maestro","OK"))</f>
        <v/>
      </c>
    </row>
    <row r="180">
      <c r="A180" s="12" t="n"/>
      <c r="B180" s="18" t="n"/>
      <c r="C180" s="16" t="n"/>
      <c r="D180" s="18" t="n"/>
      <c r="E180" s="18" t="n"/>
      <c r="F180" s="28" t="n"/>
      <c r="G180" s="41">
        <f>IFERROR(INDEX(Insumos!$F$5:$F$163,MATCH($B180&amp;" | "&amp;$C180,Insumos!$I$5:$I$163,0)),"")</f>
        <v/>
      </c>
      <c r="H180" s="28" t="n"/>
      <c r="I180" s="42">
        <f>IFERROR($F180*$G180,0)+IFERROR($H180,0)</f>
        <v/>
      </c>
      <c r="J180" s="18" t="n"/>
      <c r="K180" s="35">
        <f>IF($C180="","",IF(COUNTIF(Insumos!$I$5:$I$163,$B180&amp;" | "&amp;$C180)=0,"REVISAR: area+insumo no existe en el maestro","OK"))</f>
        <v/>
      </c>
    </row>
    <row r="181">
      <c r="A181" s="12" t="n"/>
      <c r="B181" s="18" t="n"/>
      <c r="C181" s="16" t="n"/>
      <c r="D181" s="18" t="n"/>
      <c r="E181" s="18" t="n"/>
      <c r="F181" s="28" t="n"/>
      <c r="G181" s="41">
        <f>IFERROR(INDEX(Insumos!$F$5:$F$163,MATCH($B181&amp;" | "&amp;$C181,Insumos!$I$5:$I$163,0)),"")</f>
        <v/>
      </c>
      <c r="H181" s="28" t="n"/>
      <c r="I181" s="42">
        <f>IFERROR($F181*$G181,0)+IFERROR($H181,0)</f>
        <v/>
      </c>
      <c r="J181" s="18" t="n"/>
      <c r="K181" s="35">
        <f>IF($C181="","",IF(COUNTIF(Insumos!$I$5:$I$163,$B181&amp;" | "&amp;$C181)=0,"REVISAR: area+insumo no existe en el maestro","OK"))</f>
        <v/>
      </c>
    </row>
    <row r="182">
      <c r="A182" s="12" t="n"/>
      <c r="B182" s="18" t="n"/>
      <c r="C182" s="16" t="n"/>
      <c r="D182" s="18" t="n"/>
      <c r="E182" s="18" t="n"/>
      <c r="F182" s="28" t="n"/>
      <c r="G182" s="41">
        <f>IFERROR(INDEX(Insumos!$F$5:$F$163,MATCH($B182&amp;" | "&amp;$C182,Insumos!$I$5:$I$163,0)),"")</f>
        <v/>
      </c>
      <c r="H182" s="28" t="n"/>
      <c r="I182" s="42">
        <f>IFERROR($F182*$G182,0)+IFERROR($H182,0)</f>
        <v/>
      </c>
      <c r="J182" s="18" t="n"/>
      <c r="K182" s="35">
        <f>IF($C182="","",IF(COUNTIF(Insumos!$I$5:$I$163,$B182&amp;" | "&amp;$C182)=0,"REVISAR: area+insumo no existe en el maestro","OK"))</f>
        <v/>
      </c>
    </row>
    <row r="183">
      <c r="A183" s="12" t="n"/>
      <c r="B183" s="18" t="n"/>
      <c r="C183" s="16" t="n"/>
      <c r="D183" s="18" t="n"/>
      <c r="E183" s="18" t="n"/>
      <c r="F183" s="28" t="n"/>
      <c r="G183" s="41">
        <f>IFERROR(INDEX(Insumos!$F$5:$F$163,MATCH($B183&amp;" | "&amp;$C183,Insumos!$I$5:$I$163,0)),"")</f>
        <v/>
      </c>
      <c r="H183" s="28" t="n"/>
      <c r="I183" s="42">
        <f>IFERROR($F183*$G183,0)+IFERROR($H183,0)</f>
        <v/>
      </c>
      <c r="J183" s="18" t="n"/>
      <c r="K183" s="35">
        <f>IF($C183="","",IF(COUNTIF(Insumos!$I$5:$I$163,$B183&amp;" | "&amp;$C183)=0,"REVISAR: area+insumo no existe en el maestro","OK"))</f>
        <v/>
      </c>
    </row>
    <row r="184">
      <c r="A184" s="12" t="n"/>
      <c r="B184" s="18" t="n"/>
      <c r="C184" s="16" t="n"/>
      <c r="D184" s="18" t="n"/>
      <c r="E184" s="18" t="n"/>
      <c r="F184" s="28" t="n"/>
      <c r="G184" s="41">
        <f>IFERROR(INDEX(Insumos!$F$5:$F$163,MATCH($B184&amp;" | "&amp;$C184,Insumos!$I$5:$I$163,0)),"")</f>
        <v/>
      </c>
      <c r="H184" s="28" t="n"/>
      <c r="I184" s="42">
        <f>IFERROR($F184*$G184,0)+IFERROR($H184,0)</f>
        <v/>
      </c>
      <c r="J184" s="18" t="n"/>
      <c r="K184" s="35">
        <f>IF($C184="","",IF(COUNTIF(Insumos!$I$5:$I$163,$B184&amp;" | "&amp;$C184)=0,"REVISAR: area+insumo no existe en el maestro","OK"))</f>
        <v/>
      </c>
    </row>
    <row r="185">
      <c r="A185" s="12" t="n"/>
      <c r="B185" s="18" t="n"/>
      <c r="C185" s="16" t="n"/>
      <c r="D185" s="18" t="n"/>
      <c r="E185" s="18" t="n"/>
      <c r="F185" s="28" t="n"/>
      <c r="G185" s="41">
        <f>IFERROR(INDEX(Insumos!$F$5:$F$163,MATCH($B185&amp;" | "&amp;$C185,Insumos!$I$5:$I$163,0)),"")</f>
        <v/>
      </c>
      <c r="H185" s="28" t="n"/>
      <c r="I185" s="42">
        <f>IFERROR($F185*$G185,0)+IFERROR($H185,0)</f>
        <v/>
      </c>
      <c r="J185" s="18" t="n"/>
      <c r="K185" s="35">
        <f>IF($C185="","",IF(COUNTIF(Insumos!$I$5:$I$163,$B185&amp;" | "&amp;$C185)=0,"REVISAR: area+insumo no existe en el maestro","OK"))</f>
        <v/>
      </c>
    </row>
    <row r="186">
      <c r="A186" s="12" t="n"/>
      <c r="B186" s="18" t="n"/>
      <c r="C186" s="16" t="n"/>
      <c r="D186" s="18" t="n"/>
      <c r="E186" s="18" t="n"/>
      <c r="F186" s="28" t="n"/>
      <c r="G186" s="41">
        <f>IFERROR(INDEX(Insumos!$F$5:$F$163,MATCH($B186&amp;" | "&amp;$C186,Insumos!$I$5:$I$163,0)),"")</f>
        <v/>
      </c>
      <c r="H186" s="28" t="n"/>
      <c r="I186" s="42">
        <f>IFERROR($F186*$G186,0)+IFERROR($H186,0)</f>
        <v/>
      </c>
      <c r="J186" s="18" t="n"/>
      <c r="K186" s="35">
        <f>IF($C186="","",IF(COUNTIF(Insumos!$I$5:$I$163,$B186&amp;" | "&amp;$C186)=0,"REVISAR: area+insumo no existe en el maestro","OK"))</f>
        <v/>
      </c>
    </row>
    <row r="187">
      <c r="A187" s="12" t="n"/>
      <c r="B187" s="18" t="n"/>
      <c r="C187" s="16" t="n"/>
      <c r="D187" s="18" t="n"/>
      <c r="E187" s="18" t="n"/>
      <c r="F187" s="28" t="n"/>
      <c r="G187" s="41">
        <f>IFERROR(INDEX(Insumos!$F$5:$F$163,MATCH($B187&amp;" | "&amp;$C187,Insumos!$I$5:$I$163,0)),"")</f>
        <v/>
      </c>
      <c r="H187" s="28" t="n"/>
      <c r="I187" s="42">
        <f>IFERROR($F187*$G187,0)+IFERROR($H187,0)</f>
        <v/>
      </c>
      <c r="J187" s="18" t="n"/>
      <c r="K187" s="35">
        <f>IF($C187="","",IF(COUNTIF(Insumos!$I$5:$I$163,$B187&amp;" | "&amp;$C187)=0,"REVISAR: area+insumo no existe en el maestro","OK"))</f>
        <v/>
      </c>
    </row>
    <row r="188">
      <c r="A188" s="12" t="n"/>
      <c r="B188" s="18" t="n"/>
      <c r="C188" s="16" t="n"/>
      <c r="D188" s="18" t="n"/>
      <c r="E188" s="18" t="n"/>
      <c r="F188" s="28" t="n"/>
      <c r="G188" s="41">
        <f>IFERROR(INDEX(Insumos!$F$5:$F$163,MATCH($B188&amp;" | "&amp;$C188,Insumos!$I$5:$I$163,0)),"")</f>
        <v/>
      </c>
      <c r="H188" s="28" t="n"/>
      <c r="I188" s="42">
        <f>IFERROR($F188*$G188,0)+IFERROR($H188,0)</f>
        <v/>
      </c>
      <c r="J188" s="18" t="n"/>
      <c r="K188" s="35">
        <f>IF($C188="","",IF(COUNTIF(Insumos!$I$5:$I$163,$B188&amp;" | "&amp;$C188)=0,"REVISAR: area+insumo no existe en el maestro","OK"))</f>
        <v/>
      </c>
    </row>
    <row r="189">
      <c r="A189" s="12" t="n"/>
      <c r="B189" s="18" t="n"/>
      <c r="C189" s="16" t="n"/>
      <c r="D189" s="18" t="n"/>
      <c r="E189" s="18" t="n"/>
      <c r="F189" s="28" t="n"/>
      <c r="G189" s="41">
        <f>IFERROR(INDEX(Insumos!$F$5:$F$163,MATCH($B189&amp;" | "&amp;$C189,Insumos!$I$5:$I$163,0)),"")</f>
        <v/>
      </c>
      <c r="H189" s="28" t="n"/>
      <c r="I189" s="42">
        <f>IFERROR($F189*$G189,0)+IFERROR($H189,0)</f>
        <v/>
      </c>
      <c r="J189" s="18" t="n"/>
      <c r="K189" s="35">
        <f>IF($C189="","",IF(COUNTIF(Insumos!$I$5:$I$163,$B189&amp;" | "&amp;$C189)=0,"REVISAR: area+insumo no existe en el maestro","OK"))</f>
        <v/>
      </c>
    </row>
    <row r="190">
      <c r="A190" s="12" t="n"/>
      <c r="B190" s="18" t="n"/>
      <c r="C190" s="16" t="n"/>
      <c r="D190" s="18" t="n"/>
      <c r="E190" s="18" t="n"/>
      <c r="F190" s="28" t="n"/>
      <c r="G190" s="41">
        <f>IFERROR(INDEX(Insumos!$F$5:$F$163,MATCH($B190&amp;" | "&amp;$C190,Insumos!$I$5:$I$163,0)),"")</f>
        <v/>
      </c>
      <c r="H190" s="28" t="n"/>
      <c r="I190" s="42">
        <f>IFERROR($F190*$G190,0)+IFERROR($H190,0)</f>
        <v/>
      </c>
      <c r="J190" s="18" t="n"/>
      <c r="K190" s="35">
        <f>IF($C190="","",IF(COUNTIF(Insumos!$I$5:$I$163,$B190&amp;" | "&amp;$C190)=0,"REVISAR: area+insumo no existe en el maestro","OK"))</f>
        <v/>
      </c>
    </row>
    <row r="191">
      <c r="A191" s="12" t="n"/>
      <c r="B191" s="18" t="n"/>
      <c r="C191" s="16" t="n"/>
      <c r="D191" s="18" t="n"/>
      <c r="E191" s="18" t="n"/>
      <c r="F191" s="28" t="n"/>
      <c r="G191" s="41">
        <f>IFERROR(INDEX(Insumos!$F$5:$F$163,MATCH($B191&amp;" | "&amp;$C191,Insumos!$I$5:$I$163,0)),"")</f>
        <v/>
      </c>
      <c r="H191" s="28" t="n"/>
      <c r="I191" s="42">
        <f>IFERROR($F191*$G191,0)+IFERROR($H191,0)</f>
        <v/>
      </c>
      <c r="J191" s="18" t="n"/>
      <c r="K191" s="35">
        <f>IF($C191="","",IF(COUNTIF(Insumos!$I$5:$I$163,$B191&amp;" | "&amp;$C191)=0,"REVISAR: area+insumo no existe en el maestro","OK"))</f>
        <v/>
      </c>
    </row>
    <row r="192">
      <c r="A192" s="12" t="n"/>
      <c r="B192" s="18" t="n"/>
      <c r="C192" s="16" t="n"/>
      <c r="D192" s="18" t="n"/>
      <c r="E192" s="18" t="n"/>
      <c r="F192" s="28" t="n"/>
      <c r="G192" s="41">
        <f>IFERROR(INDEX(Insumos!$F$5:$F$163,MATCH($B192&amp;" | "&amp;$C192,Insumos!$I$5:$I$163,0)),"")</f>
        <v/>
      </c>
      <c r="H192" s="28" t="n"/>
      <c r="I192" s="42">
        <f>IFERROR($F192*$G192,0)+IFERROR($H192,0)</f>
        <v/>
      </c>
      <c r="J192" s="18" t="n"/>
      <c r="K192" s="35">
        <f>IF($C192="","",IF(COUNTIF(Insumos!$I$5:$I$163,$B192&amp;" | "&amp;$C192)=0,"REVISAR: area+insumo no existe en el maestro","OK"))</f>
        <v/>
      </c>
    </row>
    <row r="193">
      <c r="A193" s="12" t="n"/>
      <c r="B193" s="18" t="n"/>
      <c r="C193" s="16" t="n"/>
      <c r="D193" s="18" t="n"/>
      <c r="E193" s="18" t="n"/>
      <c r="F193" s="28" t="n"/>
      <c r="G193" s="41">
        <f>IFERROR(INDEX(Insumos!$F$5:$F$163,MATCH($B193&amp;" | "&amp;$C193,Insumos!$I$5:$I$163,0)),"")</f>
        <v/>
      </c>
      <c r="H193" s="28" t="n"/>
      <c r="I193" s="42">
        <f>IFERROR($F193*$G193,0)+IFERROR($H193,0)</f>
        <v/>
      </c>
      <c r="J193" s="18" t="n"/>
      <c r="K193" s="35">
        <f>IF($C193="","",IF(COUNTIF(Insumos!$I$5:$I$163,$B193&amp;" | "&amp;$C193)=0,"REVISAR: area+insumo no existe en el maestro","OK"))</f>
        <v/>
      </c>
    </row>
    <row r="194">
      <c r="A194" s="12" t="n"/>
      <c r="B194" s="18" t="n"/>
      <c r="C194" s="16" t="n"/>
      <c r="D194" s="18" t="n"/>
      <c r="E194" s="18" t="n"/>
      <c r="F194" s="28" t="n"/>
      <c r="G194" s="41">
        <f>IFERROR(INDEX(Insumos!$F$5:$F$163,MATCH($B194&amp;" | "&amp;$C194,Insumos!$I$5:$I$163,0)),"")</f>
        <v/>
      </c>
      <c r="H194" s="28" t="n"/>
      <c r="I194" s="42">
        <f>IFERROR($F194*$G194,0)+IFERROR($H194,0)</f>
        <v/>
      </c>
      <c r="J194" s="18" t="n"/>
      <c r="K194" s="35">
        <f>IF($C194="","",IF(COUNTIF(Insumos!$I$5:$I$163,$B194&amp;" | "&amp;$C194)=0,"REVISAR: area+insumo no existe en el maestro","OK"))</f>
        <v/>
      </c>
    </row>
    <row r="195">
      <c r="A195" s="12" t="n"/>
      <c r="B195" s="18" t="n"/>
      <c r="C195" s="16" t="n"/>
      <c r="D195" s="18" t="n"/>
      <c r="E195" s="18" t="n"/>
      <c r="F195" s="28" t="n"/>
      <c r="G195" s="41">
        <f>IFERROR(INDEX(Insumos!$F$5:$F$163,MATCH($B195&amp;" | "&amp;$C195,Insumos!$I$5:$I$163,0)),"")</f>
        <v/>
      </c>
      <c r="H195" s="28" t="n"/>
      <c r="I195" s="42">
        <f>IFERROR($F195*$G195,0)+IFERROR($H195,0)</f>
        <v/>
      </c>
      <c r="J195" s="18" t="n"/>
      <c r="K195" s="35">
        <f>IF($C195="","",IF(COUNTIF(Insumos!$I$5:$I$163,$B195&amp;" | "&amp;$C195)=0,"REVISAR: area+insumo no existe en el maestro","OK"))</f>
        <v/>
      </c>
    </row>
    <row r="196">
      <c r="A196" s="12" t="n"/>
      <c r="B196" s="18" t="n"/>
      <c r="C196" s="16" t="n"/>
      <c r="D196" s="18" t="n"/>
      <c r="E196" s="18" t="n"/>
      <c r="F196" s="28" t="n"/>
      <c r="G196" s="41">
        <f>IFERROR(INDEX(Insumos!$F$5:$F$163,MATCH($B196&amp;" | "&amp;$C196,Insumos!$I$5:$I$163,0)),"")</f>
        <v/>
      </c>
      <c r="H196" s="28" t="n"/>
      <c r="I196" s="42">
        <f>IFERROR($F196*$G196,0)+IFERROR($H196,0)</f>
        <v/>
      </c>
      <c r="J196" s="18" t="n"/>
      <c r="K196" s="35">
        <f>IF($C196="","",IF(COUNTIF(Insumos!$I$5:$I$163,$B196&amp;" | "&amp;$C196)=0,"REVISAR: area+insumo no existe en el maestro","OK"))</f>
        <v/>
      </c>
    </row>
    <row r="197">
      <c r="A197" s="12" t="n"/>
      <c r="B197" s="18" t="n"/>
      <c r="C197" s="16" t="n"/>
      <c r="D197" s="18" t="n"/>
      <c r="E197" s="18" t="n"/>
      <c r="F197" s="28" t="n"/>
      <c r="G197" s="41">
        <f>IFERROR(INDEX(Insumos!$F$5:$F$163,MATCH($B197&amp;" | "&amp;$C197,Insumos!$I$5:$I$163,0)),"")</f>
        <v/>
      </c>
      <c r="H197" s="28" t="n"/>
      <c r="I197" s="42">
        <f>IFERROR($F197*$G197,0)+IFERROR($H197,0)</f>
        <v/>
      </c>
      <c r="J197" s="18" t="n"/>
      <c r="K197" s="35">
        <f>IF($C197="","",IF(COUNTIF(Insumos!$I$5:$I$163,$B197&amp;" | "&amp;$C197)=0,"REVISAR: area+insumo no existe en el maestro","OK"))</f>
        <v/>
      </c>
    </row>
    <row r="198">
      <c r="A198" s="12" t="n"/>
      <c r="B198" s="18" t="n"/>
      <c r="C198" s="16" t="n"/>
      <c r="D198" s="18" t="n"/>
      <c r="E198" s="18" t="n"/>
      <c r="F198" s="28" t="n"/>
      <c r="G198" s="41">
        <f>IFERROR(INDEX(Insumos!$F$5:$F$163,MATCH($B198&amp;" | "&amp;$C198,Insumos!$I$5:$I$163,0)),"")</f>
        <v/>
      </c>
      <c r="H198" s="28" t="n"/>
      <c r="I198" s="42">
        <f>IFERROR($F198*$G198,0)+IFERROR($H198,0)</f>
        <v/>
      </c>
      <c r="J198" s="18" t="n"/>
      <c r="K198" s="35">
        <f>IF($C198="","",IF(COUNTIF(Insumos!$I$5:$I$163,$B198&amp;" | "&amp;$C198)=0,"REVISAR: area+insumo no existe en el maestro","OK"))</f>
        <v/>
      </c>
    </row>
    <row r="199">
      <c r="A199" s="12" t="n"/>
      <c r="B199" s="18" t="n"/>
      <c r="C199" s="16" t="n"/>
      <c r="D199" s="18" t="n"/>
      <c r="E199" s="18" t="n"/>
      <c r="F199" s="28" t="n"/>
      <c r="G199" s="41">
        <f>IFERROR(INDEX(Insumos!$F$5:$F$163,MATCH($B199&amp;" | "&amp;$C199,Insumos!$I$5:$I$163,0)),"")</f>
        <v/>
      </c>
      <c r="H199" s="28" t="n"/>
      <c r="I199" s="42">
        <f>IFERROR($F199*$G199,0)+IFERROR($H199,0)</f>
        <v/>
      </c>
      <c r="J199" s="18" t="n"/>
      <c r="K199" s="35">
        <f>IF($C199="","",IF(COUNTIF(Insumos!$I$5:$I$163,$B199&amp;" | "&amp;$C199)=0,"REVISAR: area+insumo no existe en el maestro","OK"))</f>
        <v/>
      </c>
    </row>
    <row r="200">
      <c r="A200" s="12" t="n"/>
      <c r="B200" s="18" t="n"/>
      <c r="C200" s="16" t="n"/>
      <c r="D200" s="18" t="n"/>
      <c r="E200" s="18" t="n"/>
      <c r="F200" s="28" t="n"/>
      <c r="G200" s="41">
        <f>IFERROR(INDEX(Insumos!$F$5:$F$163,MATCH($B200&amp;" | "&amp;$C200,Insumos!$I$5:$I$163,0)),"")</f>
        <v/>
      </c>
      <c r="H200" s="28" t="n"/>
      <c r="I200" s="42">
        <f>IFERROR($F200*$G200,0)+IFERROR($H200,0)</f>
        <v/>
      </c>
      <c r="J200" s="18" t="n"/>
      <c r="K200" s="35">
        <f>IF($C200="","",IF(COUNTIF(Insumos!$I$5:$I$163,$B200&amp;" | "&amp;$C200)=0,"REVISAR: area+insumo no existe en el maestro","OK"))</f>
        <v/>
      </c>
    </row>
    <row r="201">
      <c r="A201" s="12" t="n"/>
      <c r="B201" s="18" t="n"/>
      <c r="C201" s="16" t="n"/>
      <c r="D201" s="18" t="n"/>
      <c r="E201" s="18" t="n"/>
      <c r="F201" s="28" t="n"/>
      <c r="G201" s="41">
        <f>IFERROR(INDEX(Insumos!$F$5:$F$163,MATCH($B201&amp;" | "&amp;$C201,Insumos!$I$5:$I$163,0)),"")</f>
        <v/>
      </c>
      <c r="H201" s="28" t="n"/>
      <c r="I201" s="42">
        <f>IFERROR($F201*$G201,0)+IFERROR($H201,0)</f>
        <v/>
      </c>
      <c r="J201" s="18" t="n"/>
      <c r="K201" s="35">
        <f>IF($C201="","",IF(COUNTIF(Insumos!$I$5:$I$163,$B201&amp;" | "&amp;$C201)=0,"REVISAR: area+insumo no existe en el maestro","OK"))</f>
        <v/>
      </c>
    </row>
    <row r="202">
      <c r="A202" s="12" t="n"/>
      <c r="B202" s="18" t="n"/>
      <c r="C202" s="16" t="n"/>
      <c r="D202" s="18" t="n"/>
      <c r="E202" s="18" t="n"/>
      <c r="F202" s="28" t="n"/>
      <c r="G202" s="41">
        <f>IFERROR(INDEX(Insumos!$F$5:$F$163,MATCH($B202&amp;" | "&amp;$C202,Insumos!$I$5:$I$163,0)),"")</f>
        <v/>
      </c>
      <c r="H202" s="28" t="n"/>
      <c r="I202" s="42">
        <f>IFERROR($F202*$G202,0)+IFERROR($H202,0)</f>
        <v/>
      </c>
      <c r="J202" s="18" t="n"/>
      <c r="K202" s="35">
        <f>IF($C202="","",IF(COUNTIF(Insumos!$I$5:$I$163,$B202&amp;" | "&amp;$C202)=0,"REVISAR: area+insumo no existe en el maestro","OK"))</f>
        <v/>
      </c>
    </row>
    <row r="203">
      <c r="A203" s="12" t="n"/>
      <c r="B203" s="18" t="n"/>
      <c r="C203" s="16" t="n"/>
      <c r="D203" s="18" t="n"/>
      <c r="E203" s="18" t="n"/>
      <c r="F203" s="28" t="n"/>
      <c r="G203" s="41">
        <f>IFERROR(INDEX(Insumos!$F$5:$F$163,MATCH($B203&amp;" | "&amp;$C203,Insumos!$I$5:$I$163,0)),"")</f>
        <v/>
      </c>
      <c r="H203" s="28" t="n"/>
      <c r="I203" s="42">
        <f>IFERROR($F203*$G203,0)+IFERROR($H203,0)</f>
        <v/>
      </c>
      <c r="J203" s="18" t="n"/>
      <c r="K203" s="35">
        <f>IF($C203="","",IF(COUNTIF(Insumos!$I$5:$I$163,$B203&amp;" | "&amp;$C203)=0,"REVISAR: area+insumo no existe en el maestro","OK"))</f>
        <v/>
      </c>
    </row>
    <row r="204">
      <c r="A204" s="12" t="n"/>
      <c r="B204" s="18" t="n"/>
      <c r="C204" s="16" t="n"/>
      <c r="D204" s="18" t="n"/>
      <c r="E204" s="18" t="n"/>
      <c r="F204" s="28" t="n"/>
      <c r="G204" s="41">
        <f>IFERROR(INDEX(Insumos!$F$5:$F$163,MATCH($B204&amp;" | "&amp;$C204,Insumos!$I$5:$I$163,0)),"")</f>
        <v/>
      </c>
      <c r="H204" s="28" t="n"/>
      <c r="I204" s="42">
        <f>IFERROR($F204*$G204,0)+IFERROR($H204,0)</f>
        <v/>
      </c>
      <c r="J204" s="18" t="n"/>
      <c r="K204" s="35">
        <f>IF($C204="","",IF(COUNTIF(Insumos!$I$5:$I$163,$B204&amp;" | "&amp;$C204)=0,"REVISAR: area+insumo no existe en el maestro","OK"))</f>
        <v/>
      </c>
    </row>
    <row r="205">
      <c r="A205" s="12" t="n"/>
      <c r="B205" s="18" t="n"/>
      <c r="C205" s="16" t="n"/>
      <c r="D205" s="18" t="n"/>
      <c r="E205" s="18" t="n"/>
      <c r="F205" s="28" t="n"/>
      <c r="G205" s="41">
        <f>IFERROR(INDEX(Insumos!$F$5:$F$163,MATCH($B205&amp;" | "&amp;$C205,Insumos!$I$5:$I$163,0)),"")</f>
        <v/>
      </c>
      <c r="H205" s="28" t="n"/>
      <c r="I205" s="42">
        <f>IFERROR($F205*$G205,0)+IFERROR($H205,0)</f>
        <v/>
      </c>
      <c r="J205" s="18" t="n"/>
      <c r="K205" s="35">
        <f>IF($C205="","",IF(COUNTIF(Insumos!$I$5:$I$163,$B205&amp;" | "&amp;$C205)=0,"REVISAR: area+insumo no existe en el maestro","OK"))</f>
        <v/>
      </c>
    </row>
    <row r="206">
      <c r="A206" s="12" t="n"/>
      <c r="B206" s="18" t="n"/>
      <c r="C206" s="16" t="n"/>
      <c r="D206" s="18" t="n"/>
      <c r="E206" s="18" t="n"/>
      <c r="F206" s="28" t="n"/>
      <c r="G206" s="41">
        <f>IFERROR(INDEX(Insumos!$F$5:$F$163,MATCH($B206&amp;" | "&amp;$C206,Insumos!$I$5:$I$163,0)),"")</f>
        <v/>
      </c>
      <c r="H206" s="28" t="n"/>
      <c r="I206" s="42">
        <f>IFERROR($F206*$G206,0)+IFERROR($H206,0)</f>
        <v/>
      </c>
      <c r="J206" s="18" t="n"/>
      <c r="K206" s="35">
        <f>IF($C206="","",IF(COUNTIF(Insumos!$I$5:$I$163,$B206&amp;" | "&amp;$C206)=0,"REVISAR: area+insumo no existe en el maestro","OK"))</f>
        <v/>
      </c>
    </row>
    <row r="207">
      <c r="A207" s="12" t="n"/>
      <c r="B207" s="18" t="n"/>
      <c r="C207" s="16" t="n"/>
      <c r="D207" s="18" t="n"/>
      <c r="E207" s="18" t="n"/>
      <c r="F207" s="28" t="n"/>
      <c r="G207" s="41">
        <f>IFERROR(INDEX(Insumos!$F$5:$F$163,MATCH($B207&amp;" | "&amp;$C207,Insumos!$I$5:$I$163,0)),"")</f>
        <v/>
      </c>
      <c r="H207" s="28" t="n"/>
      <c r="I207" s="42">
        <f>IFERROR($F207*$G207,0)+IFERROR($H207,0)</f>
        <v/>
      </c>
      <c r="J207" s="18" t="n"/>
      <c r="K207" s="35">
        <f>IF($C207="","",IF(COUNTIF(Insumos!$I$5:$I$163,$B207&amp;" | "&amp;$C207)=0,"REVISAR: area+insumo no existe en el maestro","OK"))</f>
        <v/>
      </c>
    </row>
    <row r="208">
      <c r="A208" s="12" t="n"/>
      <c r="B208" s="18" t="n"/>
      <c r="C208" s="16" t="n"/>
      <c r="D208" s="18" t="n"/>
      <c r="E208" s="18" t="n"/>
      <c r="F208" s="28" t="n"/>
      <c r="G208" s="41">
        <f>IFERROR(INDEX(Insumos!$F$5:$F$163,MATCH($B208&amp;" | "&amp;$C208,Insumos!$I$5:$I$163,0)),"")</f>
        <v/>
      </c>
      <c r="H208" s="28" t="n"/>
      <c r="I208" s="42">
        <f>IFERROR($F208*$G208,0)+IFERROR($H208,0)</f>
        <v/>
      </c>
      <c r="J208" s="18" t="n"/>
      <c r="K208" s="35">
        <f>IF($C208="","",IF(COUNTIF(Insumos!$I$5:$I$163,$B208&amp;" | "&amp;$C208)=0,"REVISAR: area+insumo no existe en el maestro","OK"))</f>
        <v/>
      </c>
    </row>
    <row r="209">
      <c r="A209" s="12" t="n"/>
      <c r="B209" s="18" t="n"/>
      <c r="C209" s="16" t="n"/>
      <c r="D209" s="18" t="n"/>
      <c r="E209" s="18" t="n"/>
      <c r="F209" s="28" t="n"/>
      <c r="G209" s="41">
        <f>IFERROR(INDEX(Insumos!$F$5:$F$163,MATCH($B209&amp;" | "&amp;$C209,Insumos!$I$5:$I$163,0)),"")</f>
        <v/>
      </c>
      <c r="H209" s="28" t="n"/>
      <c r="I209" s="42">
        <f>IFERROR($F209*$G209,0)+IFERROR($H209,0)</f>
        <v/>
      </c>
      <c r="J209" s="18" t="n"/>
      <c r="K209" s="35">
        <f>IF($C209="","",IF(COUNTIF(Insumos!$I$5:$I$163,$B209&amp;" | "&amp;$C209)=0,"REVISAR: area+insumo no existe en el maestro","OK"))</f>
        <v/>
      </c>
    </row>
    <row r="210">
      <c r="A210" s="12" t="n"/>
      <c r="B210" s="18" t="n"/>
      <c r="C210" s="16" t="n"/>
      <c r="D210" s="18" t="n"/>
      <c r="E210" s="18" t="n"/>
      <c r="F210" s="28" t="n"/>
      <c r="G210" s="41">
        <f>IFERROR(INDEX(Insumos!$F$5:$F$163,MATCH($B210&amp;" | "&amp;$C210,Insumos!$I$5:$I$163,0)),"")</f>
        <v/>
      </c>
      <c r="H210" s="28" t="n"/>
      <c r="I210" s="42">
        <f>IFERROR($F210*$G210,0)+IFERROR($H210,0)</f>
        <v/>
      </c>
      <c r="J210" s="18" t="n"/>
      <c r="K210" s="35">
        <f>IF($C210="","",IF(COUNTIF(Insumos!$I$5:$I$163,$B210&amp;" | "&amp;$C210)=0,"REVISAR: area+insumo no existe en el maestro","OK"))</f>
        <v/>
      </c>
    </row>
    <row r="211">
      <c r="A211" s="12" t="n"/>
      <c r="B211" s="18" t="n"/>
      <c r="C211" s="16" t="n"/>
      <c r="D211" s="18" t="n"/>
      <c r="E211" s="18" t="n"/>
      <c r="F211" s="28" t="n"/>
      <c r="G211" s="41">
        <f>IFERROR(INDEX(Insumos!$F$5:$F$163,MATCH($B211&amp;" | "&amp;$C211,Insumos!$I$5:$I$163,0)),"")</f>
        <v/>
      </c>
      <c r="H211" s="28" t="n"/>
      <c r="I211" s="42">
        <f>IFERROR($F211*$G211,0)+IFERROR($H211,0)</f>
        <v/>
      </c>
      <c r="J211" s="18" t="n"/>
      <c r="K211" s="35">
        <f>IF($C211="","",IF(COUNTIF(Insumos!$I$5:$I$163,$B211&amp;" | "&amp;$C211)=0,"REVISAR: area+insumo no existe en el maestro","OK"))</f>
        <v/>
      </c>
    </row>
    <row r="212">
      <c r="A212" s="12" t="n"/>
      <c r="B212" s="18" t="n"/>
      <c r="C212" s="16" t="n"/>
      <c r="D212" s="18" t="n"/>
      <c r="E212" s="18" t="n"/>
      <c r="F212" s="28" t="n"/>
      <c r="G212" s="41">
        <f>IFERROR(INDEX(Insumos!$F$5:$F$163,MATCH($B212&amp;" | "&amp;$C212,Insumos!$I$5:$I$163,0)),"")</f>
        <v/>
      </c>
      <c r="H212" s="28" t="n"/>
      <c r="I212" s="42">
        <f>IFERROR($F212*$G212,0)+IFERROR($H212,0)</f>
        <v/>
      </c>
      <c r="J212" s="18" t="n"/>
      <c r="K212" s="35">
        <f>IF($C212="","",IF(COUNTIF(Insumos!$I$5:$I$163,$B212&amp;" | "&amp;$C212)=0,"REVISAR: area+insumo no existe en el maestro","OK"))</f>
        <v/>
      </c>
    </row>
    <row r="213">
      <c r="A213" s="12" t="n"/>
      <c r="B213" s="18" t="n"/>
      <c r="C213" s="16" t="n"/>
      <c r="D213" s="18" t="n"/>
      <c r="E213" s="18" t="n"/>
      <c r="F213" s="28" t="n"/>
      <c r="G213" s="41">
        <f>IFERROR(INDEX(Insumos!$F$5:$F$163,MATCH($B213&amp;" | "&amp;$C213,Insumos!$I$5:$I$163,0)),"")</f>
        <v/>
      </c>
      <c r="H213" s="28" t="n"/>
      <c r="I213" s="42">
        <f>IFERROR($F213*$G213,0)+IFERROR($H213,0)</f>
        <v/>
      </c>
      <c r="J213" s="18" t="n"/>
      <c r="K213" s="35">
        <f>IF($C213="","",IF(COUNTIF(Insumos!$I$5:$I$163,$B213&amp;" | "&amp;$C213)=0,"REVISAR: area+insumo no existe en el maestro","OK"))</f>
        <v/>
      </c>
    </row>
    <row r="214">
      <c r="A214" s="12" t="n"/>
      <c r="B214" s="18" t="n"/>
      <c r="C214" s="16" t="n"/>
      <c r="D214" s="18" t="n"/>
      <c r="E214" s="18" t="n"/>
      <c r="F214" s="28" t="n"/>
      <c r="G214" s="41">
        <f>IFERROR(INDEX(Insumos!$F$5:$F$163,MATCH($B214&amp;" | "&amp;$C214,Insumos!$I$5:$I$163,0)),"")</f>
        <v/>
      </c>
      <c r="H214" s="28" t="n"/>
      <c r="I214" s="42">
        <f>IFERROR($F214*$G214,0)+IFERROR($H214,0)</f>
        <v/>
      </c>
      <c r="J214" s="18" t="n"/>
      <c r="K214" s="35">
        <f>IF($C214="","",IF(COUNTIF(Insumos!$I$5:$I$163,$B214&amp;" | "&amp;$C214)=0,"REVISAR: area+insumo no existe en el maestro","OK"))</f>
        <v/>
      </c>
    </row>
    <row r="215">
      <c r="A215" s="12" t="n"/>
      <c r="B215" s="18" t="n"/>
      <c r="C215" s="16" t="n"/>
      <c r="D215" s="18" t="n"/>
      <c r="E215" s="18" t="n"/>
      <c r="F215" s="28" t="n"/>
      <c r="G215" s="41">
        <f>IFERROR(INDEX(Insumos!$F$5:$F$163,MATCH($B215&amp;" | "&amp;$C215,Insumos!$I$5:$I$163,0)),"")</f>
        <v/>
      </c>
      <c r="H215" s="28" t="n"/>
      <c r="I215" s="42">
        <f>IFERROR($F215*$G215,0)+IFERROR($H215,0)</f>
        <v/>
      </c>
      <c r="J215" s="18" t="n"/>
      <c r="K215" s="35">
        <f>IF($C215="","",IF(COUNTIF(Insumos!$I$5:$I$163,$B215&amp;" | "&amp;$C215)=0,"REVISAR: area+insumo no existe en el maestro","OK"))</f>
        <v/>
      </c>
    </row>
    <row r="216">
      <c r="A216" s="12" t="n"/>
      <c r="B216" s="18" t="n"/>
      <c r="C216" s="16" t="n"/>
      <c r="D216" s="18" t="n"/>
      <c r="E216" s="18" t="n"/>
      <c r="F216" s="28" t="n"/>
      <c r="G216" s="41">
        <f>IFERROR(INDEX(Insumos!$F$5:$F$163,MATCH($B216&amp;" | "&amp;$C216,Insumos!$I$5:$I$163,0)),"")</f>
        <v/>
      </c>
      <c r="H216" s="28" t="n"/>
      <c r="I216" s="42">
        <f>IFERROR($F216*$G216,0)+IFERROR($H216,0)</f>
        <v/>
      </c>
      <c r="J216" s="18" t="n"/>
      <c r="K216" s="35">
        <f>IF($C216="","",IF(COUNTIF(Insumos!$I$5:$I$163,$B216&amp;" | "&amp;$C216)=0,"REVISAR: area+insumo no existe en el maestro","OK"))</f>
        <v/>
      </c>
    </row>
    <row r="217">
      <c r="A217" s="12" t="n"/>
      <c r="B217" s="18" t="n"/>
      <c r="C217" s="16" t="n"/>
      <c r="D217" s="18" t="n"/>
      <c r="E217" s="18" t="n"/>
      <c r="F217" s="28" t="n"/>
      <c r="G217" s="41">
        <f>IFERROR(INDEX(Insumos!$F$5:$F$163,MATCH($B217&amp;" | "&amp;$C217,Insumos!$I$5:$I$163,0)),"")</f>
        <v/>
      </c>
      <c r="H217" s="28" t="n"/>
      <c r="I217" s="42">
        <f>IFERROR($F217*$G217,0)+IFERROR($H217,0)</f>
        <v/>
      </c>
      <c r="J217" s="18" t="n"/>
      <c r="K217" s="35">
        <f>IF($C217="","",IF(COUNTIF(Insumos!$I$5:$I$163,$B217&amp;" | "&amp;$C217)=0,"REVISAR: area+insumo no existe en el maestro","OK"))</f>
        <v/>
      </c>
    </row>
    <row r="218">
      <c r="A218" s="12" t="n"/>
      <c r="B218" s="18" t="n"/>
      <c r="C218" s="16" t="n"/>
      <c r="D218" s="18" t="n"/>
      <c r="E218" s="18" t="n"/>
      <c r="F218" s="28" t="n"/>
      <c r="G218" s="41">
        <f>IFERROR(INDEX(Insumos!$F$5:$F$163,MATCH($B218&amp;" | "&amp;$C218,Insumos!$I$5:$I$163,0)),"")</f>
        <v/>
      </c>
      <c r="H218" s="28" t="n"/>
      <c r="I218" s="42">
        <f>IFERROR($F218*$G218,0)+IFERROR($H218,0)</f>
        <v/>
      </c>
      <c r="J218" s="18" t="n"/>
      <c r="K218" s="35">
        <f>IF($C218="","",IF(COUNTIF(Insumos!$I$5:$I$163,$B218&amp;" | "&amp;$C218)=0,"REVISAR: area+insumo no existe en el maestro","OK"))</f>
        <v/>
      </c>
    </row>
    <row r="219">
      <c r="A219" s="12" t="n"/>
      <c r="B219" s="18" t="n"/>
      <c r="C219" s="16" t="n"/>
      <c r="D219" s="18" t="n"/>
      <c r="E219" s="18" t="n"/>
      <c r="F219" s="28" t="n"/>
      <c r="G219" s="41">
        <f>IFERROR(INDEX(Insumos!$F$5:$F$163,MATCH($B219&amp;" | "&amp;$C219,Insumos!$I$5:$I$163,0)),"")</f>
        <v/>
      </c>
      <c r="H219" s="28" t="n"/>
      <c r="I219" s="42">
        <f>IFERROR($F219*$G219,0)+IFERROR($H219,0)</f>
        <v/>
      </c>
      <c r="J219" s="18" t="n"/>
      <c r="K219" s="35">
        <f>IF($C219="","",IF(COUNTIF(Insumos!$I$5:$I$163,$B219&amp;" | "&amp;$C219)=0,"REVISAR: area+insumo no existe en el maestro","OK"))</f>
        <v/>
      </c>
    </row>
    <row r="220">
      <c r="A220" s="12" t="n"/>
      <c r="B220" s="18" t="n"/>
      <c r="C220" s="16" t="n"/>
      <c r="D220" s="18" t="n"/>
      <c r="E220" s="18" t="n"/>
      <c r="F220" s="28" t="n"/>
      <c r="G220" s="41">
        <f>IFERROR(INDEX(Insumos!$F$5:$F$163,MATCH($B220&amp;" | "&amp;$C220,Insumos!$I$5:$I$163,0)),"")</f>
        <v/>
      </c>
      <c r="H220" s="28" t="n"/>
      <c r="I220" s="42">
        <f>IFERROR($F220*$G220,0)+IFERROR($H220,0)</f>
        <v/>
      </c>
      <c r="J220" s="18" t="n"/>
      <c r="K220" s="35">
        <f>IF($C220="","",IF(COUNTIF(Insumos!$I$5:$I$163,$B220&amp;" | "&amp;$C220)=0,"REVISAR: area+insumo no existe en el maestro","OK"))</f>
        <v/>
      </c>
    </row>
    <row r="221">
      <c r="A221" s="12" t="n"/>
      <c r="B221" s="18" t="n"/>
      <c r="C221" s="16" t="n"/>
      <c r="D221" s="18" t="n"/>
      <c r="E221" s="18" t="n"/>
      <c r="F221" s="28" t="n"/>
      <c r="G221" s="41">
        <f>IFERROR(INDEX(Insumos!$F$5:$F$163,MATCH($B221&amp;" | "&amp;$C221,Insumos!$I$5:$I$163,0)),"")</f>
        <v/>
      </c>
      <c r="H221" s="28" t="n"/>
      <c r="I221" s="42">
        <f>IFERROR($F221*$G221,0)+IFERROR($H221,0)</f>
        <v/>
      </c>
      <c r="J221" s="18" t="n"/>
      <c r="K221" s="35">
        <f>IF($C221="","",IF(COUNTIF(Insumos!$I$5:$I$163,$B221&amp;" | "&amp;$C221)=0,"REVISAR: area+insumo no existe en el maestro","OK"))</f>
        <v/>
      </c>
    </row>
    <row r="222">
      <c r="A222" s="12" t="n"/>
      <c r="B222" s="18" t="n"/>
      <c r="C222" s="16" t="n"/>
      <c r="D222" s="18" t="n"/>
      <c r="E222" s="18" t="n"/>
      <c r="F222" s="28" t="n"/>
      <c r="G222" s="41">
        <f>IFERROR(INDEX(Insumos!$F$5:$F$163,MATCH($B222&amp;" | "&amp;$C222,Insumos!$I$5:$I$163,0)),"")</f>
        <v/>
      </c>
      <c r="H222" s="28" t="n"/>
      <c r="I222" s="42">
        <f>IFERROR($F222*$G222,0)+IFERROR($H222,0)</f>
        <v/>
      </c>
      <c r="J222" s="18" t="n"/>
      <c r="K222" s="35">
        <f>IF($C222="","",IF(COUNTIF(Insumos!$I$5:$I$163,$B222&amp;" | "&amp;$C222)=0,"REVISAR: area+insumo no existe en el maestro","OK"))</f>
        <v/>
      </c>
    </row>
    <row r="223">
      <c r="A223" s="12" t="n"/>
      <c r="B223" s="18" t="n"/>
      <c r="C223" s="16" t="n"/>
      <c r="D223" s="18" t="n"/>
      <c r="E223" s="18" t="n"/>
      <c r="F223" s="28" t="n"/>
      <c r="G223" s="41">
        <f>IFERROR(INDEX(Insumos!$F$5:$F$163,MATCH($B223&amp;" | "&amp;$C223,Insumos!$I$5:$I$163,0)),"")</f>
        <v/>
      </c>
      <c r="H223" s="28" t="n"/>
      <c r="I223" s="42">
        <f>IFERROR($F223*$G223,0)+IFERROR($H223,0)</f>
        <v/>
      </c>
      <c r="J223" s="18" t="n"/>
      <c r="K223" s="35">
        <f>IF($C223="","",IF(COUNTIF(Insumos!$I$5:$I$163,$B223&amp;" | "&amp;$C223)=0,"REVISAR: area+insumo no existe en el maestro","OK"))</f>
        <v/>
      </c>
    </row>
    <row r="224">
      <c r="A224" s="12" t="n"/>
      <c r="B224" s="18" t="n"/>
      <c r="C224" s="16" t="n"/>
      <c r="D224" s="18" t="n"/>
      <c r="E224" s="18" t="n"/>
      <c r="F224" s="28" t="n"/>
      <c r="G224" s="41">
        <f>IFERROR(INDEX(Insumos!$F$5:$F$163,MATCH($B224&amp;" | "&amp;$C224,Insumos!$I$5:$I$163,0)),"")</f>
        <v/>
      </c>
      <c r="H224" s="28" t="n"/>
      <c r="I224" s="42">
        <f>IFERROR($F224*$G224,0)+IFERROR($H224,0)</f>
        <v/>
      </c>
      <c r="J224" s="18" t="n"/>
      <c r="K224" s="35">
        <f>IF($C224="","",IF(COUNTIF(Insumos!$I$5:$I$163,$B224&amp;" | "&amp;$C224)=0,"REVISAR: area+insumo no existe en el maestro","OK"))</f>
        <v/>
      </c>
    </row>
    <row r="225">
      <c r="A225" s="12" t="n"/>
      <c r="B225" s="18" t="n"/>
      <c r="C225" s="16" t="n"/>
      <c r="D225" s="18" t="n"/>
      <c r="E225" s="18" t="n"/>
      <c r="F225" s="28" t="n"/>
      <c r="G225" s="41">
        <f>IFERROR(INDEX(Insumos!$F$5:$F$163,MATCH($B225&amp;" | "&amp;$C225,Insumos!$I$5:$I$163,0)),"")</f>
        <v/>
      </c>
      <c r="H225" s="28" t="n"/>
      <c r="I225" s="42">
        <f>IFERROR($F225*$G225,0)+IFERROR($H225,0)</f>
        <v/>
      </c>
      <c r="J225" s="18" t="n"/>
      <c r="K225" s="35">
        <f>IF($C225="","",IF(COUNTIF(Insumos!$I$5:$I$163,$B225&amp;" | "&amp;$C225)=0,"REVISAR: area+insumo no existe en el maestro","OK"))</f>
        <v/>
      </c>
    </row>
    <row r="226">
      <c r="A226" s="12" t="n"/>
      <c r="B226" s="18" t="n"/>
      <c r="C226" s="16" t="n"/>
      <c r="D226" s="18" t="n"/>
      <c r="E226" s="18" t="n"/>
      <c r="F226" s="28" t="n"/>
      <c r="G226" s="41">
        <f>IFERROR(INDEX(Insumos!$F$5:$F$163,MATCH($B226&amp;" | "&amp;$C226,Insumos!$I$5:$I$163,0)),"")</f>
        <v/>
      </c>
      <c r="H226" s="28" t="n"/>
      <c r="I226" s="42">
        <f>IFERROR($F226*$G226,0)+IFERROR($H226,0)</f>
        <v/>
      </c>
      <c r="J226" s="18" t="n"/>
      <c r="K226" s="35">
        <f>IF($C226="","",IF(COUNTIF(Insumos!$I$5:$I$163,$B226&amp;" | "&amp;$C226)=0,"REVISAR: area+insumo no existe en el maestro","OK"))</f>
        <v/>
      </c>
    </row>
    <row r="227">
      <c r="A227" s="12" t="n"/>
      <c r="B227" s="18" t="n"/>
      <c r="C227" s="16" t="n"/>
      <c r="D227" s="18" t="n"/>
      <c r="E227" s="18" t="n"/>
      <c r="F227" s="28" t="n"/>
      <c r="G227" s="41">
        <f>IFERROR(INDEX(Insumos!$F$5:$F$163,MATCH($B227&amp;" | "&amp;$C227,Insumos!$I$5:$I$163,0)),"")</f>
        <v/>
      </c>
      <c r="H227" s="28" t="n"/>
      <c r="I227" s="42">
        <f>IFERROR($F227*$G227,0)+IFERROR($H227,0)</f>
        <v/>
      </c>
      <c r="J227" s="18" t="n"/>
      <c r="K227" s="35">
        <f>IF($C227="","",IF(COUNTIF(Insumos!$I$5:$I$163,$B227&amp;" | "&amp;$C227)=0,"REVISAR: area+insumo no existe en el maestro","OK"))</f>
        <v/>
      </c>
    </row>
    <row r="228">
      <c r="A228" s="12" t="n"/>
      <c r="B228" s="18" t="n"/>
      <c r="C228" s="16" t="n"/>
      <c r="D228" s="18" t="n"/>
      <c r="E228" s="18" t="n"/>
      <c r="F228" s="28" t="n"/>
      <c r="G228" s="41">
        <f>IFERROR(INDEX(Insumos!$F$5:$F$163,MATCH($B228&amp;" | "&amp;$C228,Insumos!$I$5:$I$163,0)),"")</f>
        <v/>
      </c>
      <c r="H228" s="28" t="n"/>
      <c r="I228" s="42">
        <f>IFERROR($F228*$G228,0)+IFERROR($H228,0)</f>
        <v/>
      </c>
      <c r="J228" s="18" t="n"/>
      <c r="K228" s="35">
        <f>IF($C228="","",IF(COUNTIF(Insumos!$I$5:$I$163,$B228&amp;" | "&amp;$C228)=0,"REVISAR: area+insumo no existe en el maestro","OK"))</f>
        <v/>
      </c>
    </row>
    <row r="229">
      <c r="A229" s="12" t="n"/>
      <c r="B229" s="18" t="n"/>
      <c r="C229" s="16" t="n"/>
      <c r="D229" s="18" t="n"/>
      <c r="E229" s="18" t="n"/>
      <c r="F229" s="28" t="n"/>
      <c r="G229" s="41">
        <f>IFERROR(INDEX(Insumos!$F$5:$F$163,MATCH($B229&amp;" | "&amp;$C229,Insumos!$I$5:$I$163,0)),"")</f>
        <v/>
      </c>
      <c r="H229" s="28" t="n"/>
      <c r="I229" s="42">
        <f>IFERROR($F229*$G229,0)+IFERROR($H229,0)</f>
        <v/>
      </c>
      <c r="J229" s="18" t="n"/>
      <c r="K229" s="35">
        <f>IF($C229="","",IF(COUNTIF(Insumos!$I$5:$I$163,$B229&amp;" | "&amp;$C229)=0,"REVISAR: area+insumo no existe en el maestro","OK"))</f>
        <v/>
      </c>
    </row>
    <row r="230">
      <c r="A230" s="12" t="n"/>
      <c r="B230" s="18" t="n"/>
      <c r="C230" s="16" t="n"/>
      <c r="D230" s="18" t="n"/>
      <c r="E230" s="18" t="n"/>
      <c r="F230" s="28" t="n"/>
      <c r="G230" s="41">
        <f>IFERROR(INDEX(Insumos!$F$5:$F$163,MATCH($B230&amp;" | "&amp;$C230,Insumos!$I$5:$I$163,0)),"")</f>
        <v/>
      </c>
      <c r="H230" s="28" t="n"/>
      <c r="I230" s="42">
        <f>IFERROR($F230*$G230,0)+IFERROR($H230,0)</f>
        <v/>
      </c>
      <c r="J230" s="18" t="n"/>
      <c r="K230" s="35">
        <f>IF($C230="","",IF(COUNTIF(Insumos!$I$5:$I$163,$B230&amp;" | "&amp;$C230)=0,"REVISAR: area+insumo no existe en el maestro","OK"))</f>
        <v/>
      </c>
    </row>
    <row r="231">
      <c r="A231" s="12" t="n"/>
      <c r="B231" s="18" t="n"/>
      <c r="C231" s="16" t="n"/>
      <c r="D231" s="18" t="n"/>
      <c r="E231" s="18" t="n"/>
      <c r="F231" s="28" t="n"/>
      <c r="G231" s="41">
        <f>IFERROR(INDEX(Insumos!$F$5:$F$163,MATCH($B231&amp;" | "&amp;$C231,Insumos!$I$5:$I$163,0)),"")</f>
        <v/>
      </c>
      <c r="H231" s="28" t="n"/>
      <c r="I231" s="42">
        <f>IFERROR($F231*$G231,0)+IFERROR($H231,0)</f>
        <v/>
      </c>
      <c r="J231" s="18" t="n"/>
      <c r="K231" s="35">
        <f>IF($C231="","",IF(COUNTIF(Insumos!$I$5:$I$163,$B231&amp;" | "&amp;$C231)=0,"REVISAR: area+insumo no existe en el maestro","OK"))</f>
        <v/>
      </c>
    </row>
    <row r="232">
      <c r="A232" s="12" t="n"/>
      <c r="B232" s="18" t="n"/>
      <c r="C232" s="16" t="n"/>
      <c r="D232" s="18" t="n"/>
      <c r="E232" s="18" t="n"/>
      <c r="F232" s="28" t="n"/>
      <c r="G232" s="41">
        <f>IFERROR(INDEX(Insumos!$F$5:$F$163,MATCH($B232&amp;" | "&amp;$C232,Insumos!$I$5:$I$163,0)),"")</f>
        <v/>
      </c>
      <c r="H232" s="28" t="n"/>
      <c r="I232" s="42">
        <f>IFERROR($F232*$G232,0)+IFERROR($H232,0)</f>
        <v/>
      </c>
      <c r="J232" s="18" t="n"/>
      <c r="K232" s="35">
        <f>IF($C232="","",IF(COUNTIF(Insumos!$I$5:$I$163,$B232&amp;" | "&amp;$C232)=0,"REVISAR: area+insumo no existe en el maestro","OK"))</f>
        <v/>
      </c>
    </row>
    <row r="233">
      <c r="A233" s="12" t="n"/>
      <c r="B233" s="18" t="n"/>
      <c r="C233" s="16" t="n"/>
      <c r="D233" s="18" t="n"/>
      <c r="E233" s="18" t="n"/>
      <c r="F233" s="28" t="n"/>
      <c r="G233" s="41">
        <f>IFERROR(INDEX(Insumos!$F$5:$F$163,MATCH($B233&amp;" | "&amp;$C233,Insumos!$I$5:$I$163,0)),"")</f>
        <v/>
      </c>
      <c r="H233" s="28" t="n"/>
      <c r="I233" s="42">
        <f>IFERROR($F233*$G233,0)+IFERROR($H233,0)</f>
        <v/>
      </c>
      <c r="J233" s="18" t="n"/>
      <c r="K233" s="35">
        <f>IF($C233="","",IF(COUNTIF(Insumos!$I$5:$I$163,$B233&amp;" | "&amp;$C233)=0,"REVISAR: area+insumo no existe en el maestro","OK"))</f>
        <v/>
      </c>
    </row>
    <row r="234">
      <c r="A234" s="12" t="n"/>
      <c r="B234" s="18" t="n"/>
      <c r="C234" s="16" t="n"/>
      <c r="D234" s="18" t="n"/>
      <c r="E234" s="18" t="n"/>
      <c r="F234" s="28" t="n"/>
      <c r="G234" s="41">
        <f>IFERROR(INDEX(Insumos!$F$5:$F$163,MATCH($B234&amp;" | "&amp;$C234,Insumos!$I$5:$I$163,0)),"")</f>
        <v/>
      </c>
      <c r="H234" s="28" t="n"/>
      <c r="I234" s="42">
        <f>IFERROR($F234*$G234,0)+IFERROR($H234,0)</f>
        <v/>
      </c>
      <c r="J234" s="18" t="n"/>
      <c r="K234" s="35">
        <f>IF($C234="","",IF(COUNTIF(Insumos!$I$5:$I$163,$B234&amp;" | "&amp;$C234)=0,"REVISAR: area+insumo no existe en el maestro","OK"))</f>
        <v/>
      </c>
    </row>
    <row r="235">
      <c r="A235" s="12" t="n"/>
      <c r="B235" s="18" t="n"/>
      <c r="C235" s="16" t="n"/>
      <c r="D235" s="18" t="n"/>
      <c r="E235" s="18" t="n"/>
      <c r="F235" s="28" t="n"/>
      <c r="G235" s="41">
        <f>IFERROR(INDEX(Insumos!$F$5:$F$163,MATCH($B235&amp;" | "&amp;$C235,Insumos!$I$5:$I$163,0)),"")</f>
        <v/>
      </c>
      <c r="H235" s="28" t="n"/>
      <c r="I235" s="42">
        <f>IFERROR($F235*$G235,0)+IFERROR($H235,0)</f>
        <v/>
      </c>
      <c r="J235" s="18" t="n"/>
      <c r="K235" s="35">
        <f>IF($C235="","",IF(COUNTIF(Insumos!$I$5:$I$163,$B235&amp;" | "&amp;$C235)=0,"REVISAR: area+insumo no existe en el maestro","OK"))</f>
        <v/>
      </c>
    </row>
    <row r="236">
      <c r="A236" s="12" t="n"/>
      <c r="B236" s="18" t="n"/>
      <c r="C236" s="16" t="n"/>
      <c r="D236" s="18" t="n"/>
      <c r="E236" s="18" t="n"/>
      <c r="F236" s="28" t="n"/>
      <c r="G236" s="41">
        <f>IFERROR(INDEX(Insumos!$F$5:$F$163,MATCH($B236&amp;" | "&amp;$C236,Insumos!$I$5:$I$163,0)),"")</f>
        <v/>
      </c>
      <c r="H236" s="28" t="n"/>
      <c r="I236" s="42">
        <f>IFERROR($F236*$G236,0)+IFERROR($H236,0)</f>
        <v/>
      </c>
      <c r="J236" s="18" t="n"/>
      <c r="K236" s="35">
        <f>IF($C236="","",IF(COUNTIF(Insumos!$I$5:$I$163,$B236&amp;" | "&amp;$C236)=0,"REVISAR: area+insumo no existe en el maestro","OK"))</f>
        <v/>
      </c>
    </row>
    <row r="237">
      <c r="A237" s="12" t="n"/>
      <c r="B237" s="18" t="n"/>
      <c r="C237" s="16" t="n"/>
      <c r="D237" s="18" t="n"/>
      <c r="E237" s="18" t="n"/>
      <c r="F237" s="28" t="n"/>
      <c r="G237" s="41">
        <f>IFERROR(INDEX(Insumos!$F$5:$F$163,MATCH($B237&amp;" | "&amp;$C237,Insumos!$I$5:$I$163,0)),"")</f>
        <v/>
      </c>
      <c r="H237" s="28" t="n"/>
      <c r="I237" s="42">
        <f>IFERROR($F237*$G237,0)+IFERROR($H237,0)</f>
        <v/>
      </c>
      <c r="J237" s="18" t="n"/>
      <c r="K237" s="35">
        <f>IF($C237="","",IF(COUNTIF(Insumos!$I$5:$I$163,$B237&amp;" | "&amp;$C237)=0,"REVISAR: area+insumo no existe en el maestro","OK"))</f>
        <v/>
      </c>
    </row>
    <row r="238">
      <c r="A238" s="12" t="n"/>
      <c r="B238" s="18" t="n"/>
      <c r="C238" s="16" t="n"/>
      <c r="D238" s="18" t="n"/>
      <c r="E238" s="18" t="n"/>
      <c r="F238" s="28" t="n"/>
      <c r="G238" s="41">
        <f>IFERROR(INDEX(Insumos!$F$5:$F$163,MATCH($B238&amp;" | "&amp;$C238,Insumos!$I$5:$I$163,0)),"")</f>
        <v/>
      </c>
      <c r="H238" s="28" t="n"/>
      <c r="I238" s="42">
        <f>IFERROR($F238*$G238,0)+IFERROR($H238,0)</f>
        <v/>
      </c>
      <c r="J238" s="18" t="n"/>
      <c r="K238" s="35">
        <f>IF($C238="","",IF(COUNTIF(Insumos!$I$5:$I$163,$B238&amp;" | "&amp;$C238)=0,"REVISAR: area+insumo no existe en el maestro","OK"))</f>
        <v/>
      </c>
    </row>
    <row r="239">
      <c r="A239" s="12" t="n"/>
      <c r="B239" s="18" t="n"/>
      <c r="C239" s="16" t="n"/>
      <c r="D239" s="18" t="n"/>
      <c r="E239" s="18" t="n"/>
      <c r="F239" s="28" t="n"/>
      <c r="G239" s="41">
        <f>IFERROR(INDEX(Insumos!$F$5:$F$163,MATCH($B239&amp;" | "&amp;$C239,Insumos!$I$5:$I$163,0)),"")</f>
        <v/>
      </c>
      <c r="H239" s="28" t="n"/>
      <c r="I239" s="42">
        <f>IFERROR($F239*$G239,0)+IFERROR($H239,0)</f>
        <v/>
      </c>
      <c r="J239" s="18" t="n"/>
      <c r="K239" s="35">
        <f>IF($C239="","",IF(COUNTIF(Insumos!$I$5:$I$163,$B239&amp;" | "&amp;$C239)=0,"REVISAR: area+insumo no existe en el maestro","OK"))</f>
        <v/>
      </c>
    </row>
    <row r="240">
      <c r="A240" s="12" t="n"/>
      <c r="B240" s="18" t="n"/>
      <c r="C240" s="16" t="n"/>
      <c r="D240" s="18" t="n"/>
      <c r="E240" s="18" t="n"/>
      <c r="F240" s="28" t="n"/>
      <c r="G240" s="41">
        <f>IFERROR(INDEX(Insumos!$F$5:$F$163,MATCH($B240&amp;" | "&amp;$C240,Insumos!$I$5:$I$163,0)),"")</f>
        <v/>
      </c>
      <c r="H240" s="28" t="n"/>
      <c r="I240" s="42">
        <f>IFERROR($F240*$G240,0)+IFERROR($H240,0)</f>
        <v/>
      </c>
      <c r="J240" s="18" t="n"/>
      <c r="K240" s="35">
        <f>IF($C240="","",IF(COUNTIF(Insumos!$I$5:$I$163,$B240&amp;" | "&amp;$C240)=0,"REVISAR: area+insumo no existe en el maestro","OK"))</f>
        <v/>
      </c>
    </row>
    <row r="241">
      <c r="A241" s="12" t="n"/>
      <c r="B241" s="18" t="n"/>
      <c r="C241" s="16" t="n"/>
      <c r="D241" s="18" t="n"/>
      <c r="E241" s="18" t="n"/>
      <c r="F241" s="28" t="n"/>
      <c r="G241" s="41">
        <f>IFERROR(INDEX(Insumos!$F$5:$F$163,MATCH($B241&amp;" | "&amp;$C241,Insumos!$I$5:$I$163,0)),"")</f>
        <v/>
      </c>
      <c r="H241" s="28" t="n"/>
      <c r="I241" s="42">
        <f>IFERROR($F241*$G241,0)+IFERROR($H241,0)</f>
        <v/>
      </c>
      <c r="J241" s="18" t="n"/>
      <c r="K241" s="35">
        <f>IF($C241="","",IF(COUNTIF(Insumos!$I$5:$I$163,$B241&amp;" | "&amp;$C241)=0,"REVISAR: area+insumo no existe en el maestro","OK"))</f>
        <v/>
      </c>
    </row>
    <row r="242">
      <c r="A242" s="12" t="n"/>
      <c r="B242" s="18" t="n"/>
      <c r="C242" s="16" t="n"/>
      <c r="D242" s="18" t="n"/>
      <c r="E242" s="18" t="n"/>
      <c r="F242" s="28" t="n"/>
      <c r="G242" s="41">
        <f>IFERROR(INDEX(Insumos!$F$5:$F$163,MATCH($B242&amp;" | "&amp;$C242,Insumos!$I$5:$I$163,0)),"")</f>
        <v/>
      </c>
      <c r="H242" s="28" t="n"/>
      <c r="I242" s="42">
        <f>IFERROR($F242*$G242,0)+IFERROR($H242,0)</f>
        <v/>
      </c>
      <c r="J242" s="18" t="n"/>
      <c r="K242" s="35">
        <f>IF($C242="","",IF(COUNTIF(Insumos!$I$5:$I$163,$B242&amp;" | "&amp;$C242)=0,"REVISAR: area+insumo no existe en el maestro","OK"))</f>
        <v/>
      </c>
    </row>
    <row r="243">
      <c r="A243" s="12" t="n"/>
      <c r="B243" s="18" t="n"/>
      <c r="C243" s="16" t="n"/>
      <c r="D243" s="18" t="n"/>
      <c r="E243" s="18" t="n"/>
      <c r="F243" s="28" t="n"/>
      <c r="G243" s="41">
        <f>IFERROR(INDEX(Insumos!$F$5:$F$163,MATCH($B243&amp;" | "&amp;$C243,Insumos!$I$5:$I$163,0)),"")</f>
        <v/>
      </c>
      <c r="H243" s="28" t="n"/>
      <c r="I243" s="42">
        <f>IFERROR($F243*$G243,0)+IFERROR($H243,0)</f>
        <v/>
      </c>
      <c r="J243" s="18" t="n"/>
      <c r="K243" s="35">
        <f>IF($C243="","",IF(COUNTIF(Insumos!$I$5:$I$163,$B243&amp;" | "&amp;$C243)=0,"REVISAR: area+insumo no existe en el maestro","OK"))</f>
        <v/>
      </c>
    </row>
    <row r="244">
      <c r="A244" s="12" t="n"/>
      <c r="B244" s="18" t="n"/>
      <c r="C244" s="16" t="n"/>
      <c r="D244" s="18" t="n"/>
      <c r="E244" s="18" t="n"/>
      <c r="F244" s="28" t="n"/>
      <c r="G244" s="41">
        <f>IFERROR(INDEX(Insumos!$F$5:$F$163,MATCH($B244&amp;" | "&amp;$C244,Insumos!$I$5:$I$163,0)),"")</f>
        <v/>
      </c>
      <c r="H244" s="28" t="n"/>
      <c r="I244" s="42">
        <f>IFERROR($F244*$G244,0)+IFERROR($H244,0)</f>
        <v/>
      </c>
      <c r="J244" s="18" t="n"/>
      <c r="K244" s="35">
        <f>IF($C244="","",IF(COUNTIF(Insumos!$I$5:$I$163,$B244&amp;" | "&amp;$C244)=0,"REVISAR: area+insumo no existe en el maestro","OK"))</f>
        <v/>
      </c>
    </row>
    <row r="245">
      <c r="A245" s="12" t="n"/>
      <c r="B245" s="18" t="n"/>
      <c r="C245" s="16" t="n"/>
      <c r="D245" s="18" t="n"/>
      <c r="E245" s="18" t="n"/>
      <c r="F245" s="28" t="n"/>
      <c r="G245" s="41">
        <f>IFERROR(INDEX(Insumos!$F$5:$F$163,MATCH($B245&amp;" | "&amp;$C245,Insumos!$I$5:$I$163,0)),"")</f>
        <v/>
      </c>
      <c r="H245" s="28" t="n"/>
      <c r="I245" s="42">
        <f>IFERROR($F245*$G245,0)+IFERROR($H245,0)</f>
        <v/>
      </c>
      <c r="J245" s="18" t="n"/>
      <c r="K245" s="35">
        <f>IF($C245="","",IF(COUNTIF(Insumos!$I$5:$I$163,$B245&amp;" | "&amp;$C245)=0,"REVISAR: area+insumo no existe en el maestro","OK"))</f>
        <v/>
      </c>
    </row>
    <row r="246">
      <c r="A246" s="12" t="n"/>
      <c r="B246" s="18" t="n"/>
      <c r="C246" s="16" t="n"/>
      <c r="D246" s="18" t="n"/>
      <c r="E246" s="18" t="n"/>
      <c r="F246" s="28" t="n"/>
      <c r="G246" s="41">
        <f>IFERROR(INDEX(Insumos!$F$5:$F$163,MATCH($B246&amp;" | "&amp;$C246,Insumos!$I$5:$I$163,0)),"")</f>
        <v/>
      </c>
      <c r="H246" s="28" t="n"/>
      <c r="I246" s="42">
        <f>IFERROR($F246*$G246,0)+IFERROR($H246,0)</f>
        <v/>
      </c>
      <c r="J246" s="18" t="n"/>
      <c r="K246" s="35">
        <f>IF($C246="","",IF(COUNTIF(Insumos!$I$5:$I$163,$B246&amp;" | "&amp;$C246)=0,"REVISAR: area+insumo no existe en el maestro","OK"))</f>
        <v/>
      </c>
    </row>
    <row r="247">
      <c r="A247" s="12" t="n"/>
      <c r="B247" s="18" t="n"/>
      <c r="C247" s="16" t="n"/>
      <c r="D247" s="18" t="n"/>
      <c r="E247" s="18" t="n"/>
      <c r="F247" s="28" t="n"/>
      <c r="G247" s="41">
        <f>IFERROR(INDEX(Insumos!$F$5:$F$163,MATCH($B247&amp;" | "&amp;$C247,Insumos!$I$5:$I$163,0)),"")</f>
        <v/>
      </c>
      <c r="H247" s="28" t="n"/>
      <c r="I247" s="42">
        <f>IFERROR($F247*$G247,0)+IFERROR($H247,0)</f>
        <v/>
      </c>
      <c r="J247" s="18" t="n"/>
      <c r="K247" s="35">
        <f>IF($C247="","",IF(COUNTIF(Insumos!$I$5:$I$163,$B247&amp;" | "&amp;$C247)=0,"REVISAR: area+insumo no existe en el maestro","OK"))</f>
        <v/>
      </c>
    </row>
    <row r="248">
      <c r="A248" s="12" t="n"/>
      <c r="B248" s="18" t="n"/>
      <c r="C248" s="16" t="n"/>
      <c r="D248" s="18" t="n"/>
      <c r="E248" s="18" t="n"/>
      <c r="F248" s="28" t="n"/>
      <c r="G248" s="41">
        <f>IFERROR(INDEX(Insumos!$F$5:$F$163,MATCH($B248&amp;" | "&amp;$C248,Insumos!$I$5:$I$163,0)),"")</f>
        <v/>
      </c>
      <c r="H248" s="28" t="n"/>
      <c r="I248" s="42">
        <f>IFERROR($F248*$G248,0)+IFERROR($H248,0)</f>
        <v/>
      </c>
      <c r="J248" s="18" t="n"/>
      <c r="K248" s="35">
        <f>IF($C248="","",IF(COUNTIF(Insumos!$I$5:$I$163,$B248&amp;" | "&amp;$C248)=0,"REVISAR: area+insumo no existe en el maestro","OK"))</f>
        <v/>
      </c>
    </row>
    <row r="249">
      <c r="A249" s="12" t="n"/>
      <c r="B249" s="18" t="n"/>
      <c r="C249" s="16" t="n"/>
      <c r="D249" s="18" t="n"/>
      <c r="E249" s="18" t="n"/>
      <c r="F249" s="28" t="n"/>
      <c r="G249" s="41">
        <f>IFERROR(INDEX(Insumos!$F$5:$F$163,MATCH($B249&amp;" | "&amp;$C249,Insumos!$I$5:$I$163,0)),"")</f>
        <v/>
      </c>
      <c r="H249" s="28" t="n"/>
      <c r="I249" s="42">
        <f>IFERROR($F249*$G249,0)+IFERROR($H249,0)</f>
        <v/>
      </c>
      <c r="J249" s="18" t="n"/>
      <c r="K249" s="35">
        <f>IF($C249="","",IF(COUNTIF(Insumos!$I$5:$I$163,$B249&amp;" | "&amp;$C249)=0,"REVISAR: area+insumo no existe en el maestro","OK"))</f>
        <v/>
      </c>
    </row>
    <row r="250">
      <c r="A250" s="12" t="n"/>
      <c r="B250" s="18" t="n"/>
      <c r="C250" s="16" t="n"/>
      <c r="D250" s="18" t="n"/>
      <c r="E250" s="18" t="n"/>
      <c r="F250" s="28" t="n"/>
      <c r="G250" s="41">
        <f>IFERROR(INDEX(Insumos!$F$5:$F$163,MATCH($B250&amp;" | "&amp;$C250,Insumos!$I$5:$I$163,0)),"")</f>
        <v/>
      </c>
      <c r="H250" s="28" t="n"/>
      <c r="I250" s="42">
        <f>IFERROR($F250*$G250,0)+IFERROR($H250,0)</f>
        <v/>
      </c>
      <c r="J250" s="18" t="n"/>
      <c r="K250" s="35">
        <f>IF($C250="","",IF(COUNTIF(Insumos!$I$5:$I$163,$B250&amp;" | "&amp;$C250)=0,"REVISAR: area+insumo no existe en el maestro","OK"))</f>
        <v/>
      </c>
    </row>
    <row r="251">
      <c r="A251" s="12" t="n"/>
      <c r="B251" s="18" t="n"/>
      <c r="C251" s="16" t="n"/>
      <c r="D251" s="18" t="n"/>
      <c r="E251" s="18" t="n"/>
      <c r="F251" s="28" t="n"/>
      <c r="G251" s="41">
        <f>IFERROR(INDEX(Insumos!$F$5:$F$163,MATCH($B251&amp;" | "&amp;$C251,Insumos!$I$5:$I$163,0)),"")</f>
        <v/>
      </c>
      <c r="H251" s="28" t="n"/>
      <c r="I251" s="42">
        <f>IFERROR($F251*$G251,0)+IFERROR($H251,0)</f>
        <v/>
      </c>
      <c r="J251" s="18" t="n"/>
      <c r="K251" s="35">
        <f>IF($C251="","",IF(COUNTIF(Insumos!$I$5:$I$163,$B251&amp;" | "&amp;$C251)=0,"REVISAR: area+insumo no existe en el maestro","OK"))</f>
        <v/>
      </c>
    </row>
    <row r="252">
      <c r="A252" s="12" t="n"/>
      <c r="B252" s="18" t="n"/>
      <c r="C252" s="16" t="n"/>
      <c r="D252" s="18" t="n"/>
      <c r="E252" s="18" t="n"/>
      <c r="F252" s="28" t="n"/>
      <c r="G252" s="41">
        <f>IFERROR(INDEX(Insumos!$F$5:$F$163,MATCH($B252&amp;" | "&amp;$C252,Insumos!$I$5:$I$163,0)),"")</f>
        <v/>
      </c>
      <c r="H252" s="28" t="n"/>
      <c r="I252" s="42">
        <f>IFERROR($F252*$G252,0)+IFERROR($H252,0)</f>
        <v/>
      </c>
      <c r="J252" s="18" t="n"/>
      <c r="K252" s="35">
        <f>IF($C252="","",IF(COUNTIF(Insumos!$I$5:$I$163,$B252&amp;" | "&amp;$C252)=0,"REVISAR: area+insumo no existe en el maestro","OK"))</f>
        <v/>
      </c>
    </row>
    <row r="253">
      <c r="A253" s="12" t="n"/>
      <c r="B253" s="18" t="n"/>
      <c r="C253" s="16" t="n"/>
      <c r="D253" s="18" t="n"/>
      <c r="E253" s="18" t="n"/>
      <c r="F253" s="28" t="n"/>
      <c r="G253" s="41">
        <f>IFERROR(INDEX(Insumos!$F$5:$F$163,MATCH($B253&amp;" | "&amp;$C253,Insumos!$I$5:$I$163,0)),"")</f>
        <v/>
      </c>
      <c r="H253" s="28" t="n"/>
      <c r="I253" s="42">
        <f>IFERROR($F253*$G253,0)+IFERROR($H253,0)</f>
        <v/>
      </c>
      <c r="J253" s="18" t="n"/>
      <c r="K253" s="35">
        <f>IF($C253="","",IF(COUNTIF(Insumos!$I$5:$I$163,$B253&amp;" | "&amp;$C253)=0,"REVISAR: area+insumo no existe en el maestro","OK"))</f>
        <v/>
      </c>
    </row>
    <row r="254">
      <c r="A254" s="12" t="n"/>
      <c r="B254" s="18" t="n"/>
      <c r="C254" s="16" t="n"/>
      <c r="D254" s="18" t="n"/>
      <c r="E254" s="18" t="n"/>
      <c r="F254" s="28" t="n"/>
      <c r="G254" s="41">
        <f>IFERROR(INDEX(Insumos!$F$5:$F$163,MATCH($B254&amp;" | "&amp;$C254,Insumos!$I$5:$I$163,0)),"")</f>
        <v/>
      </c>
      <c r="H254" s="28" t="n"/>
      <c r="I254" s="42">
        <f>IFERROR($F254*$G254,0)+IFERROR($H254,0)</f>
        <v/>
      </c>
      <c r="J254" s="18" t="n"/>
      <c r="K254" s="35">
        <f>IF($C254="","",IF(COUNTIF(Insumos!$I$5:$I$163,$B254&amp;" | "&amp;$C254)=0,"REVISAR: area+insumo no existe en el maestro","OK"))</f>
        <v/>
      </c>
    </row>
    <row r="255">
      <c r="A255" s="12" t="n"/>
      <c r="B255" s="18" t="n"/>
      <c r="C255" s="16" t="n"/>
      <c r="D255" s="18" t="n"/>
      <c r="E255" s="18" t="n"/>
      <c r="F255" s="28" t="n"/>
      <c r="G255" s="41">
        <f>IFERROR(INDEX(Insumos!$F$5:$F$163,MATCH($B255&amp;" | "&amp;$C255,Insumos!$I$5:$I$163,0)),"")</f>
        <v/>
      </c>
      <c r="H255" s="28" t="n"/>
      <c r="I255" s="42">
        <f>IFERROR($F255*$G255,0)+IFERROR($H255,0)</f>
        <v/>
      </c>
      <c r="J255" s="18" t="n"/>
      <c r="K255" s="35">
        <f>IF($C255="","",IF(COUNTIF(Insumos!$I$5:$I$163,$B255&amp;" | "&amp;$C255)=0,"REVISAR: area+insumo no existe en el maestro","OK"))</f>
        <v/>
      </c>
    </row>
  </sheetData>
  <autoFilter ref="A4:K255"/>
  <mergeCells count="3">
    <mergeCell ref="A2:K2"/>
    <mergeCell ref="A1:K1"/>
    <mergeCell ref="A3:K3"/>
  </mergeCells>
  <conditionalFormatting sqref="K6:K255">
    <cfRule type="cellIs" priority="1" operator="equal" dxfId="1">
      <formula>"OK"</formula>
    </cfRule>
    <cfRule type="expression" priority="2" dxfId="2">
      <formula>LEFT($K6,7)="REVISAR"</formula>
    </cfRule>
  </conditionalFormatting>
  <dataValidations count="2">
    <dataValidation sqref="B6:B255" showDropDown="0" showInputMessage="0" showErrorMessage="0" allowBlank="1" type="list">
      <formula1>Listas!$A$2:$A$7</formula1>
    </dataValidation>
    <dataValidation sqref="C6:C255" showDropDown="0" showInputMessage="0" showErrorMessage="0" allowBlank="1" type="list">
      <formula1>Listas!$B$2:$B$120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6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3" customWidth="1" min="2" max="2"/>
    <col width="8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PLANILLA 3 · CONTEO DIARIO DE INSUMOS CRITICOS</t>
        </is>
      </c>
    </row>
    <row r="2" ht="18" customHeight="1">
      <c r="A2" s="2" t="inlineStr">
        <is>
          <t>Cada jefe de area cuenta SOLO sus insumos criticos, al cierre de su jornada. 62 insumos en total (unos 10 por area).</t>
        </is>
      </c>
    </row>
    <row r="3" ht="18" customHeight="1">
      <c r="A3" s="3" t="inlineStr">
        <is>
          <t>Filtre por AREA e imprima una hoja por area. Mismo criterio que el inventario: bultos cerrados + suelto.</t>
        </is>
      </c>
    </row>
    <row r="4" ht="20" customHeight="1">
      <c r="A4" s="6" t="inlineStr">
        <is>
          <t>AREA</t>
        </is>
      </c>
      <c r="B4" s="6" t="inlineStr">
        <is>
          <t>INSUMO</t>
        </is>
      </c>
      <c r="C4" s="6" t="inlineStr">
        <is>
          <t>UNID.</t>
        </is>
      </c>
      <c r="D4" s="6" t="inlineStr">
        <is>
          <t>CONTENIDO
POR BULTO</t>
        </is>
      </c>
      <c r="E4" s="52">
        <f>IF(Config!$B$10="","LUNES",UPPER("LUN")&amp;" "&amp;TEXT(Config!$B$10,"dd/mm"))</f>
        <v/>
      </c>
      <c r="F4" s="53" t="n"/>
      <c r="G4" s="52">
        <f>IF(Config!$B$11="","MARTES",UPPER("MAR")&amp;" "&amp;TEXT(Config!$B$11,"dd/mm"))</f>
        <v/>
      </c>
      <c r="H4" s="53" t="n"/>
      <c r="I4" s="52">
        <f>IF(Config!$B$12="","MIERCOLES",UPPER("MIE")&amp;" "&amp;TEXT(Config!$B$12,"dd/mm"))</f>
        <v/>
      </c>
      <c r="J4" s="53" t="n"/>
      <c r="K4" s="52">
        <f>IF(Config!$B$13="","JUEVES",UPPER("JUE")&amp;" "&amp;TEXT(Config!$B$13,"dd/mm"))</f>
        <v/>
      </c>
      <c r="L4" s="53" t="n"/>
      <c r="M4" s="52">
        <f>IF(Config!$B$14="","VIERNES",UPPER("VIE")&amp;" "&amp;TEXT(Config!$B$14,"dd/mm"))</f>
        <v/>
      </c>
      <c r="N4" s="53" t="n"/>
      <c r="O4" s="52">
        <f>IF(Config!$B$15="","SABADO",UPPER("SAB")&amp;" "&amp;TEXT(Config!$B$15,"dd/mm"))</f>
        <v/>
      </c>
      <c r="P4" s="53" t="n"/>
      <c r="Q4" s="52">
        <f>IF(Config!$B$16="","DOMINGO",UPPER("DOM")&amp;" "&amp;TEXT(Config!$B$16,"dd/mm"))</f>
        <v/>
      </c>
      <c r="R4" s="53" t="n"/>
      <c r="S4" s="6" t="inlineStr">
        <is>
          <t>TOTAL
LUN</t>
        </is>
      </c>
      <c r="T4" s="6" t="inlineStr">
        <is>
          <t>TOTAL
MAR</t>
        </is>
      </c>
      <c r="U4" s="6" t="inlineStr">
        <is>
          <t>TOTAL
MIE</t>
        </is>
      </c>
      <c r="V4" s="6" t="inlineStr">
        <is>
          <t>TOTAL
JUE</t>
        </is>
      </c>
      <c r="W4" s="6" t="inlineStr">
        <is>
          <t>TOTAL
VIE</t>
        </is>
      </c>
      <c r="X4" s="6" t="inlineStr">
        <is>
          <t>TOTAL
SAB</t>
        </is>
      </c>
      <c r="Y4" s="6" t="inlineStr">
        <is>
          <t>TOTAL
DOM</t>
        </is>
      </c>
    </row>
    <row r="5" ht="24" customHeight="1">
      <c r="A5" s="54" t="n"/>
      <c r="B5" s="54" t="n"/>
      <c r="C5" s="54" t="n"/>
      <c r="D5" s="54" t="n"/>
      <c r="E5" s="55" t="inlineStr">
        <is>
          <t>Bultos</t>
        </is>
      </c>
      <c r="F5" s="55" t="inlineStr">
        <is>
          <t>Parcial</t>
        </is>
      </c>
      <c r="G5" s="55" t="inlineStr">
        <is>
          <t>Bultos</t>
        </is>
      </c>
      <c r="H5" s="55" t="inlineStr">
        <is>
          <t>Parcial</t>
        </is>
      </c>
      <c r="I5" s="55" t="inlineStr">
        <is>
          <t>Bultos</t>
        </is>
      </c>
      <c r="J5" s="55" t="inlineStr">
        <is>
          <t>Parcial</t>
        </is>
      </c>
      <c r="K5" s="55" t="inlineStr">
        <is>
          <t>Bultos</t>
        </is>
      </c>
      <c r="L5" s="55" t="inlineStr">
        <is>
          <t>Parcial</t>
        </is>
      </c>
      <c r="M5" s="55" t="inlineStr">
        <is>
          <t>Bultos</t>
        </is>
      </c>
      <c r="N5" s="55" t="inlineStr">
        <is>
          <t>Parcial</t>
        </is>
      </c>
      <c r="O5" s="55" t="inlineStr">
        <is>
          <t>Bultos</t>
        </is>
      </c>
      <c r="P5" s="55" t="inlineStr">
        <is>
          <t>Parcial</t>
        </is>
      </c>
      <c r="Q5" s="55" t="inlineStr">
        <is>
          <t>Bultos</t>
        </is>
      </c>
      <c r="R5" s="55" t="inlineStr">
        <is>
          <t>Parcial</t>
        </is>
      </c>
      <c r="S5" s="54" t="n"/>
      <c r="T5" s="54" t="n"/>
      <c r="U5" s="54" t="n"/>
      <c r="V5" s="54" t="n"/>
      <c r="W5" s="54" t="n"/>
      <c r="X5" s="54" t="n"/>
      <c r="Y5" s="54" t="n"/>
    </row>
    <row r="6">
      <c r="A6" s="38">
        <f>Insumos!$A9</f>
        <v/>
      </c>
      <c r="B6" s="39">
        <f>Insumos!$B9</f>
        <v/>
      </c>
      <c r="C6" s="40">
        <f>Insumos!$E9</f>
        <v/>
      </c>
      <c r="D6" s="41">
        <f>Insumos!$F9</f>
        <v/>
      </c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56">
        <f>IF(AND(E6="",F6=""),"",IFERROR(E6*$D6,0)+IFERROR(F6,0))</f>
        <v/>
      </c>
      <c r="T6" s="56">
        <f>IF(AND(G6="",H6=""),"",IFERROR(G6*$D6,0)+IFERROR(H6,0))</f>
        <v/>
      </c>
      <c r="U6" s="56">
        <f>IF(AND(I6="",J6=""),"",IFERROR(I6*$D6,0)+IFERROR(J6,0))</f>
        <v/>
      </c>
      <c r="V6" s="56">
        <f>IF(AND(K6="",L6=""),"",IFERROR(K6*$D6,0)+IFERROR(L6,0))</f>
        <v/>
      </c>
      <c r="W6" s="56">
        <f>IF(AND(M6="",N6=""),"",IFERROR(M6*$D6,0)+IFERROR(N6,0))</f>
        <v/>
      </c>
      <c r="X6" s="56">
        <f>IF(AND(O6="",P6=""),"",IFERROR(O6*$D6,0)+IFERROR(P6,0))</f>
        <v/>
      </c>
      <c r="Y6" s="56">
        <f>IF(AND(Q6="",R6=""),"",IFERROR(Q6*$D6,0)+IFERROR(R6,0))</f>
        <v/>
      </c>
    </row>
    <row r="7">
      <c r="A7" s="43">
        <f>Insumos!$A16</f>
        <v/>
      </c>
      <c r="B7" s="44">
        <f>Insumos!$B16</f>
        <v/>
      </c>
      <c r="C7" s="45">
        <f>Insumos!$E16</f>
        <v/>
      </c>
      <c r="D7" s="46">
        <f>Insumos!$F16</f>
        <v/>
      </c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56">
        <f>IF(AND(E7="",F7=""),"",IFERROR(E7*$D7,0)+IFERROR(F7,0))</f>
        <v/>
      </c>
      <c r="T7" s="56">
        <f>IF(AND(G7="",H7=""),"",IFERROR(G7*$D7,0)+IFERROR(H7,0))</f>
        <v/>
      </c>
      <c r="U7" s="56">
        <f>IF(AND(I7="",J7=""),"",IFERROR(I7*$D7,0)+IFERROR(J7,0))</f>
        <v/>
      </c>
      <c r="V7" s="56">
        <f>IF(AND(K7="",L7=""),"",IFERROR(K7*$D7,0)+IFERROR(L7,0))</f>
        <v/>
      </c>
      <c r="W7" s="56">
        <f>IF(AND(M7="",N7=""),"",IFERROR(M7*$D7,0)+IFERROR(N7,0))</f>
        <v/>
      </c>
      <c r="X7" s="56">
        <f>IF(AND(O7="",P7=""),"",IFERROR(O7*$D7,0)+IFERROR(P7,0))</f>
        <v/>
      </c>
      <c r="Y7" s="56">
        <f>IF(AND(Q7="",R7=""),"",IFERROR(Q7*$D7,0)+IFERROR(R7,0))</f>
        <v/>
      </c>
    </row>
    <row r="8">
      <c r="A8" s="38">
        <f>Insumos!$A17</f>
        <v/>
      </c>
      <c r="B8" s="39">
        <f>Insumos!$B17</f>
        <v/>
      </c>
      <c r="C8" s="40">
        <f>Insumos!$E17</f>
        <v/>
      </c>
      <c r="D8" s="41">
        <f>Insumos!$F17</f>
        <v/>
      </c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56">
        <f>IF(AND(E8="",F8=""),"",IFERROR(E8*$D8,0)+IFERROR(F8,0))</f>
        <v/>
      </c>
      <c r="T8" s="56">
        <f>IF(AND(G8="",H8=""),"",IFERROR(G8*$D8,0)+IFERROR(H8,0))</f>
        <v/>
      </c>
      <c r="U8" s="56">
        <f>IF(AND(I8="",J8=""),"",IFERROR(I8*$D8,0)+IFERROR(J8,0))</f>
        <v/>
      </c>
      <c r="V8" s="56">
        <f>IF(AND(K8="",L8=""),"",IFERROR(K8*$D8,0)+IFERROR(L8,0))</f>
        <v/>
      </c>
      <c r="W8" s="56">
        <f>IF(AND(M8="",N8=""),"",IFERROR(M8*$D8,0)+IFERROR(N8,0))</f>
        <v/>
      </c>
      <c r="X8" s="56">
        <f>IF(AND(O8="",P8=""),"",IFERROR(O8*$D8,0)+IFERROR(P8,0))</f>
        <v/>
      </c>
      <c r="Y8" s="56">
        <f>IF(AND(Q8="",R8=""),"",IFERROR(Q8*$D8,0)+IFERROR(R8,0))</f>
        <v/>
      </c>
    </row>
    <row r="9">
      <c r="A9" s="43">
        <f>Insumos!$A18</f>
        <v/>
      </c>
      <c r="B9" s="44">
        <f>Insumos!$B18</f>
        <v/>
      </c>
      <c r="C9" s="45">
        <f>Insumos!$E18</f>
        <v/>
      </c>
      <c r="D9" s="46">
        <f>Insumos!$F18</f>
        <v/>
      </c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56">
        <f>IF(AND(E9="",F9=""),"",IFERROR(E9*$D9,0)+IFERROR(F9,0))</f>
        <v/>
      </c>
      <c r="T9" s="56">
        <f>IF(AND(G9="",H9=""),"",IFERROR(G9*$D9,0)+IFERROR(H9,0))</f>
        <v/>
      </c>
      <c r="U9" s="56">
        <f>IF(AND(I9="",J9=""),"",IFERROR(I9*$D9,0)+IFERROR(J9,0))</f>
        <v/>
      </c>
      <c r="V9" s="56">
        <f>IF(AND(K9="",L9=""),"",IFERROR(K9*$D9,0)+IFERROR(L9,0))</f>
        <v/>
      </c>
      <c r="W9" s="56">
        <f>IF(AND(M9="",N9=""),"",IFERROR(M9*$D9,0)+IFERROR(N9,0))</f>
        <v/>
      </c>
      <c r="X9" s="56">
        <f>IF(AND(O9="",P9=""),"",IFERROR(O9*$D9,0)+IFERROR(P9,0))</f>
        <v/>
      </c>
      <c r="Y9" s="56">
        <f>IF(AND(Q9="",R9=""),"",IFERROR(Q9*$D9,0)+IFERROR(R9,0))</f>
        <v/>
      </c>
    </row>
    <row r="10">
      <c r="A10" s="38">
        <f>Insumos!$A19</f>
        <v/>
      </c>
      <c r="B10" s="39">
        <f>Insumos!$B19</f>
        <v/>
      </c>
      <c r="C10" s="40">
        <f>Insumos!$E19</f>
        <v/>
      </c>
      <c r="D10" s="41">
        <f>Insumos!$F19</f>
        <v/>
      </c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56">
        <f>IF(AND(E10="",F10=""),"",IFERROR(E10*$D10,0)+IFERROR(F10,0))</f>
        <v/>
      </c>
      <c r="T10" s="56">
        <f>IF(AND(G10="",H10=""),"",IFERROR(G10*$D10,0)+IFERROR(H10,0))</f>
        <v/>
      </c>
      <c r="U10" s="56">
        <f>IF(AND(I10="",J10=""),"",IFERROR(I10*$D10,0)+IFERROR(J10,0))</f>
        <v/>
      </c>
      <c r="V10" s="56">
        <f>IF(AND(K10="",L10=""),"",IFERROR(K10*$D10,0)+IFERROR(L10,0))</f>
        <v/>
      </c>
      <c r="W10" s="56">
        <f>IF(AND(M10="",N10=""),"",IFERROR(M10*$D10,0)+IFERROR(N10,0))</f>
        <v/>
      </c>
      <c r="X10" s="56">
        <f>IF(AND(O10="",P10=""),"",IFERROR(O10*$D10,0)+IFERROR(P10,0))</f>
        <v/>
      </c>
      <c r="Y10" s="56">
        <f>IF(AND(Q10="",R10=""),"",IFERROR(Q10*$D10,0)+IFERROR(R10,0))</f>
        <v/>
      </c>
    </row>
    <row r="11">
      <c r="A11" s="43">
        <f>Insumos!$A20</f>
        <v/>
      </c>
      <c r="B11" s="44">
        <f>Insumos!$B20</f>
        <v/>
      </c>
      <c r="C11" s="45">
        <f>Insumos!$E20</f>
        <v/>
      </c>
      <c r="D11" s="46">
        <f>Insumos!$F20</f>
        <v/>
      </c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56">
        <f>IF(AND(E11="",F11=""),"",IFERROR(E11*$D11,0)+IFERROR(F11,0))</f>
        <v/>
      </c>
      <c r="T11" s="56">
        <f>IF(AND(G11="",H11=""),"",IFERROR(G11*$D11,0)+IFERROR(H11,0))</f>
        <v/>
      </c>
      <c r="U11" s="56">
        <f>IF(AND(I11="",J11=""),"",IFERROR(I11*$D11,0)+IFERROR(J11,0))</f>
        <v/>
      </c>
      <c r="V11" s="56">
        <f>IF(AND(K11="",L11=""),"",IFERROR(K11*$D11,0)+IFERROR(L11,0))</f>
        <v/>
      </c>
      <c r="W11" s="56">
        <f>IF(AND(M11="",N11=""),"",IFERROR(M11*$D11,0)+IFERROR(N11,0))</f>
        <v/>
      </c>
      <c r="X11" s="56">
        <f>IF(AND(O11="",P11=""),"",IFERROR(O11*$D11,0)+IFERROR(P11,0))</f>
        <v/>
      </c>
      <c r="Y11" s="56">
        <f>IF(AND(Q11="",R11=""),"",IFERROR(Q11*$D11,0)+IFERROR(R11,0))</f>
        <v/>
      </c>
    </row>
    <row r="12">
      <c r="A12" s="38">
        <f>Insumos!$A21</f>
        <v/>
      </c>
      <c r="B12" s="39">
        <f>Insumos!$B21</f>
        <v/>
      </c>
      <c r="C12" s="40">
        <f>Insumos!$E21</f>
        <v/>
      </c>
      <c r="D12" s="41">
        <f>Insumos!$F21</f>
        <v/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56">
        <f>IF(AND(E12="",F12=""),"",IFERROR(E12*$D12,0)+IFERROR(F12,0))</f>
        <v/>
      </c>
      <c r="T12" s="56">
        <f>IF(AND(G12="",H12=""),"",IFERROR(G12*$D12,0)+IFERROR(H12,0))</f>
        <v/>
      </c>
      <c r="U12" s="56">
        <f>IF(AND(I12="",J12=""),"",IFERROR(I12*$D12,0)+IFERROR(J12,0))</f>
        <v/>
      </c>
      <c r="V12" s="56">
        <f>IF(AND(K12="",L12=""),"",IFERROR(K12*$D12,0)+IFERROR(L12,0))</f>
        <v/>
      </c>
      <c r="W12" s="56">
        <f>IF(AND(M12="",N12=""),"",IFERROR(M12*$D12,0)+IFERROR(N12,0))</f>
        <v/>
      </c>
      <c r="X12" s="56">
        <f>IF(AND(O12="",P12=""),"",IFERROR(O12*$D12,0)+IFERROR(P12,0))</f>
        <v/>
      </c>
      <c r="Y12" s="56">
        <f>IF(AND(Q12="",R12=""),"",IFERROR(Q12*$D12,0)+IFERROR(R12,0))</f>
        <v/>
      </c>
    </row>
    <row r="13">
      <c r="A13" s="43">
        <f>Insumos!$A22</f>
        <v/>
      </c>
      <c r="B13" s="44">
        <f>Insumos!$B22</f>
        <v/>
      </c>
      <c r="C13" s="45">
        <f>Insumos!$E22</f>
        <v/>
      </c>
      <c r="D13" s="46">
        <f>Insumos!$F22</f>
        <v/>
      </c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56">
        <f>IF(AND(E13="",F13=""),"",IFERROR(E13*$D13,0)+IFERROR(F13,0))</f>
        <v/>
      </c>
      <c r="T13" s="56">
        <f>IF(AND(G13="",H13=""),"",IFERROR(G13*$D13,0)+IFERROR(H13,0))</f>
        <v/>
      </c>
      <c r="U13" s="56">
        <f>IF(AND(I13="",J13=""),"",IFERROR(I13*$D13,0)+IFERROR(J13,0))</f>
        <v/>
      </c>
      <c r="V13" s="56">
        <f>IF(AND(K13="",L13=""),"",IFERROR(K13*$D13,0)+IFERROR(L13,0))</f>
        <v/>
      </c>
      <c r="W13" s="56">
        <f>IF(AND(M13="",N13=""),"",IFERROR(M13*$D13,0)+IFERROR(N13,0))</f>
        <v/>
      </c>
      <c r="X13" s="56">
        <f>IF(AND(O13="",P13=""),"",IFERROR(O13*$D13,0)+IFERROR(P13,0))</f>
        <v/>
      </c>
      <c r="Y13" s="56">
        <f>IF(AND(Q13="",R13=""),"",IFERROR(Q13*$D13,0)+IFERROR(R13,0))</f>
        <v/>
      </c>
    </row>
    <row r="14">
      <c r="A14" s="38">
        <f>Insumos!$A47</f>
        <v/>
      </c>
      <c r="B14" s="39">
        <f>Insumos!$B47</f>
        <v/>
      </c>
      <c r="C14" s="40">
        <f>Insumos!$E47</f>
        <v/>
      </c>
      <c r="D14" s="41">
        <f>Insumos!$F47</f>
        <v/>
      </c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56">
        <f>IF(AND(E14="",F14=""),"",IFERROR(E14*$D14,0)+IFERROR(F14,0))</f>
        <v/>
      </c>
      <c r="T14" s="56">
        <f>IF(AND(G14="",H14=""),"",IFERROR(G14*$D14,0)+IFERROR(H14,0))</f>
        <v/>
      </c>
      <c r="U14" s="56">
        <f>IF(AND(I14="",J14=""),"",IFERROR(I14*$D14,0)+IFERROR(J14,0))</f>
        <v/>
      </c>
      <c r="V14" s="56">
        <f>IF(AND(K14="",L14=""),"",IFERROR(K14*$D14,0)+IFERROR(L14,0))</f>
        <v/>
      </c>
      <c r="W14" s="56">
        <f>IF(AND(M14="",N14=""),"",IFERROR(M14*$D14,0)+IFERROR(N14,0))</f>
        <v/>
      </c>
      <c r="X14" s="56">
        <f>IF(AND(O14="",P14=""),"",IFERROR(O14*$D14,0)+IFERROR(P14,0))</f>
        <v/>
      </c>
      <c r="Y14" s="56">
        <f>IF(AND(Q14="",R14=""),"",IFERROR(Q14*$D14,0)+IFERROR(R14,0))</f>
        <v/>
      </c>
    </row>
    <row r="15">
      <c r="A15" s="43">
        <f>Insumos!$A48</f>
        <v/>
      </c>
      <c r="B15" s="44">
        <f>Insumos!$B48</f>
        <v/>
      </c>
      <c r="C15" s="45">
        <f>Insumos!$E48</f>
        <v/>
      </c>
      <c r="D15" s="46">
        <f>Insumos!$F48</f>
        <v/>
      </c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56">
        <f>IF(AND(E15="",F15=""),"",IFERROR(E15*$D15,0)+IFERROR(F15,0))</f>
        <v/>
      </c>
      <c r="T15" s="56">
        <f>IF(AND(G15="",H15=""),"",IFERROR(G15*$D15,0)+IFERROR(H15,0))</f>
        <v/>
      </c>
      <c r="U15" s="56">
        <f>IF(AND(I15="",J15=""),"",IFERROR(I15*$D15,0)+IFERROR(J15,0))</f>
        <v/>
      </c>
      <c r="V15" s="56">
        <f>IF(AND(K15="",L15=""),"",IFERROR(K15*$D15,0)+IFERROR(L15,0))</f>
        <v/>
      </c>
      <c r="W15" s="56">
        <f>IF(AND(M15="",N15=""),"",IFERROR(M15*$D15,0)+IFERROR(N15,0))</f>
        <v/>
      </c>
      <c r="X15" s="56">
        <f>IF(AND(O15="",P15=""),"",IFERROR(O15*$D15,0)+IFERROR(P15,0))</f>
        <v/>
      </c>
      <c r="Y15" s="56">
        <f>IF(AND(Q15="",R15=""),"",IFERROR(Q15*$D15,0)+IFERROR(R15,0))</f>
        <v/>
      </c>
    </row>
    <row r="16">
      <c r="A16" s="38">
        <f>Insumos!$A49</f>
        <v/>
      </c>
      <c r="B16" s="39">
        <f>Insumos!$B49</f>
        <v/>
      </c>
      <c r="C16" s="40">
        <f>Insumos!$E49</f>
        <v/>
      </c>
      <c r="D16" s="41">
        <f>Insumos!$F49</f>
        <v/>
      </c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56">
        <f>IF(AND(E16="",F16=""),"",IFERROR(E16*$D16,0)+IFERROR(F16,0))</f>
        <v/>
      </c>
      <c r="T16" s="56">
        <f>IF(AND(G16="",H16=""),"",IFERROR(G16*$D16,0)+IFERROR(H16,0))</f>
        <v/>
      </c>
      <c r="U16" s="56">
        <f>IF(AND(I16="",J16=""),"",IFERROR(I16*$D16,0)+IFERROR(J16,0))</f>
        <v/>
      </c>
      <c r="V16" s="56">
        <f>IF(AND(K16="",L16=""),"",IFERROR(K16*$D16,0)+IFERROR(L16,0))</f>
        <v/>
      </c>
      <c r="W16" s="56">
        <f>IF(AND(M16="",N16=""),"",IFERROR(M16*$D16,0)+IFERROR(N16,0))</f>
        <v/>
      </c>
      <c r="X16" s="56">
        <f>IF(AND(O16="",P16=""),"",IFERROR(O16*$D16,0)+IFERROR(P16,0))</f>
        <v/>
      </c>
      <c r="Y16" s="56">
        <f>IF(AND(Q16="",R16=""),"",IFERROR(Q16*$D16,0)+IFERROR(R16,0))</f>
        <v/>
      </c>
    </row>
    <row r="17">
      <c r="A17" s="43">
        <f>Insumos!$A51</f>
        <v/>
      </c>
      <c r="B17" s="44">
        <f>Insumos!$B51</f>
        <v/>
      </c>
      <c r="C17" s="45">
        <f>Insumos!$E51</f>
        <v/>
      </c>
      <c r="D17" s="46">
        <f>Insumos!$F51</f>
        <v/>
      </c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56">
        <f>IF(AND(E17="",F17=""),"",IFERROR(E17*$D17,0)+IFERROR(F17,0))</f>
        <v/>
      </c>
      <c r="T17" s="56">
        <f>IF(AND(G17="",H17=""),"",IFERROR(G17*$D17,0)+IFERROR(H17,0))</f>
        <v/>
      </c>
      <c r="U17" s="56">
        <f>IF(AND(I17="",J17=""),"",IFERROR(I17*$D17,0)+IFERROR(J17,0))</f>
        <v/>
      </c>
      <c r="V17" s="56">
        <f>IF(AND(K17="",L17=""),"",IFERROR(K17*$D17,0)+IFERROR(L17,0))</f>
        <v/>
      </c>
      <c r="W17" s="56">
        <f>IF(AND(M17="",N17=""),"",IFERROR(M17*$D17,0)+IFERROR(N17,0))</f>
        <v/>
      </c>
      <c r="X17" s="56">
        <f>IF(AND(O17="",P17=""),"",IFERROR(O17*$D17,0)+IFERROR(P17,0))</f>
        <v/>
      </c>
      <c r="Y17" s="56">
        <f>IF(AND(Q17="",R17=""),"",IFERROR(Q17*$D17,0)+IFERROR(R17,0))</f>
        <v/>
      </c>
    </row>
    <row r="18">
      <c r="A18" s="38">
        <f>Insumos!$A52</f>
        <v/>
      </c>
      <c r="B18" s="39">
        <f>Insumos!$B52</f>
        <v/>
      </c>
      <c r="C18" s="40">
        <f>Insumos!$E52</f>
        <v/>
      </c>
      <c r="D18" s="41">
        <f>Insumos!$F52</f>
        <v/>
      </c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56">
        <f>IF(AND(E18="",F18=""),"",IFERROR(E18*$D18,0)+IFERROR(F18,0))</f>
        <v/>
      </c>
      <c r="T18" s="56">
        <f>IF(AND(G18="",H18=""),"",IFERROR(G18*$D18,0)+IFERROR(H18,0))</f>
        <v/>
      </c>
      <c r="U18" s="56">
        <f>IF(AND(I18="",J18=""),"",IFERROR(I18*$D18,0)+IFERROR(J18,0))</f>
        <v/>
      </c>
      <c r="V18" s="56">
        <f>IF(AND(K18="",L18=""),"",IFERROR(K18*$D18,0)+IFERROR(L18,0))</f>
        <v/>
      </c>
      <c r="W18" s="56">
        <f>IF(AND(M18="",N18=""),"",IFERROR(M18*$D18,0)+IFERROR(N18,0))</f>
        <v/>
      </c>
      <c r="X18" s="56">
        <f>IF(AND(O18="",P18=""),"",IFERROR(O18*$D18,0)+IFERROR(P18,0))</f>
        <v/>
      </c>
      <c r="Y18" s="56">
        <f>IF(AND(Q18="",R18=""),"",IFERROR(Q18*$D18,0)+IFERROR(R18,0))</f>
        <v/>
      </c>
    </row>
    <row r="19">
      <c r="A19" s="43">
        <f>Insumos!$A54</f>
        <v/>
      </c>
      <c r="B19" s="44">
        <f>Insumos!$B54</f>
        <v/>
      </c>
      <c r="C19" s="45">
        <f>Insumos!$E54</f>
        <v/>
      </c>
      <c r="D19" s="46">
        <f>Insumos!$F54</f>
        <v/>
      </c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56">
        <f>IF(AND(E19="",F19=""),"",IFERROR(E19*$D19,0)+IFERROR(F19,0))</f>
        <v/>
      </c>
      <c r="T19" s="56">
        <f>IF(AND(G19="",H19=""),"",IFERROR(G19*$D19,0)+IFERROR(H19,0))</f>
        <v/>
      </c>
      <c r="U19" s="56">
        <f>IF(AND(I19="",J19=""),"",IFERROR(I19*$D19,0)+IFERROR(J19,0))</f>
        <v/>
      </c>
      <c r="V19" s="56">
        <f>IF(AND(K19="",L19=""),"",IFERROR(K19*$D19,0)+IFERROR(L19,0))</f>
        <v/>
      </c>
      <c r="W19" s="56">
        <f>IF(AND(M19="",N19=""),"",IFERROR(M19*$D19,0)+IFERROR(N19,0))</f>
        <v/>
      </c>
      <c r="X19" s="56">
        <f>IF(AND(O19="",P19=""),"",IFERROR(O19*$D19,0)+IFERROR(P19,0))</f>
        <v/>
      </c>
      <c r="Y19" s="56">
        <f>IF(AND(Q19="",R19=""),"",IFERROR(Q19*$D19,0)+IFERROR(R19,0))</f>
        <v/>
      </c>
    </row>
    <row r="20">
      <c r="A20" s="38">
        <f>Insumos!$A55</f>
        <v/>
      </c>
      <c r="B20" s="39">
        <f>Insumos!$B55</f>
        <v/>
      </c>
      <c r="C20" s="40">
        <f>Insumos!$E55</f>
        <v/>
      </c>
      <c r="D20" s="41">
        <f>Insumos!$F55</f>
        <v/>
      </c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56">
        <f>IF(AND(E20="",F20=""),"",IFERROR(E20*$D20,0)+IFERROR(F20,0))</f>
        <v/>
      </c>
      <c r="T20" s="56">
        <f>IF(AND(G20="",H20=""),"",IFERROR(G20*$D20,0)+IFERROR(H20,0))</f>
        <v/>
      </c>
      <c r="U20" s="56">
        <f>IF(AND(I20="",J20=""),"",IFERROR(I20*$D20,0)+IFERROR(J20,0))</f>
        <v/>
      </c>
      <c r="V20" s="56">
        <f>IF(AND(K20="",L20=""),"",IFERROR(K20*$D20,0)+IFERROR(L20,0))</f>
        <v/>
      </c>
      <c r="W20" s="56">
        <f>IF(AND(M20="",N20=""),"",IFERROR(M20*$D20,0)+IFERROR(N20,0))</f>
        <v/>
      </c>
      <c r="X20" s="56">
        <f>IF(AND(O20="",P20=""),"",IFERROR(O20*$D20,0)+IFERROR(P20,0))</f>
        <v/>
      </c>
      <c r="Y20" s="56">
        <f>IF(AND(Q20="",R20=""),"",IFERROR(Q20*$D20,0)+IFERROR(R20,0))</f>
        <v/>
      </c>
    </row>
    <row r="21">
      <c r="A21" s="43">
        <f>Insumos!$A56</f>
        <v/>
      </c>
      <c r="B21" s="44">
        <f>Insumos!$B56</f>
        <v/>
      </c>
      <c r="C21" s="45">
        <f>Insumos!$E56</f>
        <v/>
      </c>
      <c r="D21" s="46">
        <f>Insumos!$F56</f>
        <v/>
      </c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56">
        <f>IF(AND(E21="",F21=""),"",IFERROR(E21*$D21,0)+IFERROR(F21,0))</f>
        <v/>
      </c>
      <c r="T21" s="56">
        <f>IF(AND(G21="",H21=""),"",IFERROR(G21*$D21,0)+IFERROR(H21,0))</f>
        <v/>
      </c>
      <c r="U21" s="56">
        <f>IF(AND(I21="",J21=""),"",IFERROR(I21*$D21,0)+IFERROR(J21,0))</f>
        <v/>
      </c>
      <c r="V21" s="56">
        <f>IF(AND(K21="",L21=""),"",IFERROR(K21*$D21,0)+IFERROR(L21,0))</f>
        <v/>
      </c>
      <c r="W21" s="56">
        <f>IF(AND(M21="",N21=""),"",IFERROR(M21*$D21,0)+IFERROR(N21,0))</f>
        <v/>
      </c>
      <c r="X21" s="56">
        <f>IF(AND(O21="",P21=""),"",IFERROR(O21*$D21,0)+IFERROR(P21,0))</f>
        <v/>
      </c>
      <c r="Y21" s="56">
        <f>IF(AND(Q21="",R21=""),"",IFERROR(Q21*$D21,0)+IFERROR(R21,0))</f>
        <v/>
      </c>
    </row>
    <row r="22">
      <c r="A22" s="38">
        <f>Insumos!$A59</f>
        <v/>
      </c>
      <c r="B22" s="39">
        <f>Insumos!$B59</f>
        <v/>
      </c>
      <c r="C22" s="40">
        <f>Insumos!$E59</f>
        <v/>
      </c>
      <c r="D22" s="41">
        <f>Insumos!$F59</f>
        <v/>
      </c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56">
        <f>IF(AND(E22="",F22=""),"",IFERROR(E22*$D22,0)+IFERROR(F22,0))</f>
        <v/>
      </c>
      <c r="T22" s="56">
        <f>IF(AND(G22="",H22=""),"",IFERROR(G22*$D22,0)+IFERROR(H22,0))</f>
        <v/>
      </c>
      <c r="U22" s="56">
        <f>IF(AND(I22="",J22=""),"",IFERROR(I22*$D22,0)+IFERROR(J22,0))</f>
        <v/>
      </c>
      <c r="V22" s="56">
        <f>IF(AND(K22="",L22=""),"",IFERROR(K22*$D22,0)+IFERROR(L22,0))</f>
        <v/>
      </c>
      <c r="W22" s="56">
        <f>IF(AND(M22="",N22=""),"",IFERROR(M22*$D22,0)+IFERROR(N22,0))</f>
        <v/>
      </c>
      <c r="X22" s="56">
        <f>IF(AND(O22="",P22=""),"",IFERROR(O22*$D22,0)+IFERROR(P22,0))</f>
        <v/>
      </c>
      <c r="Y22" s="56">
        <f>IF(AND(Q22="",R22=""),"",IFERROR(Q22*$D22,0)+IFERROR(R22,0))</f>
        <v/>
      </c>
    </row>
    <row r="23">
      <c r="A23" s="43">
        <f>Insumos!$A60</f>
        <v/>
      </c>
      <c r="B23" s="44">
        <f>Insumos!$B60</f>
        <v/>
      </c>
      <c r="C23" s="45">
        <f>Insumos!$E60</f>
        <v/>
      </c>
      <c r="D23" s="46">
        <f>Insumos!$F60</f>
        <v/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56">
        <f>IF(AND(E23="",F23=""),"",IFERROR(E23*$D23,0)+IFERROR(F23,0))</f>
        <v/>
      </c>
      <c r="T23" s="56">
        <f>IF(AND(G23="",H23=""),"",IFERROR(G23*$D23,0)+IFERROR(H23,0))</f>
        <v/>
      </c>
      <c r="U23" s="56">
        <f>IF(AND(I23="",J23=""),"",IFERROR(I23*$D23,0)+IFERROR(J23,0))</f>
        <v/>
      </c>
      <c r="V23" s="56">
        <f>IF(AND(K23="",L23=""),"",IFERROR(K23*$D23,0)+IFERROR(L23,0))</f>
        <v/>
      </c>
      <c r="W23" s="56">
        <f>IF(AND(M23="",N23=""),"",IFERROR(M23*$D23,0)+IFERROR(N23,0))</f>
        <v/>
      </c>
      <c r="X23" s="56">
        <f>IF(AND(O23="",P23=""),"",IFERROR(O23*$D23,0)+IFERROR(P23,0))</f>
        <v/>
      </c>
      <c r="Y23" s="56">
        <f>IF(AND(Q23="",R23=""),"",IFERROR(Q23*$D23,0)+IFERROR(R23,0))</f>
        <v/>
      </c>
    </row>
    <row r="24">
      <c r="A24" s="38">
        <f>Insumos!$A62</f>
        <v/>
      </c>
      <c r="B24" s="39">
        <f>Insumos!$B62</f>
        <v/>
      </c>
      <c r="C24" s="40">
        <f>Insumos!$E62</f>
        <v/>
      </c>
      <c r="D24" s="41">
        <f>Insumos!$F62</f>
        <v/>
      </c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56">
        <f>IF(AND(E24="",F24=""),"",IFERROR(E24*$D24,0)+IFERROR(F24,0))</f>
        <v/>
      </c>
      <c r="T24" s="56">
        <f>IF(AND(G24="",H24=""),"",IFERROR(G24*$D24,0)+IFERROR(H24,0))</f>
        <v/>
      </c>
      <c r="U24" s="56">
        <f>IF(AND(I24="",J24=""),"",IFERROR(I24*$D24,0)+IFERROR(J24,0))</f>
        <v/>
      </c>
      <c r="V24" s="56">
        <f>IF(AND(K24="",L24=""),"",IFERROR(K24*$D24,0)+IFERROR(L24,0))</f>
        <v/>
      </c>
      <c r="W24" s="56">
        <f>IF(AND(M24="",N24=""),"",IFERROR(M24*$D24,0)+IFERROR(N24,0))</f>
        <v/>
      </c>
      <c r="X24" s="56">
        <f>IF(AND(O24="",P24=""),"",IFERROR(O24*$D24,0)+IFERROR(P24,0))</f>
        <v/>
      </c>
      <c r="Y24" s="56">
        <f>IF(AND(Q24="",R24=""),"",IFERROR(Q24*$D24,0)+IFERROR(R24,0))</f>
        <v/>
      </c>
    </row>
    <row r="25">
      <c r="A25" s="43">
        <f>Insumos!$A69</f>
        <v/>
      </c>
      <c r="B25" s="44">
        <f>Insumos!$B69</f>
        <v/>
      </c>
      <c r="C25" s="45">
        <f>Insumos!$E69</f>
        <v/>
      </c>
      <c r="D25" s="46">
        <f>Insumos!$F69</f>
        <v/>
      </c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56">
        <f>IF(AND(E25="",F25=""),"",IFERROR(E25*$D25,0)+IFERROR(F25,0))</f>
        <v/>
      </c>
      <c r="T25" s="56">
        <f>IF(AND(G25="",H25=""),"",IFERROR(G25*$D25,0)+IFERROR(H25,0))</f>
        <v/>
      </c>
      <c r="U25" s="56">
        <f>IF(AND(I25="",J25=""),"",IFERROR(I25*$D25,0)+IFERROR(J25,0))</f>
        <v/>
      </c>
      <c r="V25" s="56">
        <f>IF(AND(K25="",L25=""),"",IFERROR(K25*$D25,0)+IFERROR(L25,0))</f>
        <v/>
      </c>
      <c r="W25" s="56">
        <f>IF(AND(M25="",N25=""),"",IFERROR(M25*$D25,0)+IFERROR(N25,0))</f>
        <v/>
      </c>
      <c r="X25" s="56">
        <f>IF(AND(O25="",P25=""),"",IFERROR(O25*$D25,0)+IFERROR(P25,0))</f>
        <v/>
      </c>
      <c r="Y25" s="56">
        <f>IF(AND(Q25="",R25=""),"",IFERROR(Q25*$D25,0)+IFERROR(R25,0))</f>
        <v/>
      </c>
    </row>
    <row r="26">
      <c r="A26" s="38">
        <f>Insumos!$A72</f>
        <v/>
      </c>
      <c r="B26" s="39">
        <f>Insumos!$B72</f>
        <v/>
      </c>
      <c r="C26" s="40">
        <f>Insumos!$E72</f>
        <v/>
      </c>
      <c r="D26" s="41">
        <f>Insumos!$F72</f>
        <v/>
      </c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56">
        <f>IF(AND(E26="",F26=""),"",IFERROR(E26*$D26,0)+IFERROR(F26,0))</f>
        <v/>
      </c>
      <c r="T26" s="56">
        <f>IF(AND(G26="",H26=""),"",IFERROR(G26*$D26,0)+IFERROR(H26,0))</f>
        <v/>
      </c>
      <c r="U26" s="56">
        <f>IF(AND(I26="",J26=""),"",IFERROR(I26*$D26,0)+IFERROR(J26,0))</f>
        <v/>
      </c>
      <c r="V26" s="56">
        <f>IF(AND(K26="",L26=""),"",IFERROR(K26*$D26,0)+IFERROR(L26,0))</f>
        <v/>
      </c>
      <c r="W26" s="56">
        <f>IF(AND(M26="",N26=""),"",IFERROR(M26*$D26,0)+IFERROR(N26,0))</f>
        <v/>
      </c>
      <c r="X26" s="56">
        <f>IF(AND(O26="",P26=""),"",IFERROR(O26*$D26,0)+IFERROR(P26,0))</f>
        <v/>
      </c>
      <c r="Y26" s="56">
        <f>IF(AND(Q26="",R26=""),"",IFERROR(Q26*$D26,0)+IFERROR(R26,0))</f>
        <v/>
      </c>
    </row>
    <row r="27">
      <c r="A27" s="43">
        <f>Insumos!$A73</f>
        <v/>
      </c>
      <c r="B27" s="44">
        <f>Insumos!$B73</f>
        <v/>
      </c>
      <c r="C27" s="45">
        <f>Insumos!$E73</f>
        <v/>
      </c>
      <c r="D27" s="46">
        <f>Insumos!$F73</f>
        <v/>
      </c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56">
        <f>IF(AND(E27="",F27=""),"",IFERROR(E27*$D27,0)+IFERROR(F27,0))</f>
        <v/>
      </c>
      <c r="T27" s="56">
        <f>IF(AND(G27="",H27=""),"",IFERROR(G27*$D27,0)+IFERROR(H27,0))</f>
        <v/>
      </c>
      <c r="U27" s="56">
        <f>IF(AND(I27="",J27=""),"",IFERROR(I27*$D27,0)+IFERROR(J27,0))</f>
        <v/>
      </c>
      <c r="V27" s="56">
        <f>IF(AND(K27="",L27=""),"",IFERROR(K27*$D27,0)+IFERROR(L27,0))</f>
        <v/>
      </c>
      <c r="W27" s="56">
        <f>IF(AND(M27="",N27=""),"",IFERROR(M27*$D27,0)+IFERROR(N27,0))</f>
        <v/>
      </c>
      <c r="X27" s="56">
        <f>IF(AND(O27="",P27=""),"",IFERROR(O27*$D27,0)+IFERROR(P27,0))</f>
        <v/>
      </c>
      <c r="Y27" s="56">
        <f>IF(AND(Q27="",R27=""),"",IFERROR(Q27*$D27,0)+IFERROR(R27,0))</f>
        <v/>
      </c>
    </row>
    <row r="28">
      <c r="A28" s="38">
        <f>Insumos!$A74</f>
        <v/>
      </c>
      <c r="B28" s="39">
        <f>Insumos!$B74</f>
        <v/>
      </c>
      <c r="C28" s="40">
        <f>Insumos!$E74</f>
        <v/>
      </c>
      <c r="D28" s="41">
        <f>Insumos!$F74</f>
        <v/>
      </c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56">
        <f>IF(AND(E28="",F28=""),"",IFERROR(E28*$D28,0)+IFERROR(F28,0))</f>
        <v/>
      </c>
      <c r="T28" s="56">
        <f>IF(AND(G28="",H28=""),"",IFERROR(G28*$D28,0)+IFERROR(H28,0))</f>
        <v/>
      </c>
      <c r="U28" s="56">
        <f>IF(AND(I28="",J28=""),"",IFERROR(I28*$D28,0)+IFERROR(J28,0))</f>
        <v/>
      </c>
      <c r="V28" s="56">
        <f>IF(AND(K28="",L28=""),"",IFERROR(K28*$D28,0)+IFERROR(L28,0))</f>
        <v/>
      </c>
      <c r="W28" s="56">
        <f>IF(AND(M28="",N28=""),"",IFERROR(M28*$D28,0)+IFERROR(N28,0))</f>
        <v/>
      </c>
      <c r="X28" s="56">
        <f>IF(AND(O28="",P28=""),"",IFERROR(O28*$D28,0)+IFERROR(P28,0))</f>
        <v/>
      </c>
      <c r="Y28" s="56">
        <f>IF(AND(Q28="",R28=""),"",IFERROR(Q28*$D28,0)+IFERROR(R28,0))</f>
        <v/>
      </c>
    </row>
    <row r="29">
      <c r="A29" s="43">
        <f>Insumos!$A78</f>
        <v/>
      </c>
      <c r="B29" s="44">
        <f>Insumos!$B78</f>
        <v/>
      </c>
      <c r="C29" s="45">
        <f>Insumos!$E78</f>
        <v/>
      </c>
      <c r="D29" s="46">
        <f>Insumos!$F78</f>
        <v/>
      </c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56">
        <f>IF(AND(E29="",F29=""),"",IFERROR(E29*$D29,0)+IFERROR(F29,0))</f>
        <v/>
      </c>
      <c r="T29" s="56">
        <f>IF(AND(G29="",H29=""),"",IFERROR(G29*$D29,0)+IFERROR(H29,0))</f>
        <v/>
      </c>
      <c r="U29" s="56">
        <f>IF(AND(I29="",J29=""),"",IFERROR(I29*$D29,0)+IFERROR(J29,0))</f>
        <v/>
      </c>
      <c r="V29" s="56">
        <f>IF(AND(K29="",L29=""),"",IFERROR(K29*$D29,0)+IFERROR(L29,0))</f>
        <v/>
      </c>
      <c r="W29" s="56">
        <f>IF(AND(M29="",N29=""),"",IFERROR(M29*$D29,0)+IFERROR(N29,0))</f>
        <v/>
      </c>
      <c r="X29" s="56">
        <f>IF(AND(O29="",P29=""),"",IFERROR(O29*$D29,0)+IFERROR(P29,0))</f>
        <v/>
      </c>
      <c r="Y29" s="56">
        <f>IF(AND(Q29="",R29=""),"",IFERROR(Q29*$D29,0)+IFERROR(R29,0))</f>
        <v/>
      </c>
    </row>
    <row r="30">
      <c r="A30" s="38">
        <f>Insumos!$A79</f>
        <v/>
      </c>
      <c r="B30" s="39">
        <f>Insumos!$B79</f>
        <v/>
      </c>
      <c r="C30" s="40">
        <f>Insumos!$E79</f>
        <v/>
      </c>
      <c r="D30" s="41">
        <f>Insumos!$F79</f>
        <v/>
      </c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56">
        <f>IF(AND(E30="",F30=""),"",IFERROR(E30*$D30,0)+IFERROR(F30,0))</f>
        <v/>
      </c>
      <c r="T30" s="56">
        <f>IF(AND(G30="",H30=""),"",IFERROR(G30*$D30,0)+IFERROR(H30,0))</f>
        <v/>
      </c>
      <c r="U30" s="56">
        <f>IF(AND(I30="",J30=""),"",IFERROR(I30*$D30,0)+IFERROR(J30,0))</f>
        <v/>
      </c>
      <c r="V30" s="56">
        <f>IF(AND(K30="",L30=""),"",IFERROR(K30*$D30,0)+IFERROR(L30,0))</f>
        <v/>
      </c>
      <c r="W30" s="56">
        <f>IF(AND(M30="",N30=""),"",IFERROR(M30*$D30,0)+IFERROR(N30,0))</f>
        <v/>
      </c>
      <c r="X30" s="56">
        <f>IF(AND(O30="",P30=""),"",IFERROR(O30*$D30,0)+IFERROR(P30,0))</f>
        <v/>
      </c>
      <c r="Y30" s="56">
        <f>IF(AND(Q30="",R30=""),"",IFERROR(Q30*$D30,0)+IFERROR(R30,0))</f>
        <v/>
      </c>
    </row>
    <row r="31">
      <c r="A31" s="43">
        <f>Insumos!$A80</f>
        <v/>
      </c>
      <c r="B31" s="44">
        <f>Insumos!$B80</f>
        <v/>
      </c>
      <c r="C31" s="45">
        <f>Insumos!$E80</f>
        <v/>
      </c>
      <c r="D31" s="46">
        <f>Insumos!$F80</f>
        <v/>
      </c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56">
        <f>IF(AND(E31="",F31=""),"",IFERROR(E31*$D31,0)+IFERROR(F31,0))</f>
        <v/>
      </c>
      <c r="T31" s="56">
        <f>IF(AND(G31="",H31=""),"",IFERROR(G31*$D31,0)+IFERROR(H31,0))</f>
        <v/>
      </c>
      <c r="U31" s="56">
        <f>IF(AND(I31="",J31=""),"",IFERROR(I31*$D31,0)+IFERROR(J31,0))</f>
        <v/>
      </c>
      <c r="V31" s="56">
        <f>IF(AND(K31="",L31=""),"",IFERROR(K31*$D31,0)+IFERROR(L31,0))</f>
        <v/>
      </c>
      <c r="W31" s="56">
        <f>IF(AND(M31="",N31=""),"",IFERROR(M31*$D31,0)+IFERROR(N31,0))</f>
        <v/>
      </c>
      <c r="X31" s="56">
        <f>IF(AND(O31="",P31=""),"",IFERROR(O31*$D31,0)+IFERROR(P31,0))</f>
        <v/>
      </c>
      <c r="Y31" s="56">
        <f>IF(AND(Q31="",R31=""),"",IFERROR(Q31*$D31,0)+IFERROR(R31,0))</f>
        <v/>
      </c>
    </row>
    <row r="32">
      <c r="A32" s="38">
        <f>Insumos!$A81</f>
        <v/>
      </c>
      <c r="B32" s="39">
        <f>Insumos!$B81</f>
        <v/>
      </c>
      <c r="C32" s="40">
        <f>Insumos!$E81</f>
        <v/>
      </c>
      <c r="D32" s="41">
        <f>Insumos!$F81</f>
        <v/>
      </c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56">
        <f>IF(AND(E32="",F32=""),"",IFERROR(E32*$D32,0)+IFERROR(F32,0))</f>
        <v/>
      </c>
      <c r="T32" s="56">
        <f>IF(AND(G32="",H32=""),"",IFERROR(G32*$D32,0)+IFERROR(H32,0))</f>
        <v/>
      </c>
      <c r="U32" s="56">
        <f>IF(AND(I32="",J32=""),"",IFERROR(I32*$D32,0)+IFERROR(J32,0))</f>
        <v/>
      </c>
      <c r="V32" s="56">
        <f>IF(AND(K32="",L32=""),"",IFERROR(K32*$D32,0)+IFERROR(L32,0))</f>
        <v/>
      </c>
      <c r="W32" s="56">
        <f>IF(AND(M32="",N32=""),"",IFERROR(M32*$D32,0)+IFERROR(N32,0))</f>
        <v/>
      </c>
      <c r="X32" s="56">
        <f>IF(AND(O32="",P32=""),"",IFERROR(O32*$D32,0)+IFERROR(P32,0))</f>
        <v/>
      </c>
      <c r="Y32" s="56">
        <f>IF(AND(Q32="",R32=""),"",IFERROR(Q32*$D32,0)+IFERROR(R32,0))</f>
        <v/>
      </c>
    </row>
    <row r="33">
      <c r="A33" s="43">
        <f>Insumos!$A92</f>
        <v/>
      </c>
      <c r="B33" s="44">
        <f>Insumos!$B92</f>
        <v/>
      </c>
      <c r="C33" s="45">
        <f>Insumos!$E92</f>
        <v/>
      </c>
      <c r="D33" s="46">
        <f>Insumos!$F92</f>
        <v/>
      </c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56">
        <f>IF(AND(E33="",F33=""),"",IFERROR(E33*$D33,0)+IFERROR(F33,0))</f>
        <v/>
      </c>
      <c r="T33" s="56">
        <f>IF(AND(G33="",H33=""),"",IFERROR(G33*$D33,0)+IFERROR(H33,0))</f>
        <v/>
      </c>
      <c r="U33" s="56">
        <f>IF(AND(I33="",J33=""),"",IFERROR(I33*$D33,0)+IFERROR(J33,0))</f>
        <v/>
      </c>
      <c r="V33" s="56">
        <f>IF(AND(K33="",L33=""),"",IFERROR(K33*$D33,0)+IFERROR(L33,0))</f>
        <v/>
      </c>
      <c r="W33" s="56">
        <f>IF(AND(M33="",N33=""),"",IFERROR(M33*$D33,0)+IFERROR(N33,0))</f>
        <v/>
      </c>
      <c r="X33" s="56">
        <f>IF(AND(O33="",P33=""),"",IFERROR(O33*$D33,0)+IFERROR(P33,0))</f>
        <v/>
      </c>
      <c r="Y33" s="56">
        <f>IF(AND(Q33="",R33=""),"",IFERROR(Q33*$D33,0)+IFERROR(R33,0))</f>
        <v/>
      </c>
    </row>
    <row r="34">
      <c r="A34" s="38">
        <f>Insumos!$A93</f>
        <v/>
      </c>
      <c r="B34" s="39">
        <f>Insumos!$B93</f>
        <v/>
      </c>
      <c r="C34" s="40">
        <f>Insumos!$E93</f>
        <v/>
      </c>
      <c r="D34" s="41">
        <f>Insumos!$F93</f>
        <v/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56">
        <f>IF(AND(E34="",F34=""),"",IFERROR(E34*$D34,0)+IFERROR(F34,0))</f>
        <v/>
      </c>
      <c r="T34" s="56">
        <f>IF(AND(G34="",H34=""),"",IFERROR(G34*$D34,0)+IFERROR(H34,0))</f>
        <v/>
      </c>
      <c r="U34" s="56">
        <f>IF(AND(I34="",J34=""),"",IFERROR(I34*$D34,0)+IFERROR(J34,0))</f>
        <v/>
      </c>
      <c r="V34" s="56">
        <f>IF(AND(K34="",L34=""),"",IFERROR(K34*$D34,0)+IFERROR(L34,0))</f>
        <v/>
      </c>
      <c r="W34" s="56">
        <f>IF(AND(M34="",N34=""),"",IFERROR(M34*$D34,0)+IFERROR(N34,0))</f>
        <v/>
      </c>
      <c r="X34" s="56">
        <f>IF(AND(O34="",P34=""),"",IFERROR(O34*$D34,0)+IFERROR(P34,0))</f>
        <v/>
      </c>
      <c r="Y34" s="56">
        <f>IF(AND(Q34="",R34=""),"",IFERROR(Q34*$D34,0)+IFERROR(R34,0))</f>
        <v/>
      </c>
    </row>
    <row r="35">
      <c r="A35" s="43">
        <f>Insumos!$A96</f>
        <v/>
      </c>
      <c r="B35" s="44">
        <f>Insumos!$B96</f>
        <v/>
      </c>
      <c r="C35" s="45">
        <f>Insumos!$E96</f>
        <v/>
      </c>
      <c r="D35" s="46">
        <f>Insumos!$F96</f>
        <v/>
      </c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56">
        <f>IF(AND(E35="",F35=""),"",IFERROR(E35*$D35,0)+IFERROR(F35,0))</f>
        <v/>
      </c>
      <c r="T35" s="56">
        <f>IF(AND(G35="",H35=""),"",IFERROR(G35*$D35,0)+IFERROR(H35,0))</f>
        <v/>
      </c>
      <c r="U35" s="56">
        <f>IF(AND(I35="",J35=""),"",IFERROR(I35*$D35,0)+IFERROR(J35,0))</f>
        <v/>
      </c>
      <c r="V35" s="56">
        <f>IF(AND(K35="",L35=""),"",IFERROR(K35*$D35,0)+IFERROR(L35,0))</f>
        <v/>
      </c>
      <c r="W35" s="56">
        <f>IF(AND(M35="",N35=""),"",IFERROR(M35*$D35,0)+IFERROR(N35,0))</f>
        <v/>
      </c>
      <c r="X35" s="56">
        <f>IF(AND(O35="",P35=""),"",IFERROR(O35*$D35,0)+IFERROR(P35,0))</f>
        <v/>
      </c>
      <c r="Y35" s="56">
        <f>IF(AND(Q35="",R35=""),"",IFERROR(Q35*$D35,0)+IFERROR(R35,0))</f>
        <v/>
      </c>
    </row>
    <row r="36">
      <c r="A36" s="38">
        <f>Insumos!$A97</f>
        <v/>
      </c>
      <c r="B36" s="39">
        <f>Insumos!$B97</f>
        <v/>
      </c>
      <c r="C36" s="40">
        <f>Insumos!$E97</f>
        <v/>
      </c>
      <c r="D36" s="41">
        <f>Insumos!$F97</f>
        <v/>
      </c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56">
        <f>IF(AND(E36="",F36=""),"",IFERROR(E36*$D36,0)+IFERROR(F36,0))</f>
        <v/>
      </c>
      <c r="T36" s="56">
        <f>IF(AND(G36="",H36=""),"",IFERROR(G36*$D36,0)+IFERROR(H36,0))</f>
        <v/>
      </c>
      <c r="U36" s="56">
        <f>IF(AND(I36="",J36=""),"",IFERROR(I36*$D36,0)+IFERROR(J36,0))</f>
        <v/>
      </c>
      <c r="V36" s="56">
        <f>IF(AND(K36="",L36=""),"",IFERROR(K36*$D36,0)+IFERROR(L36,0))</f>
        <v/>
      </c>
      <c r="W36" s="56">
        <f>IF(AND(M36="",N36=""),"",IFERROR(M36*$D36,0)+IFERROR(N36,0))</f>
        <v/>
      </c>
      <c r="X36" s="56">
        <f>IF(AND(O36="",P36=""),"",IFERROR(O36*$D36,0)+IFERROR(P36,0))</f>
        <v/>
      </c>
      <c r="Y36" s="56">
        <f>IF(AND(Q36="",R36=""),"",IFERROR(Q36*$D36,0)+IFERROR(R36,0))</f>
        <v/>
      </c>
    </row>
    <row r="37">
      <c r="A37" s="43">
        <f>Insumos!$A98</f>
        <v/>
      </c>
      <c r="B37" s="44">
        <f>Insumos!$B98</f>
        <v/>
      </c>
      <c r="C37" s="45">
        <f>Insumos!$E98</f>
        <v/>
      </c>
      <c r="D37" s="46">
        <f>Insumos!$F98</f>
        <v/>
      </c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56">
        <f>IF(AND(E37="",F37=""),"",IFERROR(E37*$D37,0)+IFERROR(F37,0))</f>
        <v/>
      </c>
      <c r="T37" s="56">
        <f>IF(AND(G37="",H37=""),"",IFERROR(G37*$D37,0)+IFERROR(H37,0))</f>
        <v/>
      </c>
      <c r="U37" s="56">
        <f>IF(AND(I37="",J37=""),"",IFERROR(I37*$D37,0)+IFERROR(J37,0))</f>
        <v/>
      </c>
      <c r="V37" s="56">
        <f>IF(AND(K37="",L37=""),"",IFERROR(K37*$D37,0)+IFERROR(L37,0))</f>
        <v/>
      </c>
      <c r="W37" s="56">
        <f>IF(AND(M37="",N37=""),"",IFERROR(M37*$D37,0)+IFERROR(N37,0))</f>
        <v/>
      </c>
      <c r="X37" s="56">
        <f>IF(AND(O37="",P37=""),"",IFERROR(O37*$D37,0)+IFERROR(P37,0))</f>
        <v/>
      </c>
      <c r="Y37" s="56">
        <f>IF(AND(Q37="",R37=""),"",IFERROR(Q37*$D37,0)+IFERROR(R37,0))</f>
        <v/>
      </c>
    </row>
    <row r="38">
      <c r="A38" s="38">
        <f>Insumos!$A99</f>
        <v/>
      </c>
      <c r="B38" s="39">
        <f>Insumos!$B99</f>
        <v/>
      </c>
      <c r="C38" s="40">
        <f>Insumos!$E99</f>
        <v/>
      </c>
      <c r="D38" s="41">
        <f>Insumos!$F99</f>
        <v/>
      </c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56">
        <f>IF(AND(E38="",F38=""),"",IFERROR(E38*$D38,0)+IFERROR(F38,0))</f>
        <v/>
      </c>
      <c r="T38" s="56">
        <f>IF(AND(G38="",H38=""),"",IFERROR(G38*$D38,0)+IFERROR(H38,0))</f>
        <v/>
      </c>
      <c r="U38" s="56">
        <f>IF(AND(I38="",J38=""),"",IFERROR(I38*$D38,0)+IFERROR(J38,0))</f>
        <v/>
      </c>
      <c r="V38" s="56">
        <f>IF(AND(K38="",L38=""),"",IFERROR(K38*$D38,0)+IFERROR(L38,0))</f>
        <v/>
      </c>
      <c r="W38" s="56">
        <f>IF(AND(M38="",N38=""),"",IFERROR(M38*$D38,0)+IFERROR(N38,0))</f>
        <v/>
      </c>
      <c r="X38" s="56">
        <f>IF(AND(O38="",P38=""),"",IFERROR(O38*$D38,0)+IFERROR(P38,0))</f>
        <v/>
      </c>
      <c r="Y38" s="56">
        <f>IF(AND(Q38="",R38=""),"",IFERROR(Q38*$D38,0)+IFERROR(R38,0))</f>
        <v/>
      </c>
    </row>
    <row r="39">
      <c r="A39" s="43">
        <f>Insumos!$A100</f>
        <v/>
      </c>
      <c r="B39" s="44">
        <f>Insumos!$B100</f>
        <v/>
      </c>
      <c r="C39" s="45">
        <f>Insumos!$E100</f>
        <v/>
      </c>
      <c r="D39" s="46">
        <f>Insumos!$F100</f>
        <v/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56">
        <f>IF(AND(E39="",F39=""),"",IFERROR(E39*$D39,0)+IFERROR(F39,0))</f>
        <v/>
      </c>
      <c r="T39" s="56">
        <f>IF(AND(G39="",H39=""),"",IFERROR(G39*$D39,0)+IFERROR(H39,0))</f>
        <v/>
      </c>
      <c r="U39" s="56">
        <f>IF(AND(I39="",J39=""),"",IFERROR(I39*$D39,0)+IFERROR(J39,0))</f>
        <v/>
      </c>
      <c r="V39" s="56">
        <f>IF(AND(K39="",L39=""),"",IFERROR(K39*$D39,0)+IFERROR(L39,0))</f>
        <v/>
      </c>
      <c r="W39" s="56">
        <f>IF(AND(M39="",N39=""),"",IFERROR(M39*$D39,0)+IFERROR(N39,0))</f>
        <v/>
      </c>
      <c r="X39" s="56">
        <f>IF(AND(O39="",P39=""),"",IFERROR(O39*$D39,0)+IFERROR(P39,0))</f>
        <v/>
      </c>
      <c r="Y39" s="56">
        <f>IF(AND(Q39="",R39=""),"",IFERROR(Q39*$D39,0)+IFERROR(R39,0))</f>
        <v/>
      </c>
    </row>
    <row r="40">
      <c r="A40" s="38">
        <f>Insumos!$A102</f>
        <v/>
      </c>
      <c r="B40" s="39">
        <f>Insumos!$B102</f>
        <v/>
      </c>
      <c r="C40" s="40">
        <f>Insumos!$E102</f>
        <v/>
      </c>
      <c r="D40" s="41">
        <f>Insumos!$F102</f>
        <v/>
      </c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56">
        <f>IF(AND(E40="",F40=""),"",IFERROR(E40*$D40,0)+IFERROR(F40,0))</f>
        <v/>
      </c>
      <c r="T40" s="56">
        <f>IF(AND(G40="",H40=""),"",IFERROR(G40*$D40,0)+IFERROR(H40,0))</f>
        <v/>
      </c>
      <c r="U40" s="56">
        <f>IF(AND(I40="",J40=""),"",IFERROR(I40*$D40,0)+IFERROR(J40,0))</f>
        <v/>
      </c>
      <c r="V40" s="56">
        <f>IF(AND(K40="",L40=""),"",IFERROR(K40*$D40,0)+IFERROR(L40,0))</f>
        <v/>
      </c>
      <c r="W40" s="56">
        <f>IF(AND(M40="",N40=""),"",IFERROR(M40*$D40,0)+IFERROR(N40,0))</f>
        <v/>
      </c>
      <c r="X40" s="56">
        <f>IF(AND(O40="",P40=""),"",IFERROR(O40*$D40,0)+IFERROR(P40,0))</f>
        <v/>
      </c>
      <c r="Y40" s="56">
        <f>IF(AND(Q40="",R40=""),"",IFERROR(Q40*$D40,0)+IFERROR(R40,0))</f>
        <v/>
      </c>
    </row>
    <row r="41">
      <c r="A41" s="43">
        <f>Insumos!$A104</f>
        <v/>
      </c>
      <c r="B41" s="44">
        <f>Insumos!$B104</f>
        <v/>
      </c>
      <c r="C41" s="45">
        <f>Insumos!$E104</f>
        <v/>
      </c>
      <c r="D41" s="46">
        <f>Insumos!$F104</f>
        <v/>
      </c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56">
        <f>IF(AND(E41="",F41=""),"",IFERROR(E41*$D41,0)+IFERROR(F41,0))</f>
        <v/>
      </c>
      <c r="T41" s="56">
        <f>IF(AND(G41="",H41=""),"",IFERROR(G41*$D41,0)+IFERROR(H41,0))</f>
        <v/>
      </c>
      <c r="U41" s="56">
        <f>IF(AND(I41="",J41=""),"",IFERROR(I41*$D41,0)+IFERROR(J41,0))</f>
        <v/>
      </c>
      <c r="V41" s="56">
        <f>IF(AND(K41="",L41=""),"",IFERROR(K41*$D41,0)+IFERROR(L41,0))</f>
        <v/>
      </c>
      <c r="W41" s="56">
        <f>IF(AND(M41="",N41=""),"",IFERROR(M41*$D41,0)+IFERROR(N41,0))</f>
        <v/>
      </c>
      <c r="X41" s="56">
        <f>IF(AND(O41="",P41=""),"",IFERROR(O41*$D41,0)+IFERROR(P41,0))</f>
        <v/>
      </c>
      <c r="Y41" s="56">
        <f>IF(AND(Q41="",R41=""),"",IFERROR(Q41*$D41,0)+IFERROR(R41,0))</f>
        <v/>
      </c>
    </row>
    <row r="42">
      <c r="A42" s="38">
        <f>Insumos!$A105</f>
        <v/>
      </c>
      <c r="B42" s="39">
        <f>Insumos!$B105</f>
        <v/>
      </c>
      <c r="C42" s="40">
        <f>Insumos!$E105</f>
        <v/>
      </c>
      <c r="D42" s="41">
        <f>Insumos!$F105</f>
        <v/>
      </c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56">
        <f>IF(AND(E42="",F42=""),"",IFERROR(E42*$D42,0)+IFERROR(F42,0))</f>
        <v/>
      </c>
      <c r="T42" s="56">
        <f>IF(AND(G42="",H42=""),"",IFERROR(G42*$D42,0)+IFERROR(H42,0))</f>
        <v/>
      </c>
      <c r="U42" s="56">
        <f>IF(AND(I42="",J42=""),"",IFERROR(I42*$D42,0)+IFERROR(J42,0))</f>
        <v/>
      </c>
      <c r="V42" s="56">
        <f>IF(AND(K42="",L42=""),"",IFERROR(K42*$D42,0)+IFERROR(L42,0))</f>
        <v/>
      </c>
      <c r="W42" s="56">
        <f>IF(AND(M42="",N42=""),"",IFERROR(M42*$D42,0)+IFERROR(N42,0))</f>
        <v/>
      </c>
      <c r="X42" s="56">
        <f>IF(AND(O42="",P42=""),"",IFERROR(O42*$D42,0)+IFERROR(P42,0))</f>
        <v/>
      </c>
      <c r="Y42" s="56">
        <f>IF(AND(Q42="",R42=""),"",IFERROR(Q42*$D42,0)+IFERROR(R42,0))</f>
        <v/>
      </c>
    </row>
    <row r="43">
      <c r="A43" s="43">
        <f>Insumos!$A106</f>
        <v/>
      </c>
      <c r="B43" s="44">
        <f>Insumos!$B106</f>
        <v/>
      </c>
      <c r="C43" s="45">
        <f>Insumos!$E106</f>
        <v/>
      </c>
      <c r="D43" s="46">
        <f>Insumos!$F106</f>
        <v/>
      </c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56">
        <f>IF(AND(E43="",F43=""),"",IFERROR(E43*$D43,0)+IFERROR(F43,0))</f>
        <v/>
      </c>
      <c r="T43" s="56">
        <f>IF(AND(G43="",H43=""),"",IFERROR(G43*$D43,0)+IFERROR(H43,0))</f>
        <v/>
      </c>
      <c r="U43" s="56">
        <f>IF(AND(I43="",J43=""),"",IFERROR(I43*$D43,0)+IFERROR(J43,0))</f>
        <v/>
      </c>
      <c r="V43" s="56">
        <f>IF(AND(K43="",L43=""),"",IFERROR(K43*$D43,0)+IFERROR(L43,0))</f>
        <v/>
      </c>
      <c r="W43" s="56">
        <f>IF(AND(M43="",N43=""),"",IFERROR(M43*$D43,0)+IFERROR(N43,0))</f>
        <v/>
      </c>
      <c r="X43" s="56">
        <f>IF(AND(O43="",P43=""),"",IFERROR(O43*$D43,0)+IFERROR(P43,0))</f>
        <v/>
      </c>
      <c r="Y43" s="56">
        <f>IF(AND(Q43="",R43=""),"",IFERROR(Q43*$D43,0)+IFERROR(R43,0))</f>
        <v/>
      </c>
    </row>
    <row r="44">
      <c r="A44" s="38">
        <f>Insumos!$A107</f>
        <v/>
      </c>
      <c r="B44" s="39">
        <f>Insumos!$B107</f>
        <v/>
      </c>
      <c r="C44" s="40">
        <f>Insumos!$E107</f>
        <v/>
      </c>
      <c r="D44" s="41">
        <f>Insumos!$F107</f>
        <v/>
      </c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56">
        <f>IF(AND(E44="",F44=""),"",IFERROR(E44*$D44,0)+IFERROR(F44,0))</f>
        <v/>
      </c>
      <c r="T44" s="56">
        <f>IF(AND(G44="",H44=""),"",IFERROR(G44*$D44,0)+IFERROR(H44,0))</f>
        <v/>
      </c>
      <c r="U44" s="56">
        <f>IF(AND(I44="",J44=""),"",IFERROR(I44*$D44,0)+IFERROR(J44,0))</f>
        <v/>
      </c>
      <c r="V44" s="56">
        <f>IF(AND(K44="",L44=""),"",IFERROR(K44*$D44,0)+IFERROR(L44,0))</f>
        <v/>
      </c>
      <c r="W44" s="56">
        <f>IF(AND(M44="",N44=""),"",IFERROR(M44*$D44,0)+IFERROR(N44,0))</f>
        <v/>
      </c>
      <c r="X44" s="56">
        <f>IF(AND(O44="",P44=""),"",IFERROR(O44*$D44,0)+IFERROR(P44,0))</f>
        <v/>
      </c>
      <c r="Y44" s="56">
        <f>IF(AND(Q44="",R44=""),"",IFERROR(Q44*$D44,0)+IFERROR(R44,0))</f>
        <v/>
      </c>
    </row>
    <row r="45">
      <c r="A45" s="43">
        <f>Insumos!$A114</f>
        <v/>
      </c>
      <c r="B45" s="44">
        <f>Insumos!$B114</f>
        <v/>
      </c>
      <c r="C45" s="45">
        <f>Insumos!$E114</f>
        <v/>
      </c>
      <c r="D45" s="46">
        <f>Insumos!$F114</f>
        <v/>
      </c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56">
        <f>IF(AND(E45="",F45=""),"",IFERROR(E45*$D45,0)+IFERROR(F45,0))</f>
        <v/>
      </c>
      <c r="T45" s="56">
        <f>IF(AND(G45="",H45=""),"",IFERROR(G45*$D45,0)+IFERROR(H45,0))</f>
        <v/>
      </c>
      <c r="U45" s="56">
        <f>IF(AND(I45="",J45=""),"",IFERROR(I45*$D45,0)+IFERROR(J45,0))</f>
        <v/>
      </c>
      <c r="V45" s="56">
        <f>IF(AND(K45="",L45=""),"",IFERROR(K45*$D45,0)+IFERROR(L45,0))</f>
        <v/>
      </c>
      <c r="W45" s="56">
        <f>IF(AND(M45="",N45=""),"",IFERROR(M45*$D45,0)+IFERROR(N45,0))</f>
        <v/>
      </c>
      <c r="X45" s="56">
        <f>IF(AND(O45="",P45=""),"",IFERROR(O45*$D45,0)+IFERROR(P45,0))</f>
        <v/>
      </c>
      <c r="Y45" s="56">
        <f>IF(AND(Q45="",R45=""),"",IFERROR(Q45*$D45,0)+IFERROR(R45,0))</f>
        <v/>
      </c>
    </row>
    <row r="46">
      <c r="A46" s="38">
        <f>Insumos!$A117</f>
        <v/>
      </c>
      <c r="B46" s="39">
        <f>Insumos!$B117</f>
        <v/>
      </c>
      <c r="C46" s="40">
        <f>Insumos!$E117</f>
        <v/>
      </c>
      <c r="D46" s="41">
        <f>Insumos!$F117</f>
        <v/>
      </c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56">
        <f>IF(AND(E46="",F46=""),"",IFERROR(E46*$D46,0)+IFERROR(F46,0))</f>
        <v/>
      </c>
      <c r="T46" s="56">
        <f>IF(AND(G46="",H46=""),"",IFERROR(G46*$D46,0)+IFERROR(H46,0))</f>
        <v/>
      </c>
      <c r="U46" s="56">
        <f>IF(AND(I46="",J46=""),"",IFERROR(I46*$D46,0)+IFERROR(J46,0))</f>
        <v/>
      </c>
      <c r="V46" s="56">
        <f>IF(AND(K46="",L46=""),"",IFERROR(K46*$D46,0)+IFERROR(L46,0))</f>
        <v/>
      </c>
      <c r="W46" s="56">
        <f>IF(AND(M46="",N46=""),"",IFERROR(M46*$D46,0)+IFERROR(N46,0))</f>
        <v/>
      </c>
      <c r="X46" s="56">
        <f>IF(AND(O46="",P46=""),"",IFERROR(O46*$D46,0)+IFERROR(P46,0))</f>
        <v/>
      </c>
      <c r="Y46" s="56">
        <f>IF(AND(Q46="",R46=""),"",IFERROR(Q46*$D46,0)+IFERROR(R46,0))</f>
        <v/>
      </c>
    </row>
    <row r="47">
      <c r="A47" s="43">
        <f>Insumos!$A118</f>
        <v/>
      </c>
      <c r="B47" s="44">
        <f>Insumos!$B118</f>
        <v/>
      </c>
      <c r="C47" s="45">
        <f>Insumos!$E118</f>
        <v/>
      </c>
      <c r="D47" s="46">
        <f>Insumos!$F118</f>
        <v/>
      </c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56">
        <f>IF(AND(E47="",F47=""),"",IFERROR(E47*$D47,0)+IFERROR(F47,0))</f>
        <v/>
      </c>
      <c r="T47" s="56">
        <f>IF(AND(G47="",H47=""),"",IFERROR(G47*$D47,0)+IFERROR(H47,0))</f>
        <v/>
      </c>
      <c r="U47" s="56">
        <f>IF(AND(I47="",J47=""),"",IFERROR(I47*$D47,0)+IFERROR(J47,0))</f>
        <v/>
      </c>
      <c r="V47" s="56">
        <f>IF(AND(K47="",L47=""),"",IFERROR(K47*$D47,0)+IFERROR(L47,0))</f>
        <v/>
      </c>
      <c r="W47" s="56">
        <f>IF(AND(M47="",N47=""),"",IFERROR(M47*$D47,0)+IFERROR(N47,0))</f>
        <v/>
      </c>
      <c r="X47" s="56">
        <f>IF(AND(O47="",P47=""),"",IFERROR(O47*$D47,0)+IFERROR(P47,0))</f>
        <v/>
      </c>
      <c r="Y47" s="56">
        <f>IF(AND(Q47="",R47=""),"",IFERROR(Q47*$D47,0)+IFERROR(R47,0))</f>
        <v/>
      </c>
    </row>
    <row r="48">
      <c r="A48" s="38">
        <f>Insumos!$A119</f>
        <v/>
      </c>
      <c r="B48" s="39">
        <f>Insumos!$B119</f>
        <v/>
      </c>
      <c r="C48" s="40">
        <f>Insumos!$E119</f>
        <v/>
      </c>
      <c r="D48" s="41">
        <f>Insumos!$F119</f>
        <v/>
      </c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56">
        <f>IF(AND(E48="",F48=""),"",IFERROR(E48*$D48,0)+IFERROR(F48,0))</f>
        <v/>
      </c>
      <c r="T48" s="56">
        <f>IF(AND(G48="",H48=""),"",IFERROR(G48*$D48,0)+IFERROR(H48,0))</f>
        <v/>
      </c>
      <c r="U48" s="56">
        <f>IF(AND(I48="",J48=""),"",IFERROR(I48*$D48,0)+IFERROR(J48,0))</f>
        <v/>
      </c>
      <c r="V48" s="56">
        <f>IF(AND(K48="",L48=""),"",IFERROR(K48*$D48,0)+IFERROR(L48,0))</f>
        <v/>
      </c>
      <c r="W48" s="56">
        <f>IF(AND(M48="",N48=""),"",IFERROR(M48*$D48,0)+IFERROR(N48,0))</f>
        <v/>
      </c>
      <c r="X48" s="56">
        <f>IF(AND(O48="",P48=""),"",IFERROR(O48*$D48,0)+IFERROR(P48,0))</f>
        <v/>
      </c>
      <c r="Y48" s="56">
        <f>IF(AND(Q48="",R48=""),"",IFERROR(Q48*$D48,0)+IFERROR(R48,0))</f>
        <v/>
      </c>
    </row>
    <row r="49">
      <c r="A49" s="43">
        <f>Insumos!$A122</f>
        <v/>
      </c>
      <c r="B49" s="44">
        <f>Insumos!$B122</f>
        <v/>
      </c>
      <c r="C49" s="45">
        <f>Insumos!$E122</f>
        <v/>
      </c>
      <c r="D49" s="46">
        <f>Insumos!$F122</f>
        <v/>
      </c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56">
        <f>IF(AND(E49="",F49=""),"",IFERROR(E49*$D49,0)+IFERROR(F49,0))</f>
        <v/>
      </c>
      <c r="T49" s="56">
        <f>IF(AND(G49="",H49=""),"",IFERROR(G49*$D49,0)+IFERROR(H49,0))</f>
        <v/>
      </c>
      <c r="U49" s="56">
        <f>IF(AND(I49="",J49=""),"",IFERROR(I49*$D49,0)+IFERROR(J49,0))</f>
        <v/>
      </c>
      <c r="V49" s="56">
        <f>IF(AND(K49="",L49=""),"",IFERROR(K49*$D49,0)+IFERROR(L49,0))</f>
        <v/>
      </c>
      <c r="W49" s="56">
        <f>IF(AND(M49="",N49=""),"",IFERROR(M49*$D49,0)+IFERROR(N49,0))</f>
        <v/>
      </c>
      <c r="X49" s="56">
        <f>IF(AND(O49="",P49=""),"",IFERROR(O49*$D49,0)+IFERROR(P49,0))</f>
        <v/>
      </c>
      <c r="Y49" s="56">
        <f>IF(AND(Q49="",R49=""),"",IFERROR(Q49*$D49,0)+IFERROR(R49,0))</f>
        <v/>
      </c>
    </row>
    <row r="50">
      <c r="A50" s="38">
        <f>Insumos!$A123</f>
        <v/>
      </c>
      <c r="B50" s="39">
        <f>Insumos!$B123</f>
        <v/>
      </c>
      <c r="C50" s="40">
        <f>Insumos!$E123</f>
        <v/>
      </c>
      <c r="D50" s="41">
        <f>Insumos!$F123</f>
        <v/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56">
        <f>IF(AND(E50="",F50=""),"",IFERROR(E50*$D50,0)+IFERROR(F50,0))</f>
        <v/>
      </c>
      <c r="T50" s="56">
        <f>IF(AND(G50="",H50=""),"",IFERROR(G50*$D50,0)+IFERROR(H50,0))</f>
        <v/>
      </c>
      <c r="U50" s="56">
        <f>IF(AND(I50="",J50=""),"",IFERROR(I50*$D50,0)+IFERROR(J50,0))</f>
        <v/>
      </c>
      <c r="V50" s="56">
        <f>IF(AND(K50="",L50=""),"",IFERROR(K50*$D50,0)+IFERROR(L50,0))</f>
        <v/>
      </c>
      <c r="W50" s="56">
        <f>IF(AND(M50="",N50=""),"",IFERROR(M50*$D50,0)+IFERROR(N50,0))</f>
        <v/>
      </c>
      <c r="X50" s="56">
        <f>IF(AND(O50="",P50=""),"",IFERROR(O50*$D50,0)+IFERROR(P50,0))</f>
        <v/>
      </c>
      <c r="Y50" s="56">
        <f>IF(AND(Q50="",R50=""),"",IFERROR(Q50*$D50,0)+IFERROR(R50,0))</f>
        <v/>
      </c>
    </row>
    <row r="51">
      <c r="A51" s="43">
        <f>Insumos!$A124</f>
        <v/>
      </c>
      <c r="B51" s="44">
        <f>Insumos!$B124</f>
        <v/>
      </c>
      <c r="C51" s="45">
        <f>Insumos!$E124</f>
        <v/>
      </c>
      <c r="D51" s="46">
        <f>Insumos!$F124</f>
        <v/>
      </c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56">
        <f>IF(AND(E51="",F51=""),"",IFERROR(E51*$D51,0)+IFERROR(F51,0))</f>
        <v/>
      </c>
      <c r="T51" s="56">
        <f>IF(AND(G51="",H51=""),"",IFERROR(G51*$D51,0)+IFERROR(H51,0))</f>
        <v/>
      </c>
      <c r="U51" s="56">
        <f>IF(AND(I51="",J51=""),"",IFERROR(I51*$D51,0)+IFERROR(J51,0))</f>
        <v/>
      </c>
      <c r="V51" s="56">
        <f>IF(AND(K51="",L51=""),"",IFERROR(K51*$D51,0)+IFERROR(L51,0))</f>
        <v/>
      </c>
      <c r="W51" s="56">
        <f>IF(AND(M51="",N51=""),"",IFERROR(M51*$D51,0)+IFERROR(N51,0))</f>
        <v/>
      </c>
      <c r="X51" s="56">
        <f>IF(AND(O51="",P51=""),"",IFERROR(O51*$D51,0)+IFERROR(P51,0))</f>
        <v/>
      </c>
      <c r="Y51" s="56">
        <f>IF(AND(Q51="",R51=""),"",IFERROR(Q51*$D51,0)+IFERROR(R51,0))</f>
        <v/>
      </c>
    </row>
    <row r="52">
      <c r="A52" s="38">
        <f>Insumos!$A125</f>
        <v/>
      </c>
      <c r="B52" s="39">
        <f>Insumos!$B125</f>
        <v/>
      </c>
      <c r="C52" s="40">
        <f>Insumos!$E125</f>
        <v/>
      </c>
      <c r="D52" s="41">
        <f>Insumos!$F125</f>
        <v/>
      </c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56">
        <f>IF(AND(E52="",F52=""),"",IFERROR(E52*$D52,0)+IFERROR(F52,0))</f>
        <v/>
      </c>
      <c r="T52" s="56">
        <f>IF(AND(G52="",H52=""),"",IFERROR(G52*$D52,0)+IFERROR(H52,0))</f>
        <v/>
      </c>
      <c r="U52" s="56">
        <f>IF(AND(I52="",J52=""),"",IFERROR(I52*$D52,0)+IFERROR(J52,0))</f>
        <v/>
      </c>
      <c r="V52" s="56">
        <f>IF(AND(K52="",L52=""),"",IFERROR(K52*$D52,0)+IFERROR(L52,0))</f>
        <v/>
      </c>
      <c r="W52" s="56">
        <f>IF(AND(M52="",N52=""),"",IFERROR(M52*$D52,0)+IFERROR(N52,0))</f>
        <v/>
      </c>
      <c r="X52" s="56">
        <f>IF(AND(O52="",P52=""),"",IFERROR(O52*$D52,0)+IFERROR(P52,0))</f>
        <v/>
      </c>
      <c r="Y52" s="56">
        <f>IF(AND(Q52="",R52=""),"",IFERROR(Q52*$D52,0)+IFERROR(R52,0))</f>
        <v/>
      </c>
    </row>
    <row r="53">
      <c r="A53" s="43">
        <f>Insumos!$A126</f>
        <v/>
      </c>
      <c r="B53" s="44">
        <f>Insumos!$B126</f>
        <v/>
      </c>
      <c r="C53" s="45">
        <f>Insumos!$E126</f>
        <v/>
      </c>
      <c r="D53" s="46">
        <f>Insumos!$F126</f>
        <v/>
      </c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56">
        <f>IF(AND(E53="",F53=""),"",IFERROR(E53*$D53,0)+IFERROR(F53,0))</f>
        <v/>
      </c>
      <c r="T53" s="56">
        <f>IF(AND(G53="",H53=""),"",IFERROR(G53*$D53,0)+IFERROR(H53,0))</f>
        <v/>
      </c>
      <c r="U53" s="56">
        <f>IF(AND(I53="",J53=""),"",IFERROR(I53*$D53,0)+IFERROR(J53,0))</f>
        <v/>
      </c>
      <c r="V53" s="56">
        <f>IF(AND(K53="",L53=""),"",IFERROR(K53*$D53,0)+IFERROR(L53,0))</f>
        <v/>
      </c>
      <c r="W53" s="56">
        <f>IF(AND(M53="",N53=""),"",IFERROR(M53*$D53,0)+IFERROR(N53,0))</f>
        <v/>
      </c>
      <c r="X53" s="56">
        <f>IF(AND(O53="",P53=""),"",IFERROR(O53*$D53,0)+IFERROR(P53,0))</f>
        <v/>
      </c>
      <c r="Y53" s="56">
        <f>IF(AND(Q53="",R53=""),"",IFERROR(Q53*$D53,0)+IFERROR(R53,0))</f>
        <v/>
      </c>
    </row>
    <row r="54">
      <c r="A54" s="38">
        <f>Insumos!$A127</f>
        <v/>
      </c>
      <c r="B54" s="39">
        <f>Insumos!$B127</f>
        <v/>
      </c>
      <c r="C54" s="40">
        <f>Insumos!$E127</f>
        <v/>
      </c>
      <c r="D54" s="41">
        <f>Insumos!$F127</f>
        <v/>
      </c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56">
        <f>IF(AND(E54="",F54=""),"",IFERROR(E54*$D54,0)+IFERROR(F54,0))</f>
        <v/>
      </c>
      <c r="T54" s="56">
        <f>IF(AND(G54="",H54=""),"",IFERROR(G54*$D54,0)+IFERROR(H54,0))</f>
        <v/>
      </c>
      <c r="U54" s="56">
        <f>IF(AND(I54="",J54=""),"",IFERROR(I54*$D54,0)+IFERROR(J54,0))</f>
        <v/>
      </c>
      <c r="V54" s="56">
        <f>IF(AND(K54="",L54=""),"",IFERROR(K54*$D54,0)+IFERROR(L54,0))</f>
        <v/>
      </c>
      <c r="W54" s="56">
        <f>IF(AND(M54="",N54=""),"",IFERROR(M54*$D54,0)+IFERROR(N54,0))</f>
        <v/>
      </c>
      <c r="X54" s="56">
        <f>IF(AND(O54="",P54=""),"",IFERROR(O54*$D54,0)+IFERROR(P54,0))</f>
        <v/>
      </c>
      <c r="Y54" s="56">
        <f>IF(AND(Q54="",R54=""),"",IFERROR(Q54*$D54,0)+IFERROR(R54,0))</f>
        <v/>
      </c>
    </row>
    <row r="55">
      <c r="A55" s="43">
        <f>Insumos!$A137</f>
        <v/>
      </c>
      <c r="B55" s="44">
        <f>Insumos!$B137</f>
        <v/>
      </c>
      <c r="C55" s="45">
        <f>Insumos!$E137</f>
        <v/>
      </c>
      <c r="D55" s="46">
        <f>Insumos!$F137</f>
        <v/>
      </c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56">
        <f>IF(AND(E55="",F55=""),"",IFERROR(E55*$D55,0)+IFERROR(F55,0))</f>
        <v/>
      </c>
      <c r="T55" s="56">
        <f>IF(AND(G55="",H55=""),"",IFERROR(G55*$D55,0)+IFERROR(H55,0))</f>
        <v/>
      </c>
      <c r="U55" s="56">
        <f>IF(AND(I55="",J55=""),"",IFERROR(I55*$D55,0)+IFERROR(J55,0))</f>
        <v/>
      </c>
      <c r="V55" s="56">
        <f>IF(AND(K55="",L55=""),"",IFERROR(K55*$D55,0)+IFERROR(L55,0))</f>
        <v/>
      </c>
      <c r="W55" s="56">
        <f>IF(AND(M55="",N55=""),"",IFERROR(M55*$D55,0)+IFERROR(N55,0))</f>
        <v/>
      </c>
      <c r="X55" s="56">
        <f>IF(AND(O55="",P55=""),"",IFERROR(O55*$D55,0)+IFERROR(P55,0))</f>
        <v/>
      </c>
      <c r="Y55" s="56">
        <f>IF(AND(Q55="",R55=""),"",IFERROR(Q55*$D55,0)+IFERROR(R55,0))</f>
        <v/>
      </c>
    </row>
    <row r="56">
      <c r="A56" s="38">
        <f>Insumos!$A138</f>
        <v/>
      </c>
      <c r="B56" s="39">
        <f>Insumos!$B138</f>
        <v/>
      </c>
      <c r="C56" s="40">
        <f>Insumos!$E138</f>
        <v/>
      </c>
      <c r="D56" s="41">
        <f>Insumos!$F138</f>
        <v/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56">
        <f>IF(AND(E56="",F56=""),"",IFERROR(E56*$D56,0)+IFERROR(F56,0))</f>
        <v/>
      </c>
      <c r="T56" s="56">
        <f>IF(AND(G56="",H56=""),"",IFERROR(G56*$D56,0)+IFERROR(H56,0))</f>
        <v/>
      </c>
      <c r="U56" s="56">
        <f>IF(AND(I56="",J56=""),"",IFERROR(I56*$D56,0)+IFERROR(J56,0))</f>
        <v/>
      </c>
      <c r="V56" s="56">
        <f>IF(AND(K56="",L56=""),"",IFERROR(K56*$D56,0)+IFERROR(L56,0))</f>
        <v/>
      </c>
      <c r="W56" s="56">
        <f>IF(AND(M56="",N56=""),"",IFERROR(M56*$D56,0)+IFERROR(N56,0))</f>
        <v/>
      </c>
      <c r="X56" s="56">
        <f>IF(AND(O56="",P56=""),"",IFERROR(O56*$D56,0)+IFERROR(P56,0))</f>
        <v/>
      </c>
      <c r="Y56" s="56">
        <f>IF(AND(Q56="",R56=""),"",IFERROR(Q56*$D56,0)+IFERROR(R56,0))</f>
        <v/>
      </c>
    </row>
    <row r="57">
      <c r="A57" s="43">
        <f>Insumos!$A139</f>
        <v/>
      </c>
      <c r="B57" s="44">
        <f>Insumos!$B139</f>
        <v/>
      </c>
      <c r="C57" s="45">
        <f>Insumos!$E139</f>
        <v/>
      </c>
      <c r="D57" s="46">
        <f>Insumos!$F139</f>
        <v/>
      </c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56">
        <f>IF(AND(E57="",F57=""),"",IFERROR(E57*$D57,0)+IFERROR(F57,0))</f>
        <v/>
      </c>
      <c r="T57" s="56">
        <f>IF(AND(G57="",H57=""),"",IFERROR(G57*$D57,0)+IFERROR(H57,0))</f>
        <v/>
      </c>
      <c r="U57" s="56">
        <f>IF(AND(I57="",J57=""),"",IFERROR(I57*$D57,0)+IFERROR(J57,0))</f>
        <v/>
      </c>
      <c r="V57" s="56">
        <f>IF(AND(K57="",L57=""),"",IFERROR(K57*$D57,0)+IFERROR(L57,0))</f>
        <v/>
      </c>
      <c r="W57" s="56">
        <f>IF(AND(M57="",N57=""),"",IFERROR(M57*$D57,0)+IFERROR(N57,0))</f>
        <v/>
      </c>
      <c r="X57" s="56">
        <f>IF(AND(O57="",P57=""),"",IFERROR(O57*$D57,0)+IFERROR(P57,0))</f>
        <v/>
      </c>
      <c r="Y57" s="56">
        <f>IF(AND(Q57="",R57=""),"",IFERROR(Q57*$D57,0)+IFERROR(R57,0))</f>
        <v/>
      </c>
    </row>
    <row r="58">
      <c r="A58" s="38">
        <f>Insumos!$A140</f>
        <v/>
      </c>
      <c r="B58" s="39">
        <f>Insumos!$B140</f>
        <v/>
      </c>
      <c r="C58" s="40">
        <f>Insumos!$E140</f>
        <v/>
      </c>
      <c r="D58" s="41">
        <f>Insumos!$F140</f>
        <v/>
      </c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56">
        <f>IF(AND(E58="",F58=""),"",IFERROR(E58*$D58,0)+IFERROR(F58,0))</f>
        <v/>
      </c>
      <c r="T58" s="56">
        <f>IF(AND(G58="",H58=""),"",IFERROR(G58*$D58,0)+IFERROR(H58,0))</f>
        <v/>
      </c>
      <c r="U58" s="56">
        <f>IF(AND(I58="",J58=""),"",IFERROR(I58*$D58,0)+IFERROR(J58,0))</f>
        <v/>
      </c>
      <c r="V58" s="56">
        <f>IF(AND(K58="",L58=""),"",IFERROR(K58*$D58,0)+IFERROR(L58,0))</f>
        <v/>
      </c>
      <c r="W58" s="56">
        <f>IF(AND(M58="",N58=""),"",IFERROR(M58*$D58,0)+IFERROR(N58,0))</f>
        <v/>
      </c>
      <c r="X58" s="56">
        <f>IF(AND(O58="",P58=""),"",IFERROR(O58*$D58,0)+IFERROR(P58,0))</f>
        <v/>
      </c>
      <c r="Y58" s="56">
        <f>IF(AND(Q58="",R58=""),"",IFERROR(Q58*$D58,0)+IFERROR(R58,0))</f>
        <v/>
      </c>
    </row>
    <row r="59">
      <c r="A59" s="43">
        <f>Insumos!$A142</f>
        <v/>
      </c>
      <c r="B59" s="44">
        <f>Insumos!$B142</f>
        <v/>
      </c>
      <c r="C59" s="45">
        <f>Insumos!$E142</f>
        <v/>
      </c>
      <c r="D59" s="46">
        <f>Insumos!$F142</f>
        <v/>
      </c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56">
        <f>IF(AND(E59="",F59=""),"",IFERROR(E59*$D59,0)+IFERROR(F59,0))</f>
        <v/>
      </c>
      <c r="T59" s="56">
        <f>IF(AND(G59="",H59=""),"",IFERROR(G59*$D59,0)+IFERROR(H59,0))</f>
        <v/>
      </c>
      <c r="U59" s="56">
        <f>IF(AND(I59="",J59=""),"",IFERROR(I59*$D59,0)+IFERROR(J59,0))</f>
        <v/>
      </c>
      <c r="V59" s="56">
        <f>IF(AND(K59="",L59=""),"",IFERROR(K59*$D59,0)+IFERROR(L59,0))</f>
        <v/>
      </c>
      <c r="W59" s="56">
        <f>IF(AND(M59="",N59=""),"",IFERROR(M59*$D59,0)+IFERROR(N59,0))</f>
        <v/>
      </c>
      <c r="X59" s="56">
        <f>IF(AND(O59="",P59=""),"",IFERROR(O59*$D59,0)+IFERROR(P59,0))</f>
        <v/>
      </c>
      <c r="Y59" s="56">
        <f>IF(AND(Q59="",R59=""),"",IFERROR(Q59*$D59,0)+IFERROR(R59,0))</f>
        <v/>
      </c>
    </row>
    <row r="60">
      <c r="A60" s="38">
        <f>Insumos!$A143</f>
        <v/>
      </c>
      <c r="B60" s="39">
        <f>Insumos!$B143</f>
        <v/>
      </c>
      <c r="C60" s="40">
        <f>Insumos!$E143</f>
        <v/>
      </c>
      <c r="D60" s="41">
        <f>Insumos!$F143</f>
        <v/>
      </c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56">
        <f>IF(AND(E60="",F60=""),"",IFERROR(E60*$D60,0)+IFERROR(F60,0))</f>
        <v/>
      </c>
      <c r="T60" s="56">
        <f>IF(AND(G60="",H60=""),"",IFERROR(G60*$D60,0)+IFERROR(H60,0))</f>
        <v/>
      </c>
      <c r="U60" s="56">
        <f>IF(AND(I60="",J60=""),"",IFERROR(I60*$D60,0)+IFERROR(J60,0))</f>
        <v/>
      </c>
      <c r="V60" s="56">
        <f>IF(AND(K60="",L60=""),"",IFERROR(K60*$D60,0)+IFERROR(L60,0))</f>
        <v/>
      </c>
      <c r="W60" s="56">
        <f>IF(AND(M60="",N60=""),"",IFERROR(M60*$D60,0)+IFERROR(N60,0))</f>
        <v/>
      </c>
      <c r="X60" s="56">
        <f>IF(AND(O60="",P60=""),"",IFERROR(O60*$D60,0)+IFERROR(P60,0))</f>
        <v/>
      </c>
      <c r="Y60" s="56">
        <f>IF(AND(Q60="",R60=""),"",IFERROR(Q60*$D60,0)+IFERROR(R60,0))</f>
        <v/>
      </c>
    </row>
    <row r="61">
      <c r="A61" s="43">
        <f>Insumos!$A144</f>
        <v/>
      </c>
      <c r="B61" s="44">
        <f>Insumos!$B144</f>
        <v/>
      </c>
      <c r="C61" s="45">
        <f>Insumos!$E144</f>
        <v/>
      </c>
      <c r="D61" s="46">
        <f>Insumos!$F144</f>
        <v/>
      </c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56">
        <f>IF(AND(E61="",F61=""),"",IFERROR(E61*$D61,0)+IFERROR(F61,0))</f>
        <v/>
      </c>
      <c r="T61" s="56">
        <f>IF(AND(G61="",H61=""),"",IFERROR(G61*$D61,0)+IFERROR(H61,0))</f>
        <v/>
      </c>
      <c r="U61" s="56">
        <f>IF(AND(I61="",J61=""),"",IFERROR(I61*$D61,0)+IFERROR(J61,0))</f>
        <v/>
      </c>
      <c r="V61" s="56">
        <f>IF(AND(K61="",L61=""),"",IFERROR(K61*$D61,0)+IFERROR(L61,0))</f>
        <v/>
      </c>
      <c r="W61" s="56">
        <f>IF(AND(M61="",N61=""),"",IFERROR(M61*$D61,0)+IFERROR(N61,0))</f>
        <v/>
      </c>
      <c r="X61" s="56">
        <f>IF(AND(O61="",P61=""),"",IFERROR(O61*$D61,0)+IFERROR(P61,0))</f>
        <v/>
      </c>
      <c r="Y61" s="56">
        <f>IF(AND(Q61="",R61=""),"",IFERROR(Q61*$D61,0)+IFERROR(R61,0))</f>
        <v/>
      </c>
    </row>
    <row r="62">
      <c r="A62" s="38">
        <f>Insumos!$A145</f>
        <v/>
      </c>
      <c r="B62" s="39">
        <f>Insumos!$B145</f>
        <v/>
      </c>
      <c r="C62" s="40">
        <f>Insumos!$E145</f>
        <v/>
      </c>
      <c r="D62" s="41">
        <f>Insumos!$F145</f>
        <v/>
      </c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56">
        <f>IF(AND(E62="",F62=""),"",IFERROR(E62*$D62,0)+IFERROR(F62,0))</f>
        <v/>
      </c>
      <c r="T62" s="56">
        <f>IF(AND(G62="",H62=""),"",IFERROR(G62*$D62,0)+IFERROR(H62,0))</f>
        <v/>
      </c>
      <c r="U62" s="56">
        <f>IF(AND(I62="",J62=""),"",IFERROR(I62*$D62,0)+IFERROR(J62,0))</f>
        <v/>
      </c>
      <c r="V62" s="56">
        <f>IF(AND(K62="",L62=""),"",IFERROR(K62*$D62,0)+IFERROR(L62,0))</f>
        <v/>
      </c>
      <c r="W62" s="56">
        <f>IF(AND(M62="",N62=""),"",IFERROR(M62*$D62,0)+IFERROR(N62,0))</f>
        <v/>
      </c>
      <c r="X62" s="56">
        <f>IF(AND(O62="",P62=""),"",IFERROR(O62*$D62,0)+IFERROR(P62,0))</f>
        <v/>
      </c>
      <c r="Y62" s="56">
        <f>IF(AND(Q62="",R62=""),"",IFERROR(Q62*$D62,0)+IFERROR(R62,0))</f>
        <v/>
      </c>
    </row>
    <row r="63">
      <c r="A63" s="43">
        <f>Insumos!$A147</f>
        <v/>
      </c>
      <c r="B63" s="44">
        <f>Insumos!$B147</f>
        <v/>
      </c>
      <c r="C63" s="45">
        <f>Insumos!$E147</f>
        <v/>
      </c>
      <c r="D63" s="46">
        <f>Insumos!$F147</f>
        <v/>
      </c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56">
        <f>IF(AND(E63="",F63=""),"",IFERROR(E63*$D63,0)+IFERROR(F63,0))</f>
        <v/>
      </c>
      <c r="T63" s="56">
        <f>IF(AND(G63="",H63=""),"",IFERROR(G63*$D63,0)+IFERROR(H63,0))</f>
        <v/>
      </c>
      <c r="U63" s="56">
        <f>IF(AND(I63="",J63=""),"",IFERROR(I63*$D63,0)+IFERROR(J63,0))</f>
        <v/>
      </c>
      <c r="V63" s="56">
        <f>IF(AND(K63="",L63=""),"",IFERROR(K63*$D63,0)+IFERROR(L63,0))</f>
        <v/>
      </c>
      <c r="W63" s="56">
        <f>IF(AND(M63="",N63=""),"",IFERROR(M63*$D63,0)+IFERROR(N63,0))</f>
        <v/>
      </c>
      <c r="X63" s="56">
        <f>IF(AND(O63="",P63=""),"",IFERROR(O63*$D63,0)+IFERROR(P63,0))</f>
        <v/>
      </c>
      <c r="Y63" s="56">
        <f>IF(AND(Q63="",R63=""),"",IFERROR(Q63*$D63,0)+IFERROR(R63,0))</f>
        <v/>
      </c>
    </row>
    <row r="64">
      <c r="A64" s="38">
        <f>Insumos!$A148</f>
        <v/>
      </c>
      <c r="B64" s="39">
        <f>Insumos!$B148</f>
        <v/>
      </c>
      <c r="C64" s="40">
        <f>Insumos!$E148</f>
        <v/>
      </c>
      <c r="D64" s="41">
        <f>Insumos!$F148</f>
        <v/>
      </c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56">
        <f>IF(AND(E64="",F64=""),"",IFERROR(E64*$D64,0)+IFERROR(F64,0))</f>
        <v/>
      </c>
      <c r="T64" s="56">
        <f>IF(AND(G64="",H64=""),"",IFERROR(G64*$D64,0)+IFERROR(H64,0))</f>
        <v/>
      </c>
      <c r="U64" s="56">
        <f>IF(AND(I64="",J64=""),"",IFERROR(I64*$D64,0)+IFERROR(J64,0))</f>
        <v/>
      </c>
      <c r="V64" s="56">
        <f>IF(AND(K64="",L64=""),"",IFERROR(K64*$D64,0)+IFERROR(L64,0))</f>
        <v/>
      </c>
      <c r="W64" s="56">
        <f>IF(AND(M64="",N64=""),"",IFERROR(M64*$D64,0)+IFERROR(N64,0))</f>
        <v/>
      </c>
      <c r="X64" s="56">
        <f>IF(AND(O64="",P64=""),"",IFERROR(O64*$D64,0)+IFERROR(P64,0))</f>
        <v/>
      </c>
      <c r="Y64" s="56">
        <f>IF(AND(Q64="",R64=""),"",IFERROR(Q64*$D64,0)+IFERROR(R64,0))</f>
        <v/>
      </c>
    </row>
    <row r="65">
      <c r="A65" s="43">
        <f>Insumos!$A159</f>
        <v/>
      </c>
      <c r="B65" s="44">
        <f>Insumos!$B159</f>
        <v/>
      </c>
      <c r="C65" s="45">
        <f>Insumos!$E159</f>
        <v/>
      </c>
      <c r="D65" s="46">
        <f>Insumos!$F159</f>
        <v/>
      </c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56">
        <f>IF(AND(E65="",F65=""),"",IFERROR(E65*$D65,0)+IFERROR(F65,0))</f>
        <v/>
      </c>
      <c r="T65" s="56">
        <f>IF(AND(G65="",H65=""),"",IFERROR(G65*$D65,0)+IFERROR(H65,0))</f>
        <v/>
      </c>
      <c r="U65" s="56">
        <f>IF(AND(I65="",J65=""),"",IFERROR(I65*$D65,0)+IFERROR(J65,0))</f>
        <v/>
      </c>
      <c r="V65" s="56">
        <f>IF(AND(K65="",L65=""),"",IFERROR(K65*$D65,0)+IFERROR(L65,0))</f>
        <v/>
      </c>
      <c r="W65" s="56">
        <f>IF(AND(M65="",N65=""),"",IFERROR(M65*$D65,0)+IFERROR(N65,0))</f>
        <v/>
      </c>
      <c r="X65" s="56">
        <f>IF(AND(O65="",P65=""),"",IFERROR(O65*$D65,0)+IFERROR(P65,0))</f>
        <v/>
      </c>
      <c r="Y65" s="56">
        <f>IF(AND(Q65="",R65=""),"",IFERROR(Q65*$D65,0)+IFERROR(R65,0))</f>
        <v/>
      </c>
    </row>
    <row r="66">
      <c r="A66" s="38">
        <f>Insumos!$A160</f>
        <v/>
      </c>
      <c r="B66" s="39">
        <f>Insumos!$B160</f>
        <v/>
      </c>
      <c r="C66" s="40">
        <f>Insumos!$E160</f>
        <v/>
      </c>
      <c r="D66" s="41">
        <f>Insumos!$F160</f>
        <v/>
      </c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56">
        <f>IF(AND(E66="",F66=""),"",IFERROR(E66*$D66,0)+IFERROR(F66,0))</f>
        <v/>
      </c>
      <c r="T66" s="56">
        <f>IF(AND(G66="",H66=""),"",IFERROR(G66*$D66,0)+IFERROR(H66,0))</f>
        <v/>
      </c>
      <c r="U66" s="56">
        <f>IF(AND(I66="",J66=""),"",IFERROR(I66*$D66,0)+IFERROR(J66,0))</f>
        <v/>
      </c>
      <c r="V66" s="56">
        <f>IF(AND(K66="",L66=""),"",IFERROR(K66*$D66,0)+IFERROR(L66,0))</f>
        <v/>
      </c>
      <c r="W66" s="56">
        <f>IF(AND(M66="",N66=""),"",IFERROR(M66*$D66,0)+IFERROR(N66,0))</f>
        <v/>
      </c>
      <c r="X66" s="56">
        <f>IF(AND(O66="",P66=""),"",IFERROR(O66*$D66,0)+IFERROR(P66,0))</f>
        <v/>
      </c>
      <c r="Y66" s="56">
        <f>IF(AND(Q66="",R66=""),"",IFERROR(Q66*$D66,0)+IFERROR(R66,0))</f>
        <v/>
      </c>
    </row>
    <row r="67">
      <c r="A67" s="43">
        <f>Insumos!$A161</f>
        <v/>
      </c>
      <c r="B67" s="44">
        <f>Insumos!$B161</f>
        <v/>
      </c>
      <c r="C67" s="45">
        <f>Insumos!$E161</f>
        <v/>
      </c>
      <c r="D67" s="46">
        <f>Insumos!$F161</f>
        <v/>
      </c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56">
        <f>IF(AND(E67="",F67=""),"",IFERROR(E67*$D67,0)+IFERROR(F67,0))</f>
        <v/>
      </c>
      <c r="T67" s="56">
        <f>IF(AND(G67="",H67=""),"",IFERROR(G67*$D67,0)+IFERROR(H67,0))</f>
        <v/>
      </c>
      <c r="U67" s="56">
        <f>IF(AND(I67="",J67=""),"",IFERROR(I67*$D67,0)+IFERROR(J67,0))</f>
        <v/>
      </c>
      <c r="V67" s="56">
        <f>IF(AND(K67="",L67=""),"",IFERROR(K67*$D67,0)+IFERROR(L67,0))</f>
        <v/>
      </c>
      <c r="W67" s="56">
        <f>IF(AND(M67="",N67=""),"",IFERROR(M67*$D67,0)+IFERROR(N67,0))</f>
        <v/>
      </c>
      <c r="X67" s="56">
        <f>IF(AND(O67="",P67=""),"",IFERROR(O67*$D67,0)+IFERROR(P67,0))</f>
        <v/>
      </c>
      <c r="Y67" s="56">
        <f>IF(AND(Q67="",R67=""),"",IFERROR(Q67*$D67,0)+IFERROR(R67,0))</f>
        <v/>
      </c>
    </row>
  </sheetData>
  <autoFilter ref="A5:R67"/>
  <mergeCells count="21">
    <mergeCell ref="C4:C5"/>
    <mergeCell ref="T4:T5"/>
    <mergeCell ref="V4:V5"/>
    <mergeCell ref="A3:R3"/>
    <mergeCell ref="E4:F4"/>
    <mergeCell ref="A2:R2"/>
    <mergeCell ref="D4:D5"/>
    <mergeCell ref="O4:P4"/>
    <mergeCell ref="Q4:R4"/>
    <mergeCell ref="A4:A5"/>
    <mergeCell ref="X4:X5"/>
    <mergeCell ref="S4:S5"/>
    <mergeCell ref="U4:U5"/>
    <mergeCell ref="G4:H4"/>
    <mergeCell ref="I4:J4"/>
    <mergeCell ref="B4:B5"/>
    <mergeCell ref="W4:W5"/>
    <mergeCell ref="Y4:Y5"/>
    <mergeCell ref="A1:R1"/>
    <mergeCell ref="K4:L4"/>
    <mergeCell ref="M4:N4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PANADERÍA</t>
        </is>
      </c>
    </row>
    <row r="2" ht="18" customHeight="1">
      <c r="A2" s="2" t="inlineStr">
        <is>
          <t>Jefe de area: ____________________     Semana: ____/____ al ____/____     Se elabora en: Central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9" t="inlineStr">
        <is>
          <t>Bagel</t>
        </is>
      </c>
      <c r="B6" s="35" t="inlineStr">
        <is>
          <t>u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20" t="inlineStr">
        <is>
          <t>Bizcochos</t>
        </is>
      </c>
      <c r="B7" s="37" t="inlineStr">
        <is>
          <t>kg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9" t="inlineStr">
        <is>
          <t>Bizcochos de margarina</t>
        </is>
      </c>
      <c r="B8" s="35" t="inlineStr">
        <is>
          <t>kg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20" t="inlineStr">
        <is>
          <t>Bizcochos redondos</t>
        </is>
      </c>
      <c r="B9" s="37" t="inlineStr">
        <is>
          <t>kg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9" t="inlineStr">
        <is>
          <t>Bollitos B/N</t>
        </is>
      </c>
      <c r="B10" s="35" t="inlineStr">
        <is>
          <t>u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20" t="inlineStr">
        <is>
          <t>Bollos grandes</t>
        </is>
      </c>
      <c r="B11" s="37" t="inlineStr">
        <is>
          <t>u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9" t="inlineStr">
        <is>
          <t>Caseras</t>
        </is>
      </c>
      <c r="B12" s="35" t="inlineStr">
        <is>
          <t>u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20" t="inlineStr">
        <is>
          <t>Caseritas</t>
        </is>
      </c>
      <c r="B13" s="37" t="inlineStr">
        <is>
          <t>u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9" t="inlineStr">
        <is>
          <t>Chatas</t>
        </is>
      </c>
      <c r="B14" s="35" t="inlineStr">
        <is>
          <t>kg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20" t="inlineStr">
        <is>
          <t>Cremona</t>
        </is>
      </c>
      <c r="B15" s="37" t="inlineStr">
        <is>
          <t>u</t>
        </is>
      </c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9" t="inlineStr">
        <is>
          <t>Focaccia</t>
        </is>
      </c>
      <c r="B16" s="35" t="inlineStr">
        <is>
          <t>u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20" t="inlineStr">
        <is>
          <t>Libritos</t>
        </is>
      </c>
      <c r="B17" s="37" t="inlineStr">
        <is>
          <t>u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9" t="inlineStr">
        <is>
          <t>Mini Baguette</t>
        </is>
      </c>
      <c r="B18" s="35" t="inlineStr">
        <is>
          <t>u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20" t="inlineStr">
        <is>
          <t>Miñon</t>
        </is>
      </c>
      <c r="B19" s="37" t="inlineStr">
        <is>
          <t>kg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9" t="inlineStr">
        <is>
          <t>Pan de hamburguesa x6</t>
        </is>
      </c>
      <c r="B20" s="35" t="inlineStr">
        <is>
          <t>u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20" t="inlineStr">
        <is>
          <t>Pan de leche</t>
        </is>
      </c>
      <c r="B21" s="37" t="inlineStr">
        <is>
          <t>u</t>
        </is>
      </c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9" t="inlineStr">
        <is>
          <t>Pan de papa grande</t>
        </is>
      </c>
      <c r="B22" s="35" t="inlineStr">
        <is>
          <t>u</t>
        </is>
      </c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20" t="inlineStr">
        <is>
          <t>Pan de papa x4</t>
        </is>
      </c>
      <c r="B23" s="37" t="inlineStr">
        <is>
          <t>u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SUM(C23,E23,G23,I23,K23,M23,O23)</f>
        <v/>
      </c>
      <c r="R23" s="58">
        <f>SUM(D23,F23,H23,J23,L23,N23,P23)</f>
        <v/>
      </c>
      <c r="S23" s="59">
        <f>IF($Q23=0,"",$R23/$Q23)</f>
        <v/>
      </c>
    </row>
    <row r="24">
      <c r="A24" s="9" t="inlineStr">
        <is>
          <t>Pan de Viena</t>
        </is>
      </c>
      <c r="B24" s="35" t="inlineStr">
        <is>
          <t>u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SUM(C24,E24,G24,I24,K24,M24,O24)</f>
        <v/>
      </c>
      <c r="R24" s="58">
        <f>SUM(D24,F24,H24,J24,L24,N24,P24)</f>
        <v/>
      </c>
      <c r="S24" s="59">
        <f>IF($Q24=0,"",$R24/$Q24)</f>
        <v/>
      </c>
    </row>
    <row r="25">
      <c r="A25" s="20" t="inlineStr">
        <is>
          <t>Pan lactal blanco</t>
        </is>
      </c>
      <c r="B25" s="37" t="inlineStr">
        <is>
          <t>u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SUM(C25,E25,G25,I25,K25,M25,O25)</f>
        <v/>
      </c>
      <c r="R25" s="58">
        <f>SUM(D25,F25,H25,J25,L25,N25,P25)</f>
        <v/>
      </c>
      <c r="S25" s="59">
        <f>IF($Q25=0,"",$R25/$Q25)</f>
        <v/>
      </c>
    </row>
    <row r="26">
      <c r="A26" s="9" t="inlineStr">
        <is>
          <t>Pan lactal granos andinos</t>
        </is>
      </c>
      <c r="B26" s="35" t="inlineStr">
        <is>
          <t>u</t>
        </is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SUM(C26,E26,G26,I26,K26,M26,O26)</f>
        <v/>
      </c>
      <c r="R26" s="58">
        <f>SUM(D26,F26,H26,J26,L26,N26,P26)</f>
        <v/>
      </c>
      <c r="S26" s="59">
        <f>IF($Q26=0,"",$R26/$Q26)</f>
        <v/>
      </c>
    </row>
    <row r="27">
      <c r="A27" s="20" t="inlineStr">
        <is>
          <t>Pan lactal multicereal</t>
        </is>
      </c>
      <c r="B27" s="37" t="inlineStr">
        <is>
          <t>u</t>
        </is>
      </c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SUM(C27,E27,G27,I27,K27,M27,O27)</f>
        <v/>
      </c>
      <c r="R27" s="58">
        <f>SUM(D27,F27,H27,J27,L27,N27,P27)</f>
        <v/>
      </c>
      <c r="S27" s="59">
        <f>IF($Q27=0,"",$R27/$Q27)</f>
        <v/>
      </c>
    </row>
    <row r="28">
      <c r="A28" s="9" t="inlineStr">
        <is>
          <t>Pan lactal salvado</t>
        </is>
      </c>
      <c r="B28" s="35" t="inlineStr">
        <is>
          <t>u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8">
        <f>SUM(C28,E28,G28,I28,K28,M28,O28)</f>
        <v/>
      </c>
      <c r="R28" s="58">
        <f>SUM(D28,F28,H28,J28,L28,N28,P28)</f>
        <v/>
      </c>
      <c r="S28" s="59">
        <f>IF($Q28=0,"",$R28/$Q28)</f>
        <v/>
      </c>
    </row>
    <row r="29">
      <c r="A29" s="20" t="inlineStr">
        <is>
          <t>Pan tostadas blanco</t>
        </is>
      </c>
      <c r="B29" s="37" t="inlineStr">
        <is>
          <t>u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8">
        <f>SUM(C29,E29,G29,I29,K29,M29,O29)</f>
        <v/>
      </c>
      <c r="R29" s="58">
        <f>SUM(D29,F29,H29,J29,L29,N29,P29)</f>
        <v/>
      </c>
      <c r="S29" s="59">
        <f>IF($Q29=0,"",$R29/$Q29)</f>
        <v/>
      </c>
    </row>
    <row r="30">
      <c r="A30" s="9" t="inlineStr">
        <is>
          <t>Pan tostadas granos andinos</t>
        </is>
      </c>
      <c r="B30" s="35" t="inlineStr">
        <is>
          <t>u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8">
        <f>SUM(C30,E30,G30,I30,K30,M30,O30)</f>
        <v/>
      </c>
      <c r="R30" s="58">
        <f>SUM(D30,F30,H30,J30,L30,N30,P30)</f>
        <v/>
      </c>
      <c r="S30" s="59">
        <f>IF($Q30=0,"",$R30/$Q30)</f>
        <v/>
      </c>
    </row>
    <row r="31">
      <c r="A31" s="20" t="inlineStr">
        <is>
          <t>Pan tostadas multicereal</t>
        </is>
      </c>
      <c r="B31" s="37" t="inlineStr">
        <is>
          <t>u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8">
        <f>SUM(C31,E31,G31,I31,K31,M31,O31)</f>
        <v/>
      </c>
      <c r="R31" s="58">
        <f>SUM(D31,F31,H31,J31,L31,N31,P31)</f>
        <v/>
      </c>
      <c r="S31" s="59">
        <f>IF($Q31=0,"",$R31/$Q31)</f>
        <v/>
      </c>
    </row>
    <row r="32">
      <c r="A32" s="9" t="inlineStr">
        <is>
          <t>Pan tostadas salvado</t>
        </is>
      </c>
      <c r="B32" s="35" t="inlineStr">
        <is>
          <t>u</t>
        </is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8">
        <f>SUM(C32,E32,G32,I32,K32,M32,O32)</f>
        <v/>
      </c>
      <c r="R32" s="58">
        <f>SUM(D32,F32,H32,J32,L32,N32,P32)</f>
        <v/>
      </c>
      <c r="S32" s="59">
        <f>IF($Q32=0,"",$R32/$Q32)</f>
        <v/>
      </c>
    </row>
    <row r="33">
      <c r="A33" s="20" t="inlineStr">
        <is>
          <t>Pizzetas x4</t>
        </is>
      </c>
      <c r="B33" s="37" t="inlineStr">
        <is>
          <t>u</t>
        </is>
      </c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8">
        <f>SUM(C33,E33,G33,I33,K33,M33,O33)</f>
        <v/>
      </c>
      <c r="R33" s="58">
        <f>SUM(D33,F33,H33,J33,L33,N33,P33)</f>
        <v/>
      </c>
      <c r="S33" s="59">
        <f>IF($Q33=0,"",$R33/$Q33)</f>
        <v/>
      </c>
    </row>
    <row r="34">
      <c r="A34" s="9" t="inlineStr">
        <is>
          <t>Pre-pizzas</t>
        </is>
      </c>
      <c r="B34" s="35" t="inlineStr">
        <is>
          <t>u</t>
        </is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8">
        <f>SUM(C34,E34,G34,I34,K34,M34,O34)</f>
        <v/>
      </c>
      <c r="R34" s="58">
        <f>SUM(D34,F34,H34,J34,L34,N34,P34)</f>
        <v/>
      </c>
      <c r="S34" s="59">
        <f>IF($Q34=0,"",$R34/$Q34)</f>
        <v/>
      </c>
    </row>
    <row r="35">
      <c r="A35" s="20" t="inlineStr">
        <is>
          <t>Salvado</t>
        </is>
      </c>
      <c r="B35" s="37" t="inlineStr">
        <is>
          <t>u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8">
        <f>SUM(C35,E35,G35,I35,K35,M35,O35)</f>
        <v/>
      </c>
      <c r="R35" s="58">
        <f>SUM(D35,F35,H35,J35,L35,N35,P35)</f>
        <v/>
      </c>
      <c r="S35" s="59">
        <f>IF($Q35=0,"",$R35/$Q35)</f>
        <v/>
      </c>
    </row>
    <row r="36">
      <c r="A36" s="9" t="inlineStr">
        <is>
          <t>Tortillas</t>
        </is>
      </c>
      <c r="B36" s="35" t="inlineStr">
        <is>
          <t>u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8">
        <f>SUM(C36,E36,G36,I36,K36,M36,O36)</f>
        <v/>
      </c>
      <c r="R36" s="58">
        <f>SUM(D36,F36,H36,J36,L36,N36,P36)</f>
        <v/>
      </c>
      <c r="S36" s="59">
        <f>IF($Q36=0,"",$R36/$Q36)</f>
        <v/>
      </c>
    </row>
    <row r="37">
      <c r="A37" s="20" t="inlineStr">
        <is>
          <t>Tortillon</t>
        </is>
      </c>
      <c r="B37" s="37" t="inlineStr">
        <is>
          <t>u</t>
        </is>
      </c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8">
        <f>SUM(C37,E37,G37,I37,K37,M37,O37)</f>
        <v/>
      </c>
      <c r="R37" s="58">
        <f>SUM(D37,F37,H37,J37,L37,N37,P37)</f>
        <v/>
      </c>
      <c r="S37" s="59">
        <f>IF($Q37=0,"",$R37/$Q37)</f>
        <v/>
      </c>
    </row>
    <row r="38">
      <c r="A38" s="9" t="inlineStr">
        <is>
          <t>TT Bizcochos</t>
        </is>
      </c>
      <c r="B38" s="35" t="inlineStr">
        <is>
          <t>kg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8">
        <f>SUM(C38,E38,G38,I38,K38,M38,O38)</f>
        <v/>
      </c>
      <c r="R38" s="58">
        <f>SUM(D38,F38,H38,J38,L38,N38,P38)</f>
        <v/>
      </c>
      <c r="S38" s="59">
        <f>IF($Q38=0,"",$R38/$Q38)</f>
        <v/>
      </c>
    </row>
    <row r="39">
      <c r="A39" s="20" t="inlineStr">
        <is>
          <t>TT Bollitos blancos</t>
        </is>
      </c>
      <c r="B39" s="37" t="inlineStr">
        <is>
          <t>u</t>
        </is>
      </c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8">
        <f>SUM(C39,E39,G39,I39,K39,M39,O39)</f>
        <v/>
      </c>
      <c r="R39" s="58">
        <f>SUM(D39,F39,H39,J39,L39,N39,P39)</f>
        <v/>
      </c>
      <c r="S39" s="59">
        <f>IF($Q39=0,"",$R39/$Q39)</f>
        <v/>
      </c>
    </row>
    <row r="40">
      <c r="A40" s="9" t="inlineStr">
        <is>
          <t>TT Bollitos negros</t>
        </is>
      </c>
      <c r="B40" s="35" t="inlineStr">
        <is>
          <t>u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8">
        <f>SUM(C40,E40,G40,I40,K40,M40,O40)</f>
        <v/>
      </c>
      <c r="R40" s="58">
        <f>SUM(D40,F40,H40,J40,L40,N40,P40)</f>
        <v/>
      </c>
      <c r="S40" s="59">
        <f>IF($Q40=0,"",$R40/$Q40)</f>
        <v/>
      </c>
    </row>
    <row r="41">
      <c r="A41" s="20" t="inlineStr">
        <is>
          <t>TT Caseras</t>
        </is>
      </c>
      <c r="B41" s="37" t="inlineStr">
        <is>
          <t>u</t>
        </is>
      </c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8">
        <f>SUM(C41,E41,G41,I41,K41,M41,O41)</f>
        <v/>
      </c>
      <c r="R41" s="58">
        <f>SUM(D41,F41,H41,J41,L41,N41,P41)</f>
        <v/>
      </c>
      <c r="S41" s="59">
        <f>IF($Q41=0,"",$R41/$Q41)</f>
        <v/>
      </c>
    </row>
    <row r="42">
      <c r="A42" s="9" t="inlineStr">
        <is>
          <t>TT Caseritas</t>
        </is>
      </c>
      <c r="B42" s="35" t="inlineStr">
        <is>
          <t>u</t>
        </is>
      </c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8">
        <f>SUM(C42,E42,G42,I42,K42,M42,O42)</f>
        <v/>
      </c>
      <c r="R42" s="58">
        <f>SUM(D42,F42,H42,J42,L42,N42,P42)</f>
        <v/>
      </c>
      <c r="S42" s="59">
        <f>IF($Q42=0,"",$R42/$Q42)</f>
        <v/>
      </c>
    </row>
    <row r="43">
      <c r="A43" s="20" t="inlineStr">
        <is>
          <t>TT Chatas</t>
        </is>
      </c>
      <c r="B43" s="37" t="inlineStr">
        <is>
          <t>kg</t>
        </is>
      </c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8">
        <f>SUM(C43,E43,G43,I43,K43,M43,O43)</f>
        <v/>
      </c>
      <c r="R43" s="58">
        <f>SUM(D43,F43,H43,J43,L43,N43,P43)</f>
        <v/>
      </c>
      <c r="S43" s="59">
        <f>IF($Q43=0,"",$R43/$Q43)</f>
        <v/>
      </c>
    </row>
    <row r="44">
      <c r="A44" s="9" t="inlineStr">
        <is>
          <t>TT Facturas</t>
        </is>
      </c>
      <c r="B44" s="35" t="inlineStr">
        <is>
          <t>u</t>
        </is>
      </c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8">
        <f>SUM(C44,E44,G44,I44,K44,M44,O44)</f>
        <v/>
      </c>
      <c r="R44" s="58">
        <f>SUM(D44,F44,H44,J44,L44,N44,P44)</f>
        <v/>
      </c>
      <c r="S44" s="59">
        <f>IF($Q44=0,"",$R44/$Q44)</f>
        <v/>
      </c>
    </row>
    <row r="45">
      <c r="A45" s="20" t="inlineStr">
        <is>
          <t>TT Miñon</t>
        </is>
      </c>
      <c r="B45" s="37" t="inlineStr">
        <is>
          <t>kg</t>
        </is>
      </c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8">
        <f>SUM(C45,E45,G45,I45,K45,M45,O45)</f>
        <v/>
      </c>
      <c r="R45" s="58">
        <f>SUM(D45,F45,H45,J45,L45,N45,P45)</f>
        <v/>
      </c>
      <c r="S45" s="59">
        <f>IF($Q45=0,"",$R45/$Q45)</f>
        <v/>
      </c>
    </row>
    <row r="46">
      <c r="A46" s="9" t="inlineStr">
        <is>
          <t>TT Salvado</t>
        </is>
      </c>
      <c r="B46" s="35" t="inlineStr">
        <is>
          <t>u</t>
        </is>
      </c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8">
        <f>SUM(C46,E46,G46,I46,K46,M46,O46)</f>
        <v/>
      </c>
      <c r="R46" s="58">
        <f>SUM(D46,F46,H46,J46,L46,N46,P46)</f>
        <v/>
      </c>
      <c r="S46" s="59">
        <f>IF($Q46=0,"",$R46/$Q46)</f>
        <v/>
      </c>
    </row>
    <row r="47">
      <c r="A47" s="20" t="inlineStr">
        <is>
          <t>TT Tortillas</t>
        </is>
      </c>
      <c r="B47" s="37" t="inlineStr">
        <is>
          <t>u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>
        <f>SUM(C47,E47,G47,I47,K47,M47,O47)</f>
        <v/>
      </c>
      <c r="R47" s="58">
        <f>SUM(D47,F47,H47,J47,L47,N47,P47)</f>
        <v/>
      </c>
      <c r="S47" s="59">
        <f>IF($Q47=0,"",$R47/$Q47)</f>
        <v/>
      </c>
    </row>
    <row r="48">
      <c r="A48" s="16" t="n"/>
      <c r="B48" s="18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8">
        <f>SUM(C48,E48,G48,I48,K48,M48,O48)</f>
        <v/>
      </c>
      <c r="R48" s="58">
        <f>SUM(D48,F48,H48,J48,L48,N48,P48)</f>
        <v/>
      </c>
      <c r="S48" s="59">
        <f>IF($Q48=0,"",$R48/$Q48)</f>
        <v/>
      </c>
    </row>
    <row r="49">
      <c r="A49" s="16" t="n"/>
      <c r="B49" s="18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8">
        <f>SUM(C49,E49,G49,I49,K49,M49,O49)</f>
        <v/>
      </c>
      <c r="R49" s="58">
        <f>SUM(D49,F49,H49,J49,L49,N49,P49)</f>
        <v/>
      </c>
      <c r="S49" s="59">
        <f>IF($Q49=0,"",$R49/$Q49)</f>
        <v/>
      </c>
    </row>
    <row r="50">
      <c r="A50" s="16" t="n"/>
      <c r="B50" s="18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8">
        <f>SUM(C50,E50,G50,I50,K50,M50,O50)</f>
        <v/>
      </c>
      <c r="R50" s="58">
        <f>SUM(D50,F50,H50,J50,L50,N50,P50)</f>
        <v/>
      </c>
      <c r="S50" s="59">
        <f>IF($Q50=0,"",$R50/$Q50)</f>
        <v/>
      </c>
    </row>
    <row r="51">
      <c r="A51" s="16" t="n"/>
      <c r="B51" s="18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8">
        <f>SUM(C51,E51,G51,I51,K51,M51,O51)</f>
        <v/>
      </c>
      <c r="R51" s="58">
        <f>SUM(D51,F51,H51,J51,L51,N51,P51)</f>
        <v/>
      </c>
      <c r="S51" s="59">
        <f>IF($Q51=0,"",$R51/$Q51)</f>
        <v/>
      </c>
    </row>
    <row r="52">
      <c r="A52" s="16" t="n"/>
      <c r="B52" s="18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8">
        <f>SUM(C52,E52,G52,I52,K52,M52,O52)</f>
        <v/>
      </c>
      <c r="R52" s="58">
        <f>SUM(D52,F52,H52,J52,L52,N52,P52)</f>
        <v/>
      </c>
      <c r="S52" s="59">
        <f>IF($Q52=0,"",$R52/$Q52)</f>
        <v/>
      </c>
    </row>
    <row r="53">
      <c r="A53" s="16" t="n"/>
      <c r="B53" s="18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8">
        <f>SUM(C53,E53,G53,I53,K53,M53,O53)</f>
        <v/>
      </c>
      <c r="R53" s="58">
        <f>SUM(D53,F53,H53,J53,L53,N53,P53)</f>
        <v/>
      </c>
      <c r="S53" s="59">
        <f>IF($Q53=0,"",$R53/$Q53)</f>
        <v/>
      </c>
    </row>
    <row r="54">
      <c r="A54" s="16" t="n"/>
      <c r="B54" s="18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8">
        <f>SUM(C54,E54,G54,I54,K54,M54,O54)</f>
        <v/>
      </c>
      <c r="R54" s="58">
        <f>SUM(D54,F54,H54,J54,L54,N54,P54)</f>
        <v/>
      </c>
      <c r="S54" s="59">
        <f>IF($Q54=0,"",$R54/$Q54)</f>
        <v/>
      </c>
    </row>
    <row r="55">
      <c r="A55" s="16" t="n"/>
      <c r="B55" s="18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8">
        <f>SUM(C55,E55,G55,I55,K55,M55,O55)</f>
        <v/>
      </c>
      <c r="R55" s="58">
        <f>SUM(D55,F55,H55,J55,L55,N55,P55)</f>
        <v/>
      </c>
      <c r="S55" s="59">
        <f>IF($Q55=0,"",$R55/$Q55)</f>
        <v/>
      </c>
    </row>
    <row r="56">
      <c r="A56" s="60" t="inlineStr">
        <is>
          <t>TOTALES DEL AREA</t>
        </is>
      </c>
      <c r="B56" s="7" t="n"/>
      <c r="C56" s="61">
        <f>SUM(C6:C55)</f>
        <v/>
      </c>
      <c r="D56" s="61">
        <f>SUM(D6:D55)</f>
        <v/>
      </c>
      <c r="E56" s="61">
        <f>SUM(E6:E55)</f>
        <v/>
      </c>
      <c r="F56" s="61">
        <f>SUM(F6:F55)</f>
        <v/>
      </c>
      <c r="G56" s="61">
        <f>SUM(G6:G55)</f>
        <v/>
      </c>
      <c r="H56" s="61">
        <f>SUM(H6:H55)</f>
        <v/>
      </c>
      <c r="I56" s="61">
        <f>SUM(I6:I55)</f>
        <v/>
      </c>
      <c r="J56" s="61">
        <f>SUM(J6:J55)</f>
        <v/>
      </c>
      <c r="K56" s="61">
        <f>SUM(K6:K55)</f>
        <v/>
      </c>
      <c r="L56" s="61">
        <f>SUM(L6:L55)</f>
        <v/>
      </c>
      <c r="M56" s="61">
        <f>SUM(M6:M55)</f>
        <v/>
      </c>
      <c r="N56" s="61">
        <f>SUM(N6:N55)</f>
        <v/>
      </c>
      <c r="O56" s="61">
        <f>SUM(O6:O55)</f>
        <v/>
      </c>
      <c r="P56" s="61">
        <f>SUM(P6:P55)</f>
        <v/>
      </c>
      <c r="Q56" s="61">
        <f>SUM(Q6:Q55)</f>
        <v/>
      </c>
      <c r="R56" s="61">
        <f>SUM(R6:R55)</f>
        <v/>
      </c>
      <c r="S56" s="62">
        <f>IF($Q56=0,"",$R56/$Q56)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55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PASTELERÍA</t>
        </is>
      </c>
    </row>
    <row r="2" ht="18" customHeight="1">
      <c r="A2" s="2" t="inlineStr">
        <is>
          <t>Jefe de area: ____________________     Semana: ____/____ al ____/____     Se elabora en: Central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9" t="inlineStr">
        <is>
          <t>Alemana</t>
        </is>
      </c>
      <c r="B6" s="35" t="inlineStr">
        <is>
          <t>u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20" t="inlineStr">
        <is>
          <t>Bariloche</t>
        </is>
      </c>
      <c r="B7" s="37" t="inlineStr">
        <is>
          <t>u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9" t="inlineStr">
        <is>
          <t>Cabsha</t>
        </is>
      </c>
      <c r="B8" s="35" t="inlineStr">
        <is>
          <t>u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20" t="inlineStr">
        <is>
          <t>Cheesecake frutos rojos</t>
        </is>
      </c>
      <c r="B9" s="37" t="inlineStr">
        <is>
          <t>u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9" t="inlineStr">
        <is>
          <t>Cheesecake maracuyá</t>
        </is>
      </c>
      <c r="B10" s="35" t="inlineStr">
        <is>
          <t>u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20" t="inlineStr">
        <is>
          <t>Cheesecake NY cocido</t>
        </is>
      </c>
      <c r="B11" s="37" t="inlineStr">
        <is>
          <t>u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9" t="inlineStr">
        <is>
          <t>Chocotorta</t>
        </is>
      </c>
      <c r="B12" s="35" t="inlineStr">
        <is>
          <t>u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20" t="inlineStr">
        <is>
          <t>Delicia con chocolates</t>
        </is>
      </c>
      <c r="B13" s="37" t="inlineStr">
        <is>
          <t>u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9" t="inlineStr">
        <is>
          <t>Delicia con frutas</t>
        </is>
      </c>
      <c r="B14" s="35" t="inlineStr">
        <is>
          <t>u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20" t="inlineStr">
        <is>
          <t>Lemon Pie</t>
        </is>
      </c>
      <c r="B15" s="37" t="inlineStr">
        <is>
          <t>u</t>
        </is>
      </c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9" t="inlineStr">
        <is>
          <t>Marquise</t>
        </is>
      </c>
      <c r="B16" s="35" t="inlineStr">
        <is>
          <t>u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20" t="inlineStr">
        <is>
          <t>Mini Cabsha</t>
        </is>
      </c>
      <c r="B17" s="37" t="inlineStr">
        <is>
          <t>u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9" t="inlineStr">
        <is>
          <t>Mini Lemon Pie</t>
        </is>
      </c>
      <c r="B18" s="35" t="inlineStr">
        <is>
          <t>u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20" t="inlineStr">
        <is>
          <t>Mini Turrón Salteño</t>
        </is>
      </c>
      <c r="B19" s="37" t="inlineStr">
        <is>
          <t>u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9" t="inlineStr">
        <is>
          <t>Minitarta frutal</t>
        </is>
      </c>
      <c r="B20" s="35" t="inlineStr">
        <is>
          <t>u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20" t="inlineStr">
        <is>
          <t>Nutella</t>
        </is>
      </c>
      <c r="B21" s="37" t="inlineStr">
        <is>
          <t>u</t>
        </is>
      </c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9" t="inlineStr">
        <is>
          <t>Oreo</t>
        </is>
      </c>
      <c r="B22" s="35" t="inlineStr">
        <is>
          <t>u</t>
        </is>
      </c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20" t="inlineStr">
        <is>
          <t>Porción Alemana</t>
        </is>
      </c>
      <c r="B23" s="37" t="inlineStr">
        <is>
          <t>u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SUM(C23,E23,G23,I23,K23,M23,O23)</f>
        <v/>
      </c>
      <c r="R23" s="58">
        <f>SUM(D23,F23,H23,J23,L23,N23,P23)</f>
        <v/>
      </c>
      <c r="S23" s="59">
        <f>IF($Q23=0,"",$R23/$Q23)</f>
        <v/>
      </c>
    </row>
    <row r="24">
      <c r="A24" s="9" t="inlineStr">
        <is>
          <t>Porción Bariloche</t>
        </is>
      </c>
      <c r="B24" s="35" t="inlineStr">
        <is>
          <t>u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SUM(C24,E24,G24,I24,K24,M24,O24)</f>
        <v/>
      </c>
      <c r="R24" s="58">
        <f>SUM(D24,F24,H24,J24,L24,N24,P24)</f>
        <v/>
      </c>
      <c r="S24" s="59">
        <f>IF($Q24=0,"",$R24/$Q24)</f>
        <v/>
      </c>
    </row>
    <row r="25">
      <c r="A25" s="20" t="inlineStr">
        <is>
          <t>Porción Brownie c/fruta</t>
        </is>
      </c>
      <c r="B25" s="37" t="inlineStr">
        <is>
          <t>u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SUM(C25,E25,G25,I25,K25,M25,O25)</f>
        <v/>
      </c>
      <c r="R25" s="58">
        <f>SUM(D25,F25,H25,J25,L25,N25,P25)</f>
        <v/>
      </c>
      <c r="S25" s="59">
        <f>IF($Q25=0,"",$R25/$Q25)</f>
        <v/>
      </c>
    </row>
    <row r="26">
      <c r="A26" s="9" t="inlineStr">
        <is>
          <t>Porción Brownie c/chocolates</t>
        </is>
      </c>
      <c r="B26" s="35" t="inlineStr">
        <is>
          <t>u</t>
        </is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SUM(C26,E26,G26,I26,K26,M26,O26)</f>
        <v/>
      </c>
      <c r="R26" s="58">
        <f>SUM(D26,F26,H26,J26,L26,N26,P26)</f>
        <v/>
      </c>
      <c r="S26" s="59">
        <f>IF($Q26=0,"",$R26/$Q26)</f>
        <v/>
      </c>
    </row>
    <row r="27">
      <c r="A27" s="20" t="inlineStr">
        <is>
          <t>Porción Carrot Cake</t>
        </is>
      </c>
      <c r="B27" s="37" t="inlineStr">
        <is>
          <t>u</t>
        </is>
      </c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SUM(C27,E27,G27,I27,K27,M27,O27)</f>
        <v/>
      </c>
      <c r="R27" s="58">
        <f>SUM(D27,F27,H27,J27,L27,N27,P27)</f>
        <v/>
      </c>
      <c r="S27" s="59">
        <f>IF($Q27=0,"",$R27/$Q27)</f>
        <v/>
      </c>
    </row>
    <row r="28">
      <c r="A28" s="9" t="inlineStr">
        <is>
          <t>Porción Cheesecake frutos rojos</t>
        </is>
      </c>
      <c r="B28" s="35" t="inlineStr">
        <is>
          <t>u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8">
        <f>SUM(C28,E28,G28,I28,K28,M28,O28)</f>
        <v/>
      </c>
      <c r="R28" s="58">
        <f>SUM(D28,F28,H28,J28,L28,N28,P28)</f>
        <v/>
      </c>
      <c r="S28" s="59">
        <f>IF($Q28=0,"",$R28/$Q28)</f>
        <v/>
      </c>
    </row>
    <row r="29">
      <c r="A29" s="20" t="inlineStr">
        <is>
          <t>Porción Cheesecake maracuyá</t>
        </is>
      </c>
      <c r="B29" s="37" t="inlineStr">
        <is>
          <t>u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8">
        <f>SUM(C29,E29,G29,I29,K29,M29,O29)</f>
        <v/>
      </c>
      <c r="R29" s="58">
        <f>SUM(D29,F29,H29,J29,L29,N29,P29)</f>
        <v/>
      </c>
      <c r="S29" s="59">
        <f>IF($Q29=0,"",$R29/$Q29)</f>
        <v/>
      </c>
    </row>
    <row r="30">
      <c r="A30" s="9" t="inlineStr">
        <is>
          <t>Porción Oreo</t>
        </is>
      </c>
      <c r="B30" s="35" t="inlineStr">
        <is>
          <t>u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8">
        <f>SUM(C30,E30,G30,I30,K30,M30,O30)</f>
        <v/>
      </c>
      <c r="R30" s="58">
        <f>SUM(D30,F30,H30,J30,L30,N30,P30)</f>
        <v/>
      </c>
      <c r="S30" s="59">
        <f>IF($Q30=0,"",$R30/$Q30)</f>
        <v/>
      </c>
    </row>
    <row r="31">
      <c r="A31" s="20" t="inlineStr">
        <is>
          <t>Porción Pistachos</t>
        </is>
      </c>
      <c r="B31" s="37" t="inlineStr">
        <is>
          <t>u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8">
        <f>SUM(C31,E31,G31,I31,K31,M31,O31)</f>
        <v/>
      </c>
      <c r="R31" s="58">
        <f>SUM(D31,F31,H31,J31,L31,N31,P31)</f>
        <v/>
      </c>
      <c r="S31" s="59">
        <f>IF($Q31=0,"",$R31/$Q31)</f>
        <v/>
      </c>
    </row>
    <row r="32">
      <c r="A32" s="9" t="inlineStr">
        <is>
          <t>Porción Red Velvet</t>
        </is>
      </c>
      <c r="B32" s="35" t="inlineStr">
        <is>
          <t>u</t>
        </is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8">
        <f>SUM(C32,E32,G32,I32,K32,M32,O32)</f>
        <v/>
      </c>
      <c r="R32" s="58">
        <f>SUM(D32,F32,H32,J32,L32,N32,P32)</f>
        <v/>
      </c>
      <c r="S32" s="59">
        <f>IF($Q32=0,"",$R32/$Q32)</f>
        <v/>
      </c>
    </row>
    <row r="33">
      <c r="A33" s="20" t="inlineStr">
        <is>
          <t>Porción Selva Negra</t>
        </is>
      </c>
      <c r="B33" s="37" t="inlineStr">
        <is>
          <t>u</t>
        </is>
      </c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8">
        <f>SUM(C33,E33,G33,I33,K33,M33,O33)</f>
        <v/>
      </c>
      <c r="R33" s="58">
        <f>SUM(D33,F33,H33,J33,L33,N33,P33)</f>
        <v/>
      </c>
      <c r="S33" s="59">
        <f>IF($Q33=0,"",$R33/$Q33)</f>
        <v/>
      </c>
    </row>
    <row r="34">
      <c r="A34" s="9" t="inlineStr">
        <is>
          <t>Porción Tiramisú</t>
        </is>
      </c>
      <c r="B34" s="35" t="inlineStr">
        <is>
          <t>u</t>
        </is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8">
        <f>SUM(C34,E34,G34,I34,K34,M34,O34)</f>
        <v/>
      </c>
      <c r="R34" s="58">
        <f>SUM(D34,F34,H34,J34,L34,N34,P34)</f>
        <v/>
      </c>
      <c r="S34" s="59">
        <f>IF($Q34=0,"",$R34/$Q34)</f>
        <v/>
      </c>
    </row>
    <row r="35">
      <c r="A35" s="20" t="inlineStr">
        <is>
          <t>Porción Tres Leches</t>
        </is>
      </c>
      <c r="B35" s="37" t="inlineStr">
        <is>
          <t>u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8">
        <f>SUM(C35,E35,G35,I35,K35,M35,O35)</f>
        <v/>
      </c>
      <c r="R35" s="58">
        <f>SUM(D35,F35,H35,J35,L35,N35,P35)</f>
        <v/>
      </c>
      <c r="S35" s="59">
        <f>IF($Q35=0,"",$R35/$Q35)</f>
        <v/>
      </c>
    </row>
    <row r="36">
      <c r="A36" s="9" t="inlineStr">
        <is>
          <t>Rogel</t>
        </is>
      </c>
      <c r="B36" s="35" t="inlineStr">
        <is>
          <t>u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8">
        <f>SUM(C36,E36,G36,I36,K36,M36,O36)</f>
        <v/>
      </c>
      <c r="R36" s="58">
        <f>SUM(D36,F36,H36,J36,L36,N36,P36)</f>
        <v/>
      </c>
      <c r="S36" s="59">
        <f>IF($Q36=0,"",$R36/$Q36)</f>
        <v/>
      </c>
    </row>
    <row r="37">
      <c r="A37" s="20" t="inlineStr">
        <is>
          <t>Selva Negra</t>
        </is>
      </c>
      <c r="B37" s="37" t="inlineStr">
        <is>
          <t>u</t>
        </is>
      </c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8">
        <f>SUM(C37,E37,G37,I37,K37,M37,O37)</f>
        <v/>
      </c>
      <c r="R37" s="58">
        <f>SUM(D37,F37,H37,J37,L37,N37,P37)</f>
        <v/>
      </c>
      <c r="S37" s="59">
        <f>IF($Q37=0,"",$R37/$Q37)</f>
        <v/>
      </c>
    </row>
    <row r="38">
      <c r="A38" s="9" t="inlineStr">
        <is>
          <t>Tarta frutal</t>
        </is>
      </c>
      <c r="B38" s="35" t="inlineStr">
        <is>
          <t>u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8">
        <f>SUM(C38,E38,G38,I38,K38,M38,O38)</f>
        <v/>
      </c>
      <c r="R38" s="58">
        <f>SUM(D38,F38,H38,J38,L38,N38,P38)</f>
        <v/>
      </c>
      <c r="S38" s="59">
        <f>IF($Q38=0,"",$R38/$Q38)</f>
        <v/>
      </c>
    </row>
    <row r="39">
      <c r="A39" s="20" t="inlineStr">
        <is>
          <t>Tiramisú</t>
        </is>
      </c>
      <c r="B39" s="37" t="inlineStr">
        <is>
          <t>u</t>
        </is>
      </c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8">
        <f>SUM(C39,E39,G39,I39,K39,M39,O39)</f>
        <v/>
      </c>
      <c r="R39" s="58">
        <f>SUM(D39,F39,H39,J39,L39,N39,P39)</f>
        <v/>
      </c>
      <c r="S39" s="59">
        <f>IF($Q39=0,"",$R39/$Q39)</f>
        <v/>
      </c>
    </row>
    <row r="40">
      <c r="A40" s="9" t="inlineStr">
        <is>
          <t>Torta de duraznos</t>
        </is>
      </c>
      <c r="B40" s="35" t="inlineStr">
        <is>
          <t>u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8">
        <f>SUM(C40,E40,G40,I40,K40,M40,O40)</f>
        <v/>
      </c>
      <c r="R40" s="58">
        <f>SUM(D40,F40,H40,J40,L40,N40,P40)</f>
        <v/>
      </c>
      <c r="S40" s="59">
        <f>IF($Q40=0,"",$R40/$Q40)</f>
        <v/>
      </c>
    </row>
    <row r="41">
      <c r="A41" s="20" t="inlineStr">
        <is>
          <t>Torta de hojaldre</t>
        </is>
      </c>
      <c r="B41" s="37" t="inlineStr">
        <is>
          <t>u</t>
        </is>
      </c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8">
        <f>SUM(C41,E41,G41,I41,K41,M41,O41)</f>
        <v/>
      </c>
      <c r="R41" s="58">
        <f>SUM(D41,F41,H41,J41,L41,N41,P41)</f>
        <v/>
      </c>
      <c r="S41" s="59">
        <f>IF($Q41=0,"",$R41/$Q41)</f>
        <v/>
      </c>
    </row>
    <row r="42">
      <c r="A42" s="9" t="inlineStr">
        <is>
          <t>Tres Leches</t>
        </is>
      </c>
      <c r="B42" s="35" t="inlineStr">
        <is>
          <t>u</t>
        </is>
      </c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8">
        <f>SUM(C42,E42,G42,I42,K42,M42,O42)</f>
        <v/>
      </c>
      <c r="R42" s="58">
        <f>SUM(D42,F42,H42,J42,L42,N42,P42)</f>
        <v/>
      </c>
      <c r="S42" s="59">
        <f>IF($Q42=0,"",$R42/$Q42)</f>
        <v/>
      </c>
    </row>
    <row r="43">
      <c r="A43" s="20" t="inlineStr">
        <is>
          <t>Turrón Salteño</t>
        </is>
      </c>
      <c r="B43" s="37" t="inlineStr">
        <is>
          <t>u</t>
        </is>
      </c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8">
        <f>SUM(C43,E43,G43,I43,K43,M43,O43)</f>
        <v/>
      </c>
      <c r="R43" s="58">
        <f>SUM(D43,F43,H43,J43,L43,N43,P43)</f>
        <v/>
      </c>
      <c r="S43" s="59">
        <f>IF($Q43=0,"",$R43/$Q43)</f>
        <v/>
      </c>
    </row>
    <row r="44">
      <c r="A44" s="16" t="n"/>
      <c r="B44" s="18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8">
        <f>SUM(C44,E44,G44,I44,K44,M44,O44)</f>
        <v/>
      </c>
      <c r="R44" s="58">
        <f>SUM(D44,F44,H44,J44,L44,N44,P44)</f>
        <v/>
      </c>
      <c r="S44" s="59">
        <f>IF($Q44=0,"",$R44/$Q44)</f>
        <v/>
      </c>
    </row>
    <row r="45">
      <c r="A45" s="16" t="n"/>
      <c r="B45" s="18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8">
        <f>SUM(C45,E45,G45,I45,K45,M45,O45)</f>
        <v/>
      </c>
      <c r="R45" s="58">
        <f>SUM(D45,F45,H45,J45,L45,N45,P45)</f>
        <v/>
      </c>
      <c r="S45" s="59">
        <f>IF($Q45=0,"",$R45/$Q45)</f>
        <v/>
      </c>
    </row>
    <row r="46">
      <c r="A46" s="16" t="n"/>
      <c r="B46" s="18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8">
        <f>SUM(C46,E46,G46,I46,K46,M46,O46)</f>
        <v/>
      </c>
      <c r="R46" s="58">
        <f>SUM(D46,F46,H46,J46,L46,N46,P46)</f>
        <v/>
      </c>
      <c r="S46" s="59">
        <f>IF($Q46=0,"",$R46/$Q46)</f>
        <v/>
      </c>
    </row>
    <row r="47">
      <c r="A47" s="16" t="n"/>
      <c r="B47" s="18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>
        <f>SUM(C47,E47,G47,I47,K47,M47,O47)</f>
        <v/>
      </c>
      <c r="R47" s="58">
        <f>SUM(D47,F47,H47,J47,L47,N47,P47)</f>
        <v/>
      </c>
      <c r="S47" s="59">
        <f>IF($Q47=0,"",$R47/$Q47)</f>
        <v/>
      </c>
    </row>
    <row r="48">
      <c r="A48" s="16" t="n"/>
      <c r="B48" s="18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8">
        <f>SUM(C48,E48,G48,I48,K48,M48,O48)</f>
        <v/>
      </c>
      <c r="R48" s="58">
        <f>SUM(D48,F48,H48,J48,L48,N48,P48)</f>
        <v/>
      </c>
      <c r="S48" s="59">
        <f>IF($Q48=0,"",$R48/$Q48)</f>
        <v/>
      </c>
    </row>
    <row r="49">
      <c r="A49" s="16" t="n"/>
      <c r="B49" s="18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8">
        <f>SUM(C49,E49,G49,I49,K49,M49,O49)</f>
        <v/>
      </c>
      <c r="R49" s="58">
        <f>SUM(D49,F49,H49,J49,L49,N49,P49)</f>
        <v/>
      </c>
      <c r="S49" s="59">
        <f>IF($Q49=0,"",$R49/$Q49)</f>
        <v/>
      </c>
    </row>
    <row r="50">
      <c r="A50" s="16" t="n"/>
      <c r="B50" s="18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8">
        <f>SUM(C50,E50,G50,I50,K50,M50,O50)</f>
        <v/>
      </c>
      <c r="R50" s="58">
        <f>SUM(D50,F50,H50,J50,L50,N50,P50)</f>
        <v/>
      </c>
      <c r="S50" s="59">
        <f>IF($Q50=0,"",$R50/$Q50)</f>
        <v/>
      </c>
    </row>
    <row r="51">
      <c r="A51" s="16" t="n"/>
      <c r="B51" s="18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8">
        <f>SUM(C51,E51,G51,I51,K51,M51,O51)</f>
        <v/>
      </c>
      <c r="R51" s="58">
        <f>SUM(D51,F51,H51,J51,L51,N51,P51)</f>
        <v/>
      </c>
      <c r="S51" s="59">
        <f>IF($Q51=0,"",$R51/$Q51)</f>
        <v/>
      </c>
    </row>
    <row r="52">
      <c r="A52" s="60" t="inlineStr">
        <is>
          <t>TOTALES DEL AREA</t>
        </is>
      </c>
      <c r="B52" s="7" t="n"/>
      <c r="C52" s="61">
        <f>SUM(C6:C51)</f>
        <v/>
      </c>
      <c r="D52" s="61">
        <f>SUM(D6:D51)</f>
        <v/>
      </c>
      <c r="E52" s="61">
        <f>SUM(E6:E51)</f>
        <v/>
      </c>
      <c r="F52" s="61">
        <f>SUM(F6:F51)</f>
        <v/>
      </c>
      <c r="G52" s="61">
        <f>SUM(G6:G51)</f>
        <v/>
      </c>
      <c r="H52" s="61">
        <f>SUM(H6:H51)</f>
        <v/>
      </c>
      <c r="I52" s="61">
        <f>SUM(I6:I51)</f>
        <v/>
      </c>
      <c r="J52" s="61">
        <f>SUM(J6:J51)</f>
        <v/>
      </c>
      <c r="K52" s="61">
        <f>SUM(K6:K51)</f>
        <v/>
      </c>
      <c r="L52" s="61">
        <f>SUM(L6:L51)</f>
        <v/>
      </c>
      <c r="M52" s="61">
        <f>SUM(M6:M51)</f>
        <v/>
      </c>
      <c r="N52" s="61">
        <f>SUM(N6:N51)</f>
        <v/>
      </c>
      <c r="O52" s="61">
        <f>SUM(O6:O51)</f>
        <v/>
      </c>
      <c r="P52" s="61">
        <f>SUM(P6:P51)</f>
        <v/>
      </c>
      <c r="Q52" s="61">
        <f>SUM(Q6:Q51)</f>
        <v/>
      </c>
      <c r="R52" s="61">
        <f>SUM(R6:R51)</f>
        <v/>
      </c>
      <c r="S52" s="62">
        <f>IF($Q52=0,"",$R52/$Q52)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51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ESPECIALIDADES</t>
        </is>
      </c>
    </row>
    <row r="2" ht="18" customHeight="1">
      <c r="A2" s="2" t="inlineStr">
        <is>
          <t>Jefe de area: ____________________     Semana: ____/____ al ____/____     Se elabora en: Central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9" t="inlineStr">
        <is>
          <t>Alfajores choco blanco</t>
        </is>
      </c>
      <c r="B6" s="35" t="inlineStr">
        <is>
          <t>u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20" t="inlineStr">
        <is>
          <t>Alfajores choco negro</t>
        </is>
      </c>
      <c r="B7" s="37" t="inlineStr">
        <is>
          <t>u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9" t="inlineStr">
        <is>
          <t>Alfajores choco negro grande</t>
        </is>
      </c>
      <c r="B8" s="35" t="inlineStr">
        <is>
          <t>u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20" t="inlineStr">
        <is>
          <t>Alfajores impalpable</t>
        </is>
      </c>
      <c r="B9" s="37" t="inlineStr">
        <is>
          <t>u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9" t="inlineStr">
        <is>
          <t>Boulévant</t>
        </is>
      </c>
      <c r="B10" s="35" t="inlineStr">
        <is>
          <t>u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20" t="inlineStr">
        <is>
          <t>Budín x kg naranja y amapola</t>
        </is>
      </c>
      <c r="B11" s="37" t="inlineStr">
        <is>
          <t>kg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9" t="inlineStr">
        <is>
          <t>Budín x kg nuez y dulce</t>
        </is>
      </c>
      <c r="B12" s="35" t="inlineStr">
        <is>
          <t>kg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20" t="inlineStr">
        <is>
          <t>Budín x unidad chico</t>
        </is>
      </c>
      <c r="B13" s="37" t="inlineStr">
        <is>
          <t>u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9" t="inlineStr">
        <is>
          <t>Cañoncitos</t>
        </is>
      </c>
      <c r="B14" s="35" t="inlineStr">
        <is>
          <t>u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20" t="inlineStr">
        <is>
          <t>Carasucias</t>
        </is>
      </c>
      <c r="B15" s="37" t="inlineStr">
        <is>
          <t>u</t>
        </is>
      </c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9" t="inlineStr">
        <is>
          <t>Chipa</t>
        </is>
      </c>
      <c r="B16" s="35" t="inlineStr">
        <is>
          <t>u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20" t="inlineStr">
        <is>
          <t>Chipa crudo bandeja x30</t>
        </is>
      </c>
      <c r="B17" s="37" t="inlineStr">
        <is>
          <t>u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9" t="inlineStr">
        <is>
          <t>Chips p/sandwich</t>
        </is>
      </c>
      <c r="B18" s="35" t="inlineStr">
        <is>
          <t>u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20" t="inlineStr">
        <is>
          <t>Conitos</t>
        </is>
      </c>
      <c r="B19" s="37" t="inlineStr">
        <is>
          <t>u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9" t="inlineStr">
        <is>
          <t>Cookies chips choco</t>
        </is>
      </c>
      <c r="B20" s="35" t="inlineStr">
        <is>
          <t>u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20" t="inlineStr">
        <is>
          <t>Cupcake</t>
        </is>
      </c>
      <c r="B21" s="37" t="inlineStr">
        <is>
          <t>u</t>
        </is>
      </c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9" t="inlineStr">
        <is>
          <t>Donas</t>
        </is>
      </c>
      <c r="B22" s="35" t="inlineStr">
        <is>
          <t>u</t>
        </is>
      </c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20" t="inlineStr">
        <is>
          <t>Figazzas</t>
        </is>
      </c>
      <c r="B23" s="37" t="inlineStr">
        <is>
          <t>u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SUM(C23,E23,G23,I23,K23,M23,O23)</f>
        <v/>
      </c>
      <c r="R23" s="58">
        <f>SUM(D23,F23,H23,J23,L23,N23,P23)</f>
        <v/>
      </c>
      <c r="S23" s="59">
        <f>IF($Q23=0,"",$R23/$Q23)</f>
        <v/>
      </c>
    </row>
    <row r="24">
      <c r="A24" s="9" t="inlineStr">
        <is>
          <t>Galletas de agua</t>
        </is>
      </c>
      <c r="B24" s="35" t="inlineStr">
        <is>
          <t>u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SUM(C24,E24,G24,I24,K24,M24,O24)</f>
        <v/>
      </c>
      <c r="R24" s="58">
        <f>SUM(D24,F24,H24,J24,L24,N24,P24)</f>
        <v/>
      </c>
      <c r="S24" s="59">
        <f>IF($Q24=0,"",$R24/$Q24)</f>
        <v/>
      </c>
    </row>
    <row r="25">
      <c r="A25" s="20" t="inlineStr">
        <is>
          <t>Galletas de agua semillas</t>
        </is>
      </c>
      <c r="B25" s="37" t="inlineStr">
        <is>
          <t>u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SUM(C25,E25,G25,I25,K25,M25,O25)</f>
        <v/>
      </c>
      <c r="R25" s="58">
        <f>SUM(D25,F25,H25,J25,L25,N25,P25)</f>
        <v/>
      </c>
      <c r="S25" s="59">
        <f>IF($Q25=0,"",$R25/$Q25)</f>
        <v/>
      </c>
    </row>
    <row r="26">
      <c r="A26" s="9" t="inlineStr">
        <is>
          <t>Maicenas chicas</t>
        </is>
      </c>
      <c r="B26" s="35" t="inlineStr">
        <is>
          <t>u</t>
        </is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SUM(C26,E26,G26,I26,K26,M26,O26)</f>
        <v/>
      </c>
      <c r="R26" s="58">
        <f>SUM(D26,F26,H26,J26,L26,N26,P26)</f>
        <v/>
      </c>
      <c r="S26" s="59">
        <f>IF($Q26=0,"",$R26/$Q26)</f>
        <v/>
      </c>
    </row>
    <row r="27">
      <c r="A27" s="20" t="inlineStr">
        <is>
          <t>Maicenas grandes</t>
        </is>
      </c>
      <c r="B27" s="37" t="inlineStr">
        <is>
          <t>u</t>
        </is>
      </c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SUM(C27,E27,G27,I27,K27,M27,O27)</f>
        <v/>
      </c>
      <c r="R27" s="58">
        <f>SUM(D27,F27,H27,J27,L27,N27,P27)</f>
        <v/>
      </c>
      <c r="S27" s="59">
        <f>IF($Q27=0,"",$R27/$Q27)</f>
        <v/>
      </c>
    </row>
    <row r="28">
      <c r="A28" s="9" t="inlineStr">
        <is>
          <t>Milhojas c/chocolate</t>
        </is>
      </c>
      <c r="B28" s="35" t="inlineStr">
        <is>
          <t>u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8">
        <f>SUM(C28,E28,G28,I28,K28,M28,O28)</f>
        <v/>
      </c>
      <c r="R28" s="58">
        <f>SUM(D28,F28,H28,J28,L28,N28,P28)</f>
        <v/>
      </c>
      <c r="S28" s="59">
        <f>IF($Q28=0,"",$R28/$Q28)</f>
        <v/>
      </c>
    </row>
    <row r="29">
      <c r="A29" s="20" t="inlineStr">
        <is>
          <t>Milhojas c/fondant</t>
        </is>
      </c>
      <c r="B29" s="37" t="inlineStr">
        <is>
          <t>u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8">
        <f>SUM(C29,E29,G29,I29,K29,M29,O29)</f>
        <v/>
      </c>
      <c r="R29" s="58">
        <f>SUM(D29,F29,H29,J29,L29,N29,P29)</f>
        <v/>
      </c>
      <c r="S29" s="59">
        <f>IF($Q29=0,"",$R29/$Q29)</f>
        <v/>
      </c>
    </row>
    <row r="30">
      <c r="A30" s="9" t="inlineStr">
        <is>
          <t>Palmeritas</t>
        </is>
      </c>
      <c r="B30" s="35" t="inlineStr">
        <is>
          <t>u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8">
        <f>SUM(C30,E30,G30,I30,K30,M30,O30)</f>
        <v/>
      </c>
      <c r="R30" s="58">
        <f>SUM(D30,F30,H30,J30,L30,N30,P30)</f>
        <v/>
      </c>
      <c r="S30" s="59">
        <f>IF($Q30=0,"",$R30/$Q30)</f>
        <v/>
      </c>
    </row>
    <row r="31">
      <c r="A31" s="20" t="inlineStr">
        <is>
          <t>Pan saborizado</t>
        </is>
      </c>
      <c r="B31" s="37" t="inlineStr">
        <is>
          <t>u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8">
        <f>SUM(C31,E31,G31,I31,K31,M31,O31)</f>
        <v/>
      </c>
      <c r="R31" s="58">
        <f>SUM(D31,F31,H31,J31,L31,N31,P31)</f>
        <v/>
      </c>
      <c r="S31" s="59">
        <f>IF($Q31=0,"",$R31/$Q31)</f>
        <v/>
      </c>
    </row>
    <row r="32">
      <c r="A32" s="9" t="inlineStr">
        <is>
          <t>Pasta frola de cayote</t>
        </is>
      </c>
      <c r="B32" s="35" t="inlineStr">
        <is>
          <t>u</t>
        </is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8">
        <f>SUM(C32,E32,G32,I32,K32,M32,O32)</f>
        <v/>
      </c>
      <c r="R32" s="58">
        <f>SUM(D32,F32,H32,J32,L32,N32,P32)</f>
        <v/>
      </c>
      <c r="S32" s="59">
        <f>IF($Q32=0,"",$R32/$Q32)</f>
        <v/>
      </c>
    </row>
    <row r="33">
      <c r="A33" s="20" t="inlineStr">
        <is>
          <t>Pasta frola membrillo</t>
        </is>
      </c>
      <c r="B33" s="37" t="inlineStr">
        <is>
          <t>u</t>
        </is>
      </c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8">
        <f>SUM(C33,E33,G33,I33,K33,M33,O33)</f>
        <v/>
      </c>
      <c r="R33" s="58">
        <f>SUM(D33,F33,H33,J33,L33,N33,P33)</f>
        <v/>
      </c>
      <c r="S33" s="59">
        <f>IF($Q33=0,"",$R33/$Q33)</f>
        <v/>
      </c>
    </row>
    <row r="34">
      <c r="A34" s="9" t="inlineStr">
        <is>
          <t>Pepitas</t>
        </is>
      </c>
      <c r="B34" s="35" t="inlineStr">
        <is>
          <t>u</t>
        </is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8">
        <f>SUM(C34,E34,G34,I34,K34,M34,O34)</f>
        <v/>
      </c>
      <c r="R34" s="58">
        <f>SUM(D34,F34,H34,J34,L34,N34,P34)</f>
        <v/>
      </c>
      <c r="S34" s="59">
        <f>IF($Q34=0,"",$R34/$Q34)</f>
        <v/>
      </c>
    </row>
    <row r="35">
      <c r="A35" s="20" t="inlineStr">
        <is>
          <t>Pizzeta de copetín</t>
        </is>
      </c>
      <c r="B35" s="37" t="inlineStr">
        <is>
          <t>u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8">
        <f>SUM(C35,E35,G35,I35,K35,M35,O35)</f>
        <v/>
      </c>
      <c r="R35" s="58">
        <f>SUM(D35,F35,H35,J35,L35,N35,P35)</f>
        <v/>
      </c>
      <c r="S35" s="59">
        <f>IF($Q35=0,"",$R35/$Q35)</f>
        <v/>
      </c>
    </row>
    <row r="36">
      <c r="A36" s="9" t="inlineStr">
        <is>
          <t>Plancha de hojaldre x kg</t>
        </is>
      </c>
      <c r="B36" s="35" t="inlineStr">
        <is>
          <t>kg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8">
        <f>SUM(C36,E36,G36,I36,K36,M36,O36)</f>
        <v/>
      </c>
      <c r="R36" s="58">
        <f>SUM(D36,F36,H36,J36,L36,N36,P36)</f>
        <v/>
      </c>
      <c r="S36" s="59">
        <f>IF($Q36=0,"",$R36/$Q36)</f>
        <v/>
      </c>
    </row>
    <row r="37">
      <c r="A37" s="20" t="inlineStr">
        <is>
          <t>Scones con fruta</t>
        </is>
      </c>
      <c r="B37" s="37" t="inlineStr">
        <is>
          <t>u</t>
        </is>
      </c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8">
        <f>SUM(C37,E37,G37,I37,K37,M37,O37)</f>
        <v/>
      </c>
      <c r="R37" s="58">
        <f>SUM(D37,F37,H37,J37,L37,N37,P37)</f>
        <v/>
      </c>
      <c r="S37" s="59">
        <f>IF($Q37=0,"",$R37/$Q37)</f>
        <v/>
      </c>
    </row>
    <row r="38">
      <c r="A38" s="9" t="inlineStr">
        <is>
          <t>Scones sin fruta</t>
        </is>
      </c>
      <c r="B38" s="35" t="inlineStr">
        <is>
          <t>u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8">
        <f>SUM(C38,E38,G38,I38,K38,M38,O38)</f>
        <v/>
      </c>
      <c r="R38" s="58">
        <f>SUM(D38,F38,H38,J38,L38,N38,P38)</f>
        <v/>
      </c>
      <c r="S38" s="59">
        <f>IF($Q38=0,"",$R38/$Q38)</f>
        <v/>
      </c>
    </row>
    <row r="39">
      <c r="A39" s="20" t="inlineStr">
        <is>
          <t>Spekell</t>
        </is>
      </c>
      <c r="B39" s="37" t="inlineStr">
        <is>
          <t>kg</t>
        </is>
      </c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8">
        <f>SUM(C39,E39,G39,I39,K39,M39,O39)</f>
        <v/>
      </c>
      <c r="R39" s="58">
        <f>SUM(D39,F39,H39,J39,L39,N39,P39)</f>
        <v/>
      </c>
      <c r="S39" s="59">
        <f>IF($Q39=0,"",$R39/$Q39)</f>
        <v/>
      </c>
    </row>
    <row r="40">
      <c r="A40" s="9" t="inlineStr">
        <is>
          <t>Strudel</t>
        </is>
      </c>
      <c r="B40" s="35" t="inlineStr">
        <is>
          <t>u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8">
        <f>SUM(C40,E40,G40,I40,K40,M40,O40)</f>
        <v/>
      </c>
      <c r="R40" s="58">
        <f>SUM(D40,F40,H40,J40,L40,N40,P40)</f>
        <v/>
      </c>
      <c r="S40" s="59">
        <f>IF($Q40=0,"",$R40/$Q40)</f>
        <v/>
      </c>
    </row>
    <row r="41">
      <c r="A41" s="20" t="inlineStr">
        <is>
          <t>Torta x porción</t>
        </is>
      </c>
      <c r="B41" s="37" t="inlineStr">
        <is>
          <t>u</t>
        </is>
      </c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8">
        <f>SUM(C41,E41,G41,I41,K41,M41,O41)</f>
        <v/>
      </c>
      <c r="R41" s="58">
        <f>SUM(D41,F41,H41,J41,L41,N41,P41)</f>
        <v/>
      </c>
      <c r="S41" s="59">
        <f>IF($Q41=0,"",$R41/$Q41)</f>
        <v/>
      </c>
    </row>
    <row r="42">
      <c r="A42" s="16" t="n"/>
      <c r="B42" s="18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8">
        <f>SUM(C42,E42,G42,I42,K42,M42,O42)</f>
        <v/>
      </c>
      <c r="R42" s="58">
        <f>SUM(D42,F42,H42,J42,L42,N42,P42)</f>
        <v/>
      </c>
      <c r="S42" s="59">
        <f>IF($Q42=0,"",$R42/$Q42)</f>
        <v/>
      </c>
    </row>
    <row r="43">
      <c r="A43" s="16" t="n"/>
      <c r="B43" s="18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8">
        <f>SUM(C43,E43,G43,I43,K43,M43,O43)</f>
        <v/>
      </c>
      <c r="R43" s="58">
        <f>SUM(D43,F43,H43,J43,L43,N43,P43)</f>
        <v/>
      </c>
      <c r="S43" s="59">
        <f>IF($Q43=0,"",$R43/$Q43)</f>
        <v/>
      </c>
    </row>
    <row r="44">
      <c r="A44" s="16" t="n"/>
      <c r="B44" s="18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8">
        <f>SUM(C44,E44,G44,I44,K44,M44,O44)</f>
        <v/>
      </c>
      <c r="R44" s="58">
        <f>SUM(D44,F44,H44,J44,L44,N44,P44)</f>
        <v/>
      </c>
      <c r="S44" s="59">
        <f>IF($Q44=0,"",$R44/$Q44)</f>
        <v/>
      </c>
    </row>
    <row r="45">
      <c r="A45" s="16" t="n"/>
      <c r="B45" s="18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8">
        <f>SUM(C45,E45,G45,I45,K45,M45,O45)</f>
        <v/>
      </c>
      <c r="R45" s="58">
        <f>SUM(D45,F45,H45,J45,L45,N45,P45)</f>
        <v/>
      </c>
      <c r="S45" s="59">
        <f>IF($Q45=0,"",$R45/$Q45)</f>
        <v/>
      </c>
    </row>
    <row r="46">
      <c r="A46" s="16" t="n"/>
      <c r="B46" s="18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8">
        <f>SUM(C46,E46,G46,I46,K46,M46,O46)</f>
        <v/>
      </c>
      <c r="R46" s="58">
        <f>SUM(D46,F46,H46,J46,L46,N46,P46)</f>
        <v/>
      </c>
      <c r="S46" s="59">
        <f>IF($Q46=0,"",$R46/$Q46)</f>
        <v/>
      </c>
    </row>
    <row r="47">
      <c r="A47" s="16" t="n"/>
      <c r="B47" s="18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>
        <f>SUM(C47,E47,G47,I47,K47,M47,O47)</f>
        <v/>
      </c>
      <c r="R47" s="58">
        <f>SUM(D47,F47,H47,J47,L47,N47,P47)</f>
        <v/>
      </c>
      <c r="S47" s="59">
        <f>IF($Q47=0,"",$R47/$Q47)</f>
        <v/>
      </c>
    </row>
    <row r="48">
      <c r="A48" s="16" t="n"/>
      <c r="B48" s="18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8">
        <f>SUM(C48,E48,G48,I48,K48,M48,O48)</f>
        <v/>
      </c>
      <c r="R48" s="58">
        <f>SUM(D48,F48,H48,J48,L48,N48,P48)</f>
        <v/>
      </c>
      <c r="S48" s="59">
        <f>IF($Q48=0,"",$R48/$Q48)</f>
        <v/>
      </c>
    </row>
    <row r="49">
      <c r="A49" s="16" t="n"/>
      <c r="B49" s="18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8">
        <f>SUM(C49,E49,G49,I49,K49,M49,O49)</f>
        <v/>
      </c>
      <c r="R49" s="58">
        <f>SUM(D49,F49,H49,J49,L49,N49,P49)</f>
        <v/>
      </c>
      <c r="S49" s="59">
        <f>IF($Q49=0,"",$R49/$Q49)</f>
        <v/>
      </c>
    </row>
    <row r="50">
      <c r="A50" s="60" t="inlineStr">
        <is>
          <t>TOTALES DEL AREA</t>
        </is>
      </c>
      <c r="B50" s="7" t="n"/>
      <c r="C50" s="61">
        <f>SUM(C6:C49)</f>
        <v/>
      </c>
      <c r="D50" s="61">
        <f>SUM(D6:D49)</f>
        <v/>
      </c>
      <c r="E50" s="61">
        <f>SUM(E6:E49)</f>
        <v/>
      </c>
      <c r="F50" s="61">
        <f>SUM(F6:F49)</f>
        <v/>
      </c>
      <c r="G50" s="61">
        <f>SUM(G6:G49)</f>
        <v/>
      </c>
      <c r="H50" s="61">
        <f>SUM(H6:H49)</f>
        <v/>
      </c>
      <c r="I50" s="61">
        <f>SUM(I6:I49)</f>
        <v/>
      </c>
      <c r="J50" s="61">
        <f>SUM(J6:J49)</f>
        <v/>
      </c>
      <c r="K50" s="61">
        <f>SUM(K6:K49)</f>
        <v/>
      </c>
      <c r="L50" s="61">
        <f>SUM(L6:L49)</f>
        <v/>
      </c>
      <c r="M50" s="61">
        <f>SUM(M6:M49)</f>
        <v/>
      </c>
      <c r="N50" s="61">
        <f>SUM(N6:N49)</f>
        <v/>
      </c>
      <c r="O50" s="61">
        <f>SUM(O6:O49)</f>
        <v/>
      </c>
      <c r="P50" s="61">
        <f>SUM(P6:P49)</f>
        <v/>
      </c>
      <c r="Q50" s="61">
        <f>SUM(Q6:Q49)</f>
        <v/>
      </c>
      <c r="R50" s="61">
        <f>SUM(R6:R49)</f>
        <v/>
      </c>
      <c r="S50" s="62">
        <f>IF($Q50=0,"",$R50/$Q50)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49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FACTURERÍA</t>
        </is>
      </c>
    </row>
    <row r="2" ht="18" customHeight="1">
      <c r="A2" s="2" t="inlineStr">
        <is>
          <t>Jefe de area: ____________________     Semana: ____/____ al ____/____     Se elabora en: Central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9" t="inlineStr">
        <is>
          <t>Churros rellenos x unidad</t>
        </is>
      </c>
      <c r="B6" s="35" t="inlineStr">
        <is>
          <t>u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20" t="inlineStr">
        <is>
          <t>Churros x unidad</t>
        </is>
      </c>
      <c r="B7" s="37" t="inlineStr">
        <is>
          <t>u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9" t="inlineStr">
        <is>
          <t>Croissant</t>
        </is>
      </c>
      <c r="B8" s="35" t="inlineStr">
        <is>
          <t>u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20" t="inlineStr">
        <is>
          <t>Facturas c/crema</t>
        </is>
      </c>
      <c r="B9" s="37" t="inlineStr">
        <is>
          <t>u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9" t="inlineStr">
        <is>
          <t>Facturas c/crema y DDL</t>
        </is>
      </c>
      <c r="B10" s="35" t="inlineStr">
        <is>
          <t>u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20" t="inlineStr">
        <is>
          <t>Facturas c/crema y membr.</t>
        </is>
      </c>
      <c r="B11" s="37" t="inlineStr">
        <is>
          <t>u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9" t="inlineStr">
        <is>
          <t>Libritos</t>
        </is>
      </c>
      <c r="B12" s="35" t="inlineStr">
        <is>
          <t>u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20" t="inlineStr">
        <is>
          <t>Medialunas</t>
        </is>
      </c>
      <c r="B13" s="37" t="inlineStr">
        <is>
          <t>u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9" t="inlineStr">
        <is>
          <t>Medialunas crudas x16</t>
        </is>
      </c>
      <c r="B14" s="35" t="inlineStr">
        <is>
          <t>u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20" t="inlineStr">
        <is>
          <t>Medialunas saladas</t>
        </is>
      </c>
      <c r="B15" s="37" t="inlineStr">
        <is>
          <t>u</t>
        </is>
      </c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9" t="inlineStr">
        <is>
          <t>Minifacturas</t>
        </is>
      </c>
      <c r="B16" s="35" t="inlineStr">
        <is>
          <t>kg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20" t="inlineStr">
        <is>
          <t>Pan dulce</t>
        </is>
      </c>
      <c r="B17" s="37" t="inlineStr">
        <is>
          <t>u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9" t="inlineStr">
        <is>
          <t>Roll de canela</t>
        </is>
      </c>
      <c r="B18" s="35" t="inlineStr">
        <is>
          <t>u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20" t="inlineStr">
        <is>
          <t>Sacramento jamón y queso</t>
        </is>
      </c>
      <c r="B19" s="37" t="inlineStr">
        <is>
          <t>u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9" t="inlineStr">
        <is>
          <t>Sacramentos</t>
        </is>
      </c>
      <c r="B20" s="35" t="inlineStr">
        <is>
          <t>u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20" t="inlineStr">
        <is>
          <t>Vigilantes</t>
        </is>
      </c>
      <c r="B21" s="37" t="inlineStr">
        <is>
          <t>u</t>
        </is>
      </c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16" t="n"/>
      <c r="B22" s="18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16" t="n"/>
      <c r="B23" s="18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SUM(C23,E23,G23,I23,K23,M23,O23)</f>
        <v/>
      </c>
      <c r="R23" s="58">
        <f>SUM(D23,F23,H23,J23,L23,N23,P23)</f>
        <v/>
      </c>
      <c r="S23" s="59">
        <f>IF($Q23=0,"",$R23/$Q23)</f>
        <v/>
      </c>
    </row>
    <row r="24">
      <c r="A24" s="16" t="n"/>
      <c r="B24" s="18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SUM(C24,E24,G24,I24,K24,M24,O24)</f>
        <v/>
      </c>
      <c r="R24" s="58">
        <f>SUM(D24,F24,H24,J24,L24,N24,P24)</f>
        <v/>
      </c>
      <c r="S24" s="59">
        <f>IF($Q24=0,"",$R24/$Q24)</f>
        <v/>
      </c>
    </row>
    <row r="25">
      <c r="A25" s="16" t="n"/>
      <c r="B25" s="18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SUM(C25,E25,G25,I25,K25,M25,O25)</f>
        <v/>
      </c>
      <c r="R25" s="58">
        <f>SUM(D25,F25,H25,J25,L25,N25,P25)</f>
        <v/>
      </c>
      <c r="S25" s="59">
        <f>IF($Q25=0,"",$R25/$Q25)</f>
        <v/>
      </c>
    </row>
    <row r="26">
      <c r="A26" s="16" t="n"/>
      <c r="B26" s="18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SUM(C26,E26,G26,I26,K26,M26,O26)</f>
        <v/>
      </c>
      <c r="R26" s="58">
        <f>SUM(D26,F26,H26,J26,L26,N26,P26)</f>
        <v/>
      </c>
      <c r="S26" s="59">
        <f>IF($Q26=0,"",$R26/$Q26)</f>
        <v/>
      </c>
    </row>
    <row r="27">
      <c r="A27" s="16" t="n"/>
      <c r="B27" s="18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SUM(C27,E27,G27,I27,K27,M27,O27)</f>
        <v/>
      </c>
      <c r="R27" s="58">
        <f>SUM(D27,F27,H27,J27,L27,N27,P27)</f>
        <v/>
      </c>
      <c r="S27" s="59">
        <f>IF($Q27=0,"",$R27/$Q27)</f>
        <v/>
      </c>
    </row>
    <row r="28">
      <c r="A28" s="16" t="n"/>
      <c r="B28" s="18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8">
        <f>SUM(C28,E28,G28,I28,K28,M28,O28)</f>
        <v/>
      </c>
      <c r="R28" s="58">
        <f>SUM(D28,F28,H28,J28,L28,N28,P28)</f>
        <v/>
      </c>
      <c r="S28" s="59">
        <f>IF($Q28=0,"",$R28/$Q28)</f>
        <v/>
      </c>
    </row>
    <row r="29">
      <c r="A29" s="16" t="n"/>
      <c r="B29" s="18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8">
        <f>SUM(C29,E29,G29,I29,K29,M29,O29)</f>
        <v/>
      </c>
      <c r="R29" s="58">
        <f>SUM(D29,F29,H29,J29,L29,N29,P29)</f>
        <v/>
      </c>
      <c r="S29" s="59">
        <f>IF($Q29=0,"",$R29/$Q29)</f>
        <v/>
      </c>
    </row>
    <row r="30">
      <c r="A30" s="60" t="inlineStr">
        <is>
          <t>TOTALES DEL AREA</t>
        </is>
      </c>
      <c r="B30" s="7" t="n"/>
      <c r="C30" s="61">
        <f>SUM(C6:C29)</f>
        <v/>
      </c>
      <c r="D30" s="61">
        <f>SUM(D6:D29)</f>
        <v/>
      </c>
      <c r="E30" s="61">
        <f>SUM(E6:E29)</f>
        <v/>
      </c>
      <c r="F30" s="61">
        <f>SUM(F6:F29)</f>
        <v/>
      </c>
      <c r="G30" s="61">
        <f>SUM(G6:G29)</f>
        <v/>
      </c>
      <c r="H30" s="61">
        <f>SUM(H6:H29)</f>
        <v/>
      </c>
      <c r="I30" s="61">
        <f>SUM(I6:I29)</f>
        <v/>
      </c>
      <c r="J30" s="61">
        <f>SUM(J6:J29)</f>
        <v/>
      </c>
      <c r="K30" s="61">
        <f>SUM(K6:K29)</f>
        <v/>
      </c>
      <c r="L30" s="61">
        <f>SUM(L6:L29)</f>
        <v/>
      </c>
      <c r="M30" s="61">
        <f>SUM(M6:M29)</f>
        <v/>
      </c>
      <c r="N30" s="61">
        <f>SUM(N6:N29)</f>
        <v/>
      </c>
      <c r="O30" s="61">
        <f>SUM(O6:O29)</f>
        <v/>
      </c>
      <c r="P30" s="61">
        <f>SUM(P6:P29)</f>
        <v/>
      </c>
      <c r="Q30" s="61">
        <f>SUM(Q6:Q29)</f>
        <v/>
      </c>
      <c r="R30" s="61">
        <f>SUM(R6:R29)</f>
        <v/>
      </c>
      <c r="S30" s="62">
        <f>IF($Q30=0,"",$R30/$Q30)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29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SANDWICHES</t>
        </is>
      </c>
    </row>
    <row r="2" ht="18" customHeight="1">
      <c r="A2" s="2" t="inlineStr">
        <is>
          <t>Jefe de area: ____________________     Semana: ____/____ al ____/____     Se elabora en: Central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9" t="inlineStr">
        <is>
          <t>Ciabatta de Lomito ahumado, muzzarella y rúcula con oliva</t>
        </is>
      </c>
      <c r="B6" s="35" t="inlineStr">
        <is>
          <t>u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20" t="inlineStr">
        <is>
          <t>Ciabatta de Muzzarella, provolone, albahaca y cherrys confitados</t>
        </is>
      </c>
      <c r="B7" s="37" t="inlineStr">
        <is>
          <t>u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9" t="inlineStr">
        <is>
          <t>Baguette de jamón cocido, queso, lechuga y tomate</t>
        </is>
      </c>
      <c r="B8" s="35" t="inlineStr">
        <is>
          <t>u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20" t="inlineStr">
        <is>
          <t>Baguette de salame y queso</t>
        </is>
      </c>
      <c r="B9" s="37" t="inlineStr">
        <is>
          <t>u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9" t="inlineStr">
        <is>
          <t>Miga de jamón cocido y queso</t>
        </is>
      </c>
      <c r="B10" s="35" t="inlineStr">
        <is>
          <t>u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20" t="inlineStr">
        <is>
          <t>Miga de Ternera y tomate</t>
        </is>
      </c>
      <c r="B11" s="37" t="inlineStr">
        <is>
          <t>u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9" t="inlineStr">
        <is>
          <t>Miga de ternera y huevo</t>
        </is>
      </c>
      <c r="B12" s="35" t="inlineStr">
        <is>
          <t>u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20" t="inlineStr">
        <is>
          <t>Miga de crudo y queso</t>
        </is>
      </c>
      <c r="B13" s="37" t="inlineStr">
        <is>
          <t>u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9" t="inlineStr">
        <is>
          <t>Miga de cantimpalo y queso</t>
        </is>
      </c>
      <c r="B14" s="35" t="inlineStr">
        <is>
          <t>u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16" t="n"/>
      <c r="B15" s="18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16" t="n"/>
      <c r="B16" s="18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16" t="n"/>
      <c r="B17" s="18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16" t="n"/>
      <c r="B18" s="18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16" t="n"/>
      <c r="B19" s="18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16" t="n"/>
      <c r="B20" s="18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16" t="n"/>
      <c r="B21" s="18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16" t="n"/>
      <c r="B22" s="18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60" t="inlineStr">
        <is>
          <t>TOTALES DEL AREA</t>
        </is>
      </c>
      <c r="B23" s="7" t="n"/>
      <c r="C23" s="61">
        <f>SUM(C6:C22)</f>
        <v/>
      </c>
      <c r="D23" s="61">
        <f>SUM(D6:D22)</f>
        <v/>
      </c>
      <c r="E23" s="61">
        <f>SUM(E6:E22)</f>
        <v/>
      </c>
      <c r="F23" s="61">
        <f>SUM(F6:F22)</f>
        <v/>
      </c>
      <c r="G23" s="61">
        <f>SUM(G6:G22)</f>
        <v/>
      </c>
      <c r="H23" s="61">
        <f>SUM(H6:H22)</f>
        <v/>
      </c>
      <c r="I23" s="61">
        <f>SUM(I6:I22)</f>
        <v/>
      </c>
      <c r="J23" s="61">
        <f>SUM(J6:J22)</f>
        <v/>
      </c>
      <c r="K23" s="61">
        <f>SUM(K6:K22)</f>
        <v/>
      </c>
      <c r="L23" s="61">
        <f>SUM(L6:L22)</f>
        <v/>
      </c>
      <c r="M23" s="61">
        <f>SUM(M6:M22)</f>
        <v/>
      </c>
      <c r="N23" s="61">
        <f>SUM(N6:N22)</f>
        <v/>
      </c>
      <c r="O23" s="61">
        <f>SUM(O6:O22)</f>
        <v/>
      </c>
      <c r="P23" s="61">
        <f>SUM(P6:P22)</f>
        <v/>
      </c>
      <c r="Q23" s="61">
        <f>SUM(Q6:Q22)</f>
        <v/>
      </c>
      <c r="R23" s="61">
        <f>SUM(R6:R22)</f>
        <v/>
      </c>
      <c r="S23" s="62">
        <f>IF($Q23=0,"",$R23/$Q23)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22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9" customWidth="1" min="16" max="16"/>
    <col width="12" customWidth="1" min="17" max="17"/>
    <col width="12" customWidth="1" min="18" max="18"/>
    <col width="10" customWidth="1" min="19" max="19"/>
  </cols>
  <sheetData>
    <row r="1" ht="30" customHeight="1">
      <c r="A1" s="1" t="inlineStr">
        <is>
          <t>PLANILLA 4 · PRODUCCION DIARIA — COCINA SAN LUIS</t>
        </is>
      </c>
    </row>
    <row r="2" ht="18" customHeight="1">
      <c r="A2" s="2" t="inlineStr">
        <is>
          <t>Jefe de area: ____________________     Semana: ____/____ al ____/____     Se elabora en: Local San Luis</t>
        </is>
      </c>
    </row>
    <row r="3" ht="18" customHeight="1">
      <c r="A3" s="3" t="inlineStr">
        <is>
          <t>ELABORADO = lo que salio bueno.  DESCARTE = lo que se quemo, salio mal, se cayo o se tiro. El detalle del motivo de cada descarte va en la planilla 5.</t>
        </is>
      </c>
    </row>
    <row r="4" ht="20" customHeight="1">
      <c r="A4" s="6" t="inlineStr">
        <is>
          <t>PRODUCTO</t>
        </is>
      </c>
      <c r="B4" s="6" t="inlineStr">
        <is>
          <t>UNID.</t>
        </is>
      </c>
      <c r="C4" s="52">
        <f>IF(Config!$B$10="","LUNES",UPPER("LUN")&amp;" "&amp;TEXT(Config!$B$10,"dd/mm"))</f>
        <v/>
      </c>
      <c r="D4" s="53" t="n"/>
      <c r="E4" s="52">
        <f>IF(Config!$B$11="","MARTES",UPPER("MAR")&amp;" "&amp;TEXT(Config!$B$11,"dd/mm"))</f>
        <v/>
      </c>
      <c r="F4" s="53" t="n"/>
      <c r="G4" s="52">
        <f>IF(Config!$B$12="","MIERCOLES",UPPER("MIE")&amp;" "&amp;TEXT(Config!$B$12,"dd/mm"))</f>
        <v/>
      </c>
      <c r="H4" s="53" t="n"/>
      <c r="I4" s="52">
        <f>IF(Config!$B$13="","JUEVES",UPPER("JUE")&amp;" "&amp;TEXT(Config!$B$13,"dd/mm"))</f>
        <v/>
      </c>
      <c r="J4" s="53" t="n"/>
      <c r="K4" s="52">
        <f>IF(Config!$B$14="","VIERNES",UPPER("VIE")&amp;" "&amp;TEXT(Config!$B$14,"dd/mm"))</f>
        <v/>
      </c>
      <c r="L4" s="53" t="n"/>
      <c r="M4" s="52">
        <f>IF(Config!$B$15="","SABADO",UPPER("SAB")&amp;" "&amp;TEXT(Config!$B$15,"dd/mm"))</f>
        <v/>
      </c>
      <c r="N4" s="53" t="n"/>
      <c r="O4" s="52">
        <f>IF(Config!$B$16="","DOMINGO",UPPER("DOM")&amp;" "&amp;TEXT(Config!$B$16,"dd/mm"))</f>
        <v/>
      </c>
      <c r="P4" s="53" t="n"/>
      <c r="Q4" s="6" t="inlineStr">
        <is>
          <t>TOTAL
ELABORADO</t>
        </is>
      </c>
      <c r="R4" s="6" t="inlineStr">
        <is>
          <t>TOTAL
DESCARTE</t>
        </is>
      </c>
      <c r="S4" s="6" t="inlineStr">
        <is>
          <t>%
DESC.</t>
        </is>
      </c>
    </row>
    <row r="5" ht="24" customHeight="1">
      <c r="A5" s="54" t="n"/>
      <c r="B5" s="54" t="n"/>
      <c r="C5" s="55" t="inlineStr">
        <is>
          <t>ELABOR.</t>
        </is>
      </c>
      <c r="D5" s="55" t="inlineStr">
        <is>
          <t>DESCAR.</t>
        </is>
      </c>
      <c r="E5" s="55" t="inlineStr">
        <is>
          <t>ELABOR.</t>
        </is>
      </c>
      <c r="F5" s="55" t="inlineStr">
        <is>
          <t>DESCAR.</t>
        </is>
      </c>
      <c r="G5" s="55" t="inlineStr">
        <is>
          <t>ELABOR.</t>
        </is>
      </c>
      <c r="H5" s="55" t="inlineStr">
        <is>
          <t>DESCAR.</t>
        </is>
      </c>
      <c r="I5" s="55" t="inlineStr">
        <is>
          <t>ELABOR.</t>
        </is>
      </c>
      <c r="J5" s="55" t="inlineStr">
        <is>
          <t>DESCAR.</t>
        </is>
      </c>
      <c r="K5" s="55" t="inlineStr">
        <is>
          <t>ELABOR.</t>
        </is>
      </c>
      <c r="L5" s="55" t="inlineStr">
        <is>
          <t>DESCAR.</t>
        </is>
      </c>
      <c r="M5" s="55" t="inlineStr">
        <is>
          <t>ELABOR.</t>
        </is>
      </c>
      <c r="N5" s="55" t="inlineStr">
        <is>
          <t>DESCAR.</t>
        </is>
      </c>
      <c r="O5" s="55" t="inlineStr">
        <is>
          <t>ELABOR.</t>
        </is>
      </c>
      <c r="P5" s="55" t="inlineStr">
        <is>
          <t>DESCAR.</t>
        </is>
      </c>
      <c r="Q5" s="54" t="n"/>
      <c r="R5" s="54" t="n"/>
      <c r="S5" s="54" t="n"/>
    </row>
    <row r="6">
      <c r="A6" s="16" t="n"/>
      <c r="B6" s="18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8">
        <f>SUM(C6,E6,G6,I6,K6,M6,O6)</f>
        <v/>
      </c>
      <c r="R6" s="58">
        <f>SUM(D6,F6,H6,J6,L6,N6,P6)</f>
        <v/>
      </c>
      <c r="S6" s="59">
        <f>IF($Q6=0,"",$R6/$Q6)</f>
        <v/>
      </c>
    </row>
    <row r="7">
      <c r="A7" s="16" t="n"/>
      <c r="B7" s="18" t="n"/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8">
        <f>SUM(C7,E7,G7,I7,K7,M7,O7)</f>
        <v/>
      </c>
      <c r="R7" s="58">
        <f>SUM(D7,F7,H7,J7,L7,N7,P7)</f>
        <v/>
      </c>
      <c r="S7" s="59">
        <f>IF($Q7=0,"",$R7/$Q7)</f>
        <v/>
      </c>
    </row>
    <row r="8">
      <c r="A8" s="16" t="n"/>
      <c r="B8" s="18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SUM(C8,E8,G8,I8,K8,M8,O8)</f>
        <v/>
      </c>
      <c r="R8" s="58">
        <f>SUM(D8,F8,H8,J8,L8,N8,P8)</f>
        <v/>
      </c>
      <c r="S8" s="59">
        <f>IF($Q8=0,"",$R8/$Q8)</f>
        <v/>
      </c>
    </row>
    <row r="9">
      <c r="A9" s="16" t="n"/>
      <c r="B9" s="18" t="n"/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SUM(C9,E9,G9,I9,K9,M9,O9)</f>
        <v/>
      </c>
      <c r="R9" s="58">
        <f>SUM(D9,F9,H9,J9,L9,N9,P9)</f>
        <v/>
      </c>
      <c r="S9" s="59">
        <f>IF($Q9=0,"",$R9/$Q9)</f>
        <v/>
      </c>
    </row>
    <row r="10">
      <c r="A10" s="16" t="n"/>
      <c r="B10" s="18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SUM(C10,E10,G10,I10,K10,M10,O10)</f>
        <v/>
      </c>
      <c r="R10" s="58">
        <f>SUM(D10,F10,H10,J10,L10,N10,P10)</f>
        <v/>
      </c>
      <c r="S10" s="59">
        <f>IF($Q10=0,"",$R10/$Q10)</f>
        <v/>
      </c>
    </row>
    <row r="11">
      <c r="A11" s="16" t="n"/>
      <c r="B11" s="18" t="n"/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SUM(C11,E11,G11,I11,K11,M11,O11)</f>
        <v/>
      </c>
      <c r="R11" s="58">
        <f>SUM(D11,F11,H11,J11,L11,N11,P11)</f>
        <v/>
      </c>
      <c r="S11" s="59">
        <f>IF($Q11=0,"",$R11/$Q11)</f>
        <v/>
      </c>
    </row>
    <row r="12">
      <c r="A12" s="16" t="n"/>
      <c r="B12" s="18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SUM(C12,E12,G12,I12,K12,M12,O12)</f>
        <v/>
      </c>
      <c r="R12" s="58">
        <f>SUM(D12,F12,H12,J12,L12,N12,P12)</f>
        <v/>
      </c>
      <c r="S12" s="59">
        <f>IF($Q12=0,"",$R12/$Q12)</f>
        <v/>
      </c>
    </row>
    <row r="13">
      <c r="A13" s="16" t="n"/>
      <c r="B13" s="18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SUM(C13,E13,G13,I13,K13,M13,O13)</f>
        <v/>
      </c>
      <c r="R13" s="58">
        <f>SUM(D13,F13,H13,J13,L13,N13,P13)</f>
        <v/>
      </c>
      <c r="S13" s="59">
        <f>IF($Q13=0,"",$R13/$Q13)</f>
        <v/>
      </c>
    </row>
    <row r="14">
      <c r="A14" s="16" t="n"/>
      <c r="B14" s="18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SUM(C14,E14,G14,I14,K14,M14,O14)</f>
        <v/>
      </c>
      <c r="R14" s="58">
        <f>SUM(D14,F14,H14,J14,L14,N14,P14)</f>
        <v/>
      </c>
      <c r="S14" s="59">
        <f>IF($Q14=0,"",$R14/$Q14)</f>
        <v/>
      </c>
    </row>
    <row r="15">
      <c r="A15" s="16" t="n"/>
      <c r="B15" s="18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SUM(C15,E15,G15,I15,K15,M15,O15)</f>
        <v/>
      </c>
      <c r="R15" s="58">
        <f>SUM(D15,F15,H15,J15,L15,N15,P15)</f>
        <v/>
      </c>
      <c r="S15" s="59">
        <f>IF($Q15=0,"",$R15/$Q15)</f>
        <v/>
      </c>
    </row>
    <row r="16">
      <c r="A16" s="16" t="n"/>
      <c r="B16" s="18" t="n"/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SUM(C16,E16,G16,I16,K16,M16,O16)</f>
        <v/>
      </c>
      <c r="R16" s="58">
        <f>SUM(D16,F16,H16,J16,L16,N16,P16)</f>
        <v/>
      </c>
      <c r="S16" s="59">
        <f>IF($Q16=0,"",$R16/$Q16)</f>
        <v/>
      </c>
    </row>
    <row r="17">
      <c r="A17" s="16" t="n"/>
      <c r="B17" s="18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SUM(C17,E17,G17,I17,K17,M17,O17)</f>
        <v/>
      </c>
      <c r="R17" s="58">
        <f>SUM(D17,F17,H17,J17,L17,N17,P17)</f>
        <v/>
      </c>
      <c r="S17" s="59">
        <f>IF($Q17=0,"",$R17/$Q17)</f>
        <v/>
      </c>
    </row>
    <row r="18">
      <c r="A18" s="16" t="n"/>
      <c r="B18" s="18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SUM(C18,E18,G18,I18,K18,M18,O18)</f>
        <v/>
      </c>
      <c r="R18" s="58">
        <f>SUM(D18,F18,H18,J18,L18,N18,P18)</f>
        <v/>
      </c>
      <c r="S18" s="59">
        <f>IF($Q18=0,"",$R18/$Q18)</f>
        <v/>
      </c>
    </row>
    <row r="19">
      <c r="A19" s="16" t="n"/>
      <c r="B19" s="18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SUM(C19,E19,G19,I19,K19,M19,O19)</f>
        <v/>
      </c>
      <c r="R19" s="58">
        <f>SUM(D19,F19,H19,J19,L19,N19,P19)</f>
        <v/>
      </c>
      <c r="S19" s="59">
        <f>IF($Q19=0,"",$R19/$Q19)</f>
        <v/>
      </c>
    </row>
    <row r="20">
      <c r="A20" s="16" t="n"/>
      <c r="B20" s="18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SUM(C20,E20,G20,I20,K20,M20,O20)</f>
        <v/>
      </c>
      <c r="R20" s="58">
        <f>SUM(D20,F20,H20,J20,L20,N20,P20)</f>
        <v/>
      </c>
      <c r="S20" s="59">
        <f>IF($Q20=0,"",$R20/$Q20)</f>
        <v/>
      </c>
    </row>
    <row r="21">
      <c r="A21" s="16" t="n"/>
      <c r="B21" s="18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SUM(C21,E21,G21,I21,K21,M21,O21)</f>
        <v/>
      </c>
      <c r="R21" s="58">
        <f>SUM(D21,F21,H21,J21,L21,N21,P21)</f>
        <v/>
      </c>
      <c r="S21" s="59">
        <f>IF($Q21=0,"",$R21/$Q21)</f>
        <v/>
      </c>
    </row>
    <row r="22">
      <c r="A22" s="16" t="n"/>
      <c r="B22" s="18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SUM(C22,E22,G22,I22,K22,M22,O22)</f>
        <v/>
      </c>
      <c r="R22" s="58">
        <f>SUM(D22,F22,H22,J22,L22,N22,P22)</f>
        <v/>
      </c>
      <c r="S22" s="59">
        <f>IF($Q22=0,"",$R22/$Q22)</f>
        <v/>
      </c>
    </row>
    <row r="23">
      <c r="A23" s="16" t="n"/>
      <c r="B23" s="18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SUM(C23,E23,G23,I23,K23,M23,O23)</f>
        <v/>
      </c>
      <c r="R23" s="58">
        <f>SUM(D23,F23,H23,J23,L23,N23,P23)</f>
        <v/>
      </c>
      <c r="S23" s="59">
        <f>IF($Q23=0,"",$R23/$Q23)</f>
        <v/>
      </c>
    </row>
    <row r="24">
      <c r="A24" s="16" t="n"/>
      <c r="B24" s="18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SUM(C24,E24,G24,I24,K24,M24,O24)</f>
        <v/>
      </c>
      <c r="R24" s="58">
        <f>SUM(D24,F24,H24,J24,L24,N24,P24)</f>
        <v/>
      </c>
      <c r="S24" s="59">
        <f>IF($Q24=0,"",$R24/$Q24)</f>
        <v/>
      </c>
    </row>
    <row r="25">
      <c r="A25" s="16" t="n"/>
      <c r="B25" s="18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SUM(C25,E25,G25,I25,K25,M25,O25)</f>
        <v/>
      </c>
      <c r="R25" s="58">
        <f>SUM(D25,F25,H25,J25,L25,N25,P25)</f>
        <v/>
      </c>
      <c r="S25" s="59">
        <f>IF($Q25=0,"",$R25/$Q25)</f>
        <v/>
      </c>
    </row>
    <row r="26">
      <c r="A26" s="16" t="n"/>
      <c r="B26" s="18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SUM(C26,E26,G26,I26,K26,M26,O26)</f>
        <v/>
      </c>
      <c r="R26" s="58">
        <f>SUM(D26,F26,H26,J26,L26,N26,P26)</f>
        <v/>
      </c>
      <c r="S26" s="59">
        <f>IF($Q26=0,"",$R26/$Q26)</f>
        <v/>
      </c>
    </row>
    <row r="27">
      <c r="A27" s="16" t="n"/>
      <c r="B27" s="18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SUM(C27,E27,G27,I27,K27,M27,O27)</f>
        <v/>
      </c>
      <c r="R27" s="58">
        <f>SUM(D27,F27,H27,J27,L27,N27,P27)</f>
        <v/>
      </c>
      <c r="S27" s="59">
        <f>IF($Q27=0,"",$R27/$Q27)</f>
        <v/>
      </c>
    </row>
    <row r="28">
      <c r="A28" s="16" t="n"/>
      <c r="B28" s="18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8">
        <f>SUM(C28,E28,G28,I28,K28,M28,O28)</f>
        <v/>
      </c>
      <c r="R28" s="58">
        <f>SUM(D28,F28,H28,J28,L28,N28,P28)</f>
        <v/>
      </c>
      <c r="S28" s="59">
        <f>IF($Q28=0,"",$R28/$Q28)</f>
        <v/>
      </c>
    </row>
    <row r="29">
      <c r="A29" s="16" t="n"/>
      <c r="B29" s="18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8">
        <f>SUM(C29,E29,G29,I29,K29,M29,O29)</f>
        <v/>
      </c>
      <c r="R29" s="58">
        <f>SUM(D29,F29,H29,J29,L29,N29,P29)</f>
        <v/>
      </c>
      <c r="S29" s="59">
        <f>IF($Q29=0,"",$R29/$Q29)</f>
        <v/>
      </c>
    </row>
    <row r="30">
      <c r="A30" s="16" t="n"/>
      <c r="B30" s="18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8">
        <f>SUM(C30,E30,G30,I30,K30,M30,O30)</f>
        <v/>
      </c>
      <c r="R30" s="58">
        <f>SUM(D30,F30,H30,J30,L30,N30,P30)</f>
        <v/>
      </c>
      <c r="S30" s="59">
        <f>IF($Q30=0,"",$R30/$Q30)</f>
        <v/>
      </c>
    </row>
    <row r="31">
      <c r="A31" s="16" t="n"/>
      <c r="B31" s="18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8">
        <f>SUM(C31,E31,G31,I31,K31,M31,O31)</f>
        <v/>
      </c>
      <c r="R31" s="58">
        <f>SUM(D31,F31,H31,J31,L31,N31,P31)</f>
        <v/>
      </c>
      <c r="S31" s="59">
        <f>IF($Q31=0,"",$R31/$Q31)</f>
        <v/>
      </c>
    </row>
    <row r="32">
      <c r="A32" s="16" t="n"/>
      <c r="B32" s="18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8">
        <f>SUM(C32,E32,G32,I32,K32,M32,O32)</f>
        <v/>
      </c>
      <c r="R32" s="58">
        <f>SUM(D32,F32,H32,J32,L32,N32,P32)</f>
        <v/>
      </c>
      <c r="S32" s="59">
        <f>IF($Q32=0,"",$R32/$Q32)</f>
        <v/>
      </c>
    </row>
    <row r="33">
      <c r="A33" s="16" t="n"/>
      <c r="B33" s="18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8">
        <f>SUM(C33,E33,G33,I33,K33,M33,O33)</f>
        <v/>
      </c>
      <c r="R33" s="58">
        <f>SUM(D33,F33,H33,J33,L33,N33,P33)</f>
        <v/>
      </c>
      <c r="S33" s="59">
        <f>IF($Q33=0,"",$R33/$Q33)</f>
        <v/>
      </c>
    </row>
    <row r="34">
      <c r="A34" s="16" t="n"/>
      <c r="B34" s="18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8">
        <f>SUM(C34,E34,G34,I34,K34,M34,O34)</f>
        <v/>
      </c>
      <c r="R34" s="58">
        <f>SUM(D34,F34,H34,J34,L34,N34,P34)</f>
        <v/>
      </c>
      <c r="S34" s="59">
        <f>IF($Q34=0,"",$R34/$Q34)</f>
        <v/>
      </c>
    </row>
    <row r="35">
      <c r="A35" s="16" t="n"/>
      <c r="B35" s="18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8">
        <f>SUM(C35,E35,G35,I35,K35,M35,O35)</f>
        <v/>
      </c>
      <c r="R35" s="58">
        <f>SUM(D35,F35,H35,J35,L35,N35,P35)</f>
        <v/>
      </c>
      <c r="S35" s="59">
        <f>IF($Q35=0,"",$R35/$Q35)</f>
        <v/>
      </c>
    </row>
    <row r="36">
      <c r="A36" s="16" t="n"/>
      <c r="B36" s="18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8">
        <f>SUM(C36,E36,G36,I36,K36,M36,O36)</f>
        <v/>
      </c>
      <c r="R36" s="58">
        <f>SUM(D36,F36,H36,J36,L36,N36,P36)</f>
        <v/>
      </c>
      <c r="S36" s="59">
        <f>IF($Q36=0,"",$R36/$Q36)</f>
        <v/>
      </c>
    </row>
    <row r="37">
      <c r="A37" s="16" t="n"/>
      <c r="B37" s="18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8">
        <f>SUM(C37,E37,G37,I37,K37,M37,O37)</f>
        <v/>
      </c>
      <c r="R37" s="58">
        <f>SUM(D37,F37,H37,J37,L37,N37,P37)</f>
        <v/>
      </c>
      <c r="S37" s="59">
        <f>IF($Q37=0,"",$R37/$Q37)</f>
        <v/>
      </c>
    </row>
    <row r="38">
      <c r="A38" s="16" t="n"/>
      <c r="B38" s="18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8">
        <f>SUM(C38,E38,G38,I38,K38,M38,O38)</f>
        <v/>
      </c>
      <c r="R38" s="58">
        <f>SUM(D38,F38,H38,J38,L38,N38,P38)</f>
        <v/>
      </c>
      <c r="S38" s="59">
        <f>IF($Q38=0,"",$R38/$Q38)</f>
        <v/>
      </c>
    </row>
    <row r="39">
      <c r="A39" s="16" t="n"/>
      <c r="B39" s="18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8">
        <f>SUM(C39,E39,G39,I39,K39,M39,O39)</f>
        <v/>
      </c>
      <c r="R39" s="58">
        <f>SUM(D39,F39,H39,J39,L39,N39,P39)</f>
        <v/>
      </c>
      <c r="S39" s="59">
        <f>IF($Q39=0,"",$R39/$Q39)</f>
        <v/>
      </c>
    </row>
    <row r="40">
      <c r="A40" s="16" t="n"/>
      <c r="B40" s="18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8">
        <f>SUM(C40,E40,G40,I40,K40,M40,O40)</f>
        <v/>
      </c>
      <c r="R40" s="58">
        <f>SUM(D40,F40,H40,J40,L40,N40,P40)</f>
        <v/>
      </c>
      <c r="S40" s="59">
        <f>IF($Q40=0,"",$R40/$Q40)</f>
        <v/>
      </c>
    </row>
    <row r="41">
      <c r="A41" s="16" t="n"/>
      <c r="B41" s="18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8">
        <f>SUM(C41,E41,G41,I41,K41,M41,O41)</f>
        <v/>
      </c>
      <c r="R41" s="58">
        <f>SUM(D41,F41,H41,J41,L41,N41,P41)</f>
        <v/>
      </c>
      <c r="S41" s="59">
        <f>IF($Q41=0,"",$R41/$Q41)</f>
        <v/>
      </c>
    </row>
    <row r="42">
      <c r="A42" s="16" t="n"/>
      <c r="B42" s="18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8">
        <f>SUM(C42,E42,G42,I42,K42,M42,O42)</f>
        <v/>
      </c>
      <c r="R42" s="58">
        <f>SUM(D42,F42,H42,J42,L42,N42,P42)</f>
        <v/>
      </c>
      <c r="S42" s="59">
        <f>IF($Q42=0,"",$R42/$Q42)</f>
        <v/>
      </c>
    </row>
    <row r="43">
      <c r="A43" s="16" t="n"/>
      <c r="B43" s="18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8">
        <f>SUM(C43,E43,G43,I43,K43,M43,O43)</f>
        <v/>
      </c>
      <c r="R43" s="58">
        <f>SUM(D43,F43,H43,J43,L43,N43,P43)</f>
        <v/>
      </c>
      <c r="S43" s="59">
        <f>IF($Q43=0,"",$R43/$Q43)</f>
        <v/>
      </c>
    </row>
    <row r="44">
      <c r="A44" s="16" t="n"/>
      <c r="B44" s="18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8">
        <f>SUM(C44,E44,G44,I44,K44,M44,O44)</f>
        <v/>
      </c>
      <c r="R44" s="58">
        <f>SUM(D44,F44,H44,J44,L44,N44,P44)</f>
        <v/>
      </c>
      <c r="S44" s="59">
        <f>IF($Q44=0,"",$R44/$Q44)</f>
        <v/>
      </c>
    </row>
    <row r="45">
      <c r="A45" s="16" t="n"/>
      <c r="B45" s="18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8">
        <f>SUM(C45,E45,G45,I45,K45,M45,O45)</f>
        <v/>
      </c>
      <c r="R45" s="58">
        <f>SUM(D45,F45,H45,J45,L45,N45,P45)</f>
        <v/>
      </c>
      <c r="S45" s="59">
        <f>IF($Q45=0,"",$R45/$Q45)</f>
        <v/>
      </c>
    </row>
    <row r="46">
      <c r="A46" s="60" t="inlineStr">
        <is>
          <t>TOTALES DEL AREA</t>
        </is>
      </c>
      <c r="B46" s="7" t="n"/>
      <c r="C46" s="61">
        <f>SUM(C6:C45)</f>
        <v/>
      </c>
      <c r="D46" s="61">
        <f>SUM(D6:D45)</f>
        <v/>
      </c>
      <c r="E46" s="61">
        <f>SUM(E6:E45)</f>
        <v/>
      </c>
      <c r="F46" s="61">
        <f>SUM(F6:F45)</f>
        <v/>
      </c>
      <c r="G46" s="61">
        <f>SUM(G6:G45)</f>
        <v/>
      </c>
      <c r="H46" s="61">
        <f>SUM(H6:H45)</f>
        <v/>
      </c>
      <c r="I46" s="61">
        <f>SUM(I6:I45)</f>
        <v/>
      </c>
      <c r="J46" s="61">
        <f>SUM(J6:J45)</f>
        <v/>
      </c>
      <c r="K46" s="61">
        <f>SUM(K6:K45)</f>
        <v/>
      </c>
      <c r="L46" s="61">
        <f>SUM(L6:L45)</f>
        <v/>
      </c>
      <c r="M46" s="61">
        <f>SUM(M6:M45)</f>
        <v/>
      </c>
      <c r="N46" s="61">
        <f>SUM(N6:N45)</f>
        <v/>
      </c>
      <c r="O46" s="61">
        <f>SUM(O6:O45)</f>
        <v/>
      </c>
      <c r="P46" s="61">
        <f>SUM(P6:P45)</f>
        <v/>
      </c>
      <c r="Q46" s="61">
        <f>SUM(Q6:Q45)</f>
        <v/>
      </c>
      <c r="R46" s="61">
        <f>SUM(R6:R45)</f>
        <v/>
      </c>
      <c r="S46" s="62">
        <f>IF($Q46=0,"",$R46/$Q46)</f>
        <v/>
      </c>
    </row>
  </sheetData>
  <mergeCells count="15">
    <mergeCell ref="G4:H4"/>
    <mergeCell ref="E4:F4"/>
    <mergeCell ref="I4:J4"/>
    <mergeCell ref="B4:B5"/>
    <mergeCell ref="Q4:Q5"/>
    <mergeCell ref="R4:R5"/>
    <mergeCell ref="A4:A5"/>
    <mergeCell ref="A1:S1"/>
    <mergeCell ref="A3:S3"/>
    <mergeCell ref="S4:S5"/>
    <mergeCell ref="K4:L4"/>
    <mergeCell ref="O4:P4"/>
    <mergeCell ref="M4:N4"/>
    <mergeCell ref="A2:S2"/>
    <mergeCell ref="C4:D4"/>
  </mergeCells>
  <conditionalFormatting sqref="S6:S45">
    <cfRule type="expression" priority="1" dxfId="3">
      <formula>AND($S6&lt;&gt;"",$S6&gt;Config!$B$47)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6" customWidth="1" min="3" max="3"/>
    <col width="11" customWidth="1" min="4" max="4"/>
    <col width="9" customWidth="1" min="5" max="5"/>
    <col width="25" customWidth="1" min="6" max="6"/>
    <col width="16" customWidth="1" min="7" max="7"/>
    <col width="30" customWidth="1" min="8" max="8"/>
  </cols>
  <sheetData>
    <row r="1" ht="30" customHeight="1">
      <c r="A1" s="1" t="inlineStr">
        <is>
          <t>PLANILLA 5 · DETALLE DE DESCARTES, QUEMADO Y TIRADO</t>
        </is>
      </c>
    </row>
    <row r="2" ht="18" customHeight="1">
      <c r="A2" s="2" t="inlineStr">
        <is>
          <t>Una linea por cada cosa que se descarta, con el motivo. Es la planilla que explica los faltantes: lo que no se anota aca aparece despues como perdida sin justificar.</t>
        </is>
      </c>
    </row>
    <row r="3" ht="18" customHeight="1">
      <c r="A3" s="3" t="inlineStr">
        <is>
          <t>La fila 5 es un EJEMPLO: borrela antes de empezar. Cargue desde la fila 6.</t>
        </is>
      </c>
    </row>
    <row r="4" ht="30" customHeight="1">
      <c r="A4" s="6" t="inlineStr">
        <is>
          <t>FECHA</t>
        </is>
      </c>
      <c r="B4" s="6" t="inlineStr">
        <is>
          <t>AREA</t>
        </is>
      </c>
      <c r="C4" s="6" t="inlineStr">
        <is>
          <t>PRODUCTO O INSUMO</t>
        </is>
      </c>
      <c r="D4" s="6" t="inlineStr">
        <is>
          <t>CANTIDAD</t>
        </is>
      </c>
      <c r="E4" s="6" t="inlineStr">
        <is>
          <t>UNID.</t>
        </is>
      </c>
      <c r="F4" s="6" t="inlineStr">
        <is>
          <t>MOTIVO</t>
        </is>
      </c>
      <c r="G4" s="6" t="inlineStr">
        <is>
          <t>RESPONSABLE</t>
        </is>
      </c>
      <c r="H4" s="6" t="inlineStr">
        <is>
          <t>OBSERVACIONES</t>
        </is>
      </c>
    </row>
    <row r="5">
      <c r="A5" s="47">
        <f>IF(Config!$B$6="","",Config!$B$6)</f>
        <v/>
      </c>
      <c r="B5" s="48" t="inlineStr">
        <is>
          <t>Panaderia</t>
        </is>
      </c>
      <c r="C5" s="48" t="inlineStr">
        <is>
          <t>Medialunas</t>
        </is>
      </c>
      <c r="D5" s="49" t="n">
        <v>18</v>
      </c>
      <c r="E5" s="49" t="inlineStr">
        <is>
          <t>u</t>
        </is>
      </c>
      <c r="F5" s="48" t="inlineStr">
        <is>
          <t>Quemado / mal cocido</t>
        </is>
      </c>
      <c r="G5" s="48" t="inlineStr">
        <is>
          <t>JP</t>
        </is>
      </c>
      <c r="H5" s="48" t="inlineStr">
        <is>
          <t>Horno con temperatura alta</t>
        </is>
      </c>
    </row>
    <row r="6">
      <c r="A6" s="12" t="n"/>
      <c r="B6" s="18" t="n"/>
      <c r="C6" s="16" t="n"/>
      <c r="D6" s="28" t="n"/>
      <c r="E6" s="18" t="n"/>
      <c r="F6" s="16" t="n"/>
      <c r="G6" s="18" t="n"/>
      <c r="H6" s="16" t="n"/>
    </row>
    <row r="7">
      <c r="A7" s="12" t="n"/>
      <c r="B7" s="18" t="n"/>
      <c r="C7" s="16" t="n"/>
      <c r="D7" s="28" t="n"/>
      <c r="E7" s="18" t="n"/>
      <c r="F7" s="16" t="n"/>
      <c r="G7" s="18" t="n"/>
      <c r="H7" s="16" t="n"/>
    </row>
    <row r="8">
      <c r="A8" s="12" t="n"/>
      <c r="B8" s="18" t="n"/>
      <c r="C8" s="16" t="n"/>
      <c r="D8" s="28" t="n"/>
      <c r="E8" s="18" t="n"/>
      <c r="F8" s="16" t="n"/>
      <c r="G8" s="18" t="n"/>
      <c r="H8" s="16" t="n"/>
    </row>
    <row r="9">
      <c r="A9" s="12" t="n"/>
      <c r="B9" s="18" t="n"/>
      <c r="C9" s="16" t="n"/>
      <c r="D9" s="28" t="n"/>
      <c r="E9" s="18" t="n"/>
      <c r="F9" s="16" t="n"/>
      <c r="G9" s="18" t="n"/>
      <c r="H9" s="16" t="n"/>
    </row>
    <row r="10">
      <c r="A10" s="12" t="n"/>
      <c r="B10" s="18" t="n"/>
      <c r="C10" s="16" t="n"/>
      <c r="D10" s="28" t="n"/>
      <c r="E10" s="18" t="n"/>
      <c r="F10" s="16" t="n"/>
      <c r="G10" s="18" t="n"/>
      <c r="H10" s="16" t="n"/>
    </row>
    <row r="11">
      <c r="A11" s="12" t="n"/>
      <c r="B11" s="18" t="n"/>
      <c r="C11" s="16" t="n"/>
      <c r="D11" s="28" t="n"/>
      <c r="E11" s="18" t="n"/>
      <c r="F11" s="16" t="n"/>
      <c r="G11" s="18" t="n"/>
      <c r="H11" s="16" t="n"/>
    </row>
    <row r="12">
      <c r="A12" s="12" t="n"/>
      <c r="B12" s="18" t="n"/>
      <c r="C12" s="16" t="n"/>
      <c r="D12" s="28" t="n"/>
      <c r="E12" s="18" t="n"/>
      <c r="F12" s="16" t="n"/>
      <c r="G12" s="18" t="n"/>
      <c r="H12" s="16" t="n"/>
    </row>
    <row r="13">
      <c r="A13" s="12" t="n"/>
      <c r="B13" s="18" t="n"/>
      <c r="C13" s="16" t="n"/>
      <c r="D13" s="28" t="n"/>
      <c r="E13" s="18" t="n"/>
      <c r="F13" s="16" t="n"/>
      <c r="G13" s="18" t="n"/>
      <c r="H13" s="16" t="n"/>
    </row>
    <row r="14">
      <c r="A14" s="12" t="n"/>
      <c r="B14" s="18" t="n"/>
      <c r="C14" s="16" t="n"/>
      <c r="D14" s="28" t="n"/>
      <c r="E14" s="18" t="n"/>
      <c r="F14" s="16" t="n"/>
      <c r="G14" s="18" t="n"/>
      <c r="H14" s="16" t="n"/>
    </row>
    <row r="15">
      <c r="A15" s="12" t="n"/>
      <c r="B15" s="18" t="n"/>
      <c r="C15" s="16" t="n"/>
      <c r="D15" s="28" t="n"/>
      <c r="E15" s="18" t="n"/>
      <c r="F15" s="16" t="n"/>
      <c r="G15" s="18" t="n"/>
      <c r="H15" s="16" t="n"/>
    </row>
    <row r="16">
      <c r="A16" s="12" t="n"/>
      <c r="B16" s="18" t="n"/>
      <c r="C16" s="16" t="n"/>
      <c r="D16" s="28" t="n"/>
      <c r="E16" s="18" t="n"/>
      <c r="F16" s="16" t="n"/>
      <c r="G16" s="18" t="n"/>
      <c r="H16" s="16" t="n"/>
    </row>
    <row r="17">
      <c r="A17" s="12" t="n"/>
      <c r="B17" s="18" t="n"/>
      <c r="C17" s="16" t="n"/>
      <c r="D17" s="28" t="n"/>
      <c r="E17" s="18" t="n"/>
      <c r="F17" s="16" t="n"/>
      <c r="G17" s="18" t="n"/>
      <c r="H17" s="16" t="n"/>
    </row>
    <row r="18">
      <c r="A18" s="12" t="n"/>
      <c r="B18" s="18" t="n"/>
      <c r="C18" s="16" t="n"/>
      <c r="D18" s="28" t="n"/>
      <c r="E18" s="18" t="n"/>
      <c r="F18" s="16" t="n"/>
      <c r="G18" s="18" t="n"/>
      <c r="H18" s="16" t="n"/>
    </row>
    <row r="19">
      <c r="A19" s="12" t="n"/>
      <c r="B19" s="18" t="n"/>
      <c r="C19" s="16" t="n"/>
      <c r="D19" s="28" t="n"/>
      <c r="E19" s="18" t="n"/>
      <c r="F19" s="16" t="n"/>
      <c r="G19" s="18" t="n"/>
      <c r="H19" s="16" t="n"/>
    </row>
    <row r="20">
      <c r="A20" s="12" t="n"/>
      <c r="B20" s="18" t="n"/>
      <c r="C20" s="16" t="n"/>
      <c r="D20" s="28" t="n"/>
      <c r="E20" s="18" t="n"/>
      <c r="F20" s="16" t="n"/>
      <c r="G20" s="18" t="n"/>
      <c r="H20" s="16" t="n"/>
    </row>
    <row r="21">
      <c r="A21" s="12" t="n"/>
      <c r="B21" s="18" t="n"/>
      <c r="C21" s="16" t="n"/>
      <c r="D21" s="28" t="n"/>
      <c r="E21" s="18" t="n"/>
      <c r="F21" s="16" t="n"/>
      <c r="G21" s="18" t="n"/>
      <c r="H21" s="16" t="n"/>
    </row>
    <row r="22">
      <c r="A22" s="12" t="n"/>
      <c r="B22" s="18" t="n"/>
      <c r="C22" s="16" t="n"/>
      <c r="D22" s="28" t="n"/>
      <c r="E22" s="18" t="n"/>
      <c r="F22" s="16" t="n"/>
      <c r="G22" s="18" t="n"/>
      <c r="H22" s="16" t="n"/>
    </row>
    <row r="23">
      <c r="A23" s="12" t="n"/>
      <c r="B23" s="18" t="n"/>
      <c r="C23" s="16" t="n"/>
      <c r="D23" s="28" t="n"/>
      <c r="E23" s="18" t="n"/>
      <c r="F23" s="16" t="n"/>
      <c r="G23" s="18" t="n"/>
      <c r="H23" s="16" t="n"/>
    </row>
    <row r="24">
      <c r="A24" s="12" t="n"/>
      <c r="B24" s="18" t="n"/>
      <c r="C24" s="16" t="n"/>
      <c r="D24" s="28" t="n"/>
      <c r="E24" s="18" t="n"/>
      <c r="F24" s="16" t="n"/>
      <c r="G24" s="18" t="n"/>
      <c r="H24" s="16" t="n"/>
    </row>
    <row r="25">
      <c r="A25" s="12" t="n"/>
      <c r="B25" s="18" t="n"/>
      <c r="C25" s="16" t="n"/>
      <c r="D25" s="28" t="n"/>
      <c r="E25" s="18" t="n"/>
      <c r="F25" s="16" t="n"/>
      <c r="G25" s="18" t="n"/>
      <c r="H25" s="16" t="n"/>
    </row>
    <row r="26">
      <c r="A26" s="12" t="n"/>
      <c r="B26" s="18" t="n"/>
      <c r="C26" s="16" t="n"/>
      <c r="D26" s="28" t="n"/>
      <c r="E26" s="18" t="n"/>
      <c r="F26" s="16" t="n"/>
      <c r="G26" s="18" t="n"/>
      <c r="H26" s="16" t="n"/>
    </row>
    <row r="27">
      <c r="A27" s="12" t="n"/>
      <c r="B27" s="18" t="n"/>
      <c r="C27" s="16" t="n"/>
      <c r="D27" s="28" t="n"/>
      <c r="E27" s="18" t="n"/>
      <c r="F27" s="16" t="n"/>
      <c r="G27" s="18" t="n"/>
      <c r="H27" s="16" t="n"/>
    </row>
    <row r="28">
      <c r="A28" s="12" t="n"/>
      <c r="B28" s="18" t="n"/>
      <c r="C28" s="16" t="n"/>
      <c r="D28" s="28" t="n"/>
      <c r="E28" s="18" t="n"/>
      <c r="F28" s="16" t="n"/>
      <c r="G28" s="18" t="n"/>
      <c r="H28" s="16" t="n"/>
    </row>
    <row r="29">
      <c r="A29" s="12" t="n"/>
      <c r="B29" s="18" t="n"/>
      <c r="C29" s="16" t="n"/>
      <c r="D29" s="28" t="n"/>
      <c r="E29" s="18" t="n"/>
      <c r="F29" s="16" t="n"/>
      <c r="G29" s="18" t="n"/>
      <c r="H29" s="16" t="n"/>
    </row>
    <row r="30">
      <c r="A30" s="12" t="n"/>
      <c r="B30" s="18" t="n"/>
      <c r="C30" s="16" t="n"/>
      <c r="D30" s="28" t="n"/>
      <c r="E30" s="18" t="n"/>
      <c r="F30" s="16" t="n"/>
      <c r="G30" s="18" t="n"/>
      <c r="H30" s="16" t="n"/>
    </row>
    <row r="31">
      <c r="A31" s="12" t="n"/>
      <c r="B31" s="18" t="n"/>
      <c r="C31" s="16" t="n"/>
      <c r="D31" s="28" t="n"/>
      <c r="E31" s="18" t="n"/>
      <c r="F31" s="16" t="n"/>
      <c r="G31" s="18" t="n"/>
      <c r="H31" s="16" t="n"/>
    </row>
    <row r="32">
      <c r="A32" s="12" t="n"/>
      <c r="B32" s="18" t="n"/>
      <c r="C32" s="16" t="n"/>
      <c r="D32" s="28" t="n"/>
      <c r="E32" s="18" t="n"/>
      <c r="F32" s="16" t="n"/>
      <c r="G32" s="18" t="n"/>
      <c r="H32" s="16" t="n"/>
    </row>
    <row r="33">
      <c r="A33" s="12" t="n"/>
      <c r="B33" s="18" t="n"/>
      <c r="C33" s="16" t="n"/>
      <c r="D33" s="28" t="n"/>
      <c r="E33" s="18" t="n"/>
      <c r="F33" s="16" t="n"/>
      <c r="G33" s="18" t="n"/>
      <c r="H33" s="16" t="n"/>
    </row>
    <row r="34">
      <c r="A34" s="12" t="n"/>
      <c r="B34" s="18" t="n"/>
      <c r="C34" s="16" t="n"/>
      <c r="D34" s="28" t="n"/>
      <c r="E34" s="18" t="n"/>
      <c r="F34" s="16" t="n"/>
      <c r="G34" s="18" t="n"/>
      <c r="H34" s="16" t="n"/>
    </row>
    <row r="35">
      <c r="A35" s="12" t="n"/>
      <c r="B35" s="18" t="n"/>
      <c r="C35" s="16" t="n"/>
      <c r="D35" s="28" t="n"/>
      <c r="E35" s="18" t="n"/>
      <c r="F35" s="16" t="n"/>
      <c r="G35" s="18" t="n"/>
      <c r="H35" s="16" t="n"/>
    </row>
    <row r="36">
      <c r="A36" s="12" t="n"/>
      <c r="B36" s="18" t="n"/>
      <c r="C36" s="16" t="n"/>
      <c r="D36" s="28" t="n"/>
      <c r="E36" s="18" t="n"/>
      <c r="F36" s="16" t="n"/>
      <c r="G36" s="18" t="n"/>
      <c r="H36" s="16" t="n"/>
    </row>
    <row r="37">
      <c r="A37" s="12" t="n"/>
      <c r="B37" s="18" t="n"/>
      <c r="C37" s="16" t="n"/>
      <c r="D37" s="28" t="n"/>
      <c r="E37" s="18" t="n"/>
      <c r="F37" s="16" t="n"/>
      <c r="G37" s="18" t="n"/>
      <c r="H37" s="16" t="n"/>
    </row>
    <row r="38">
      <c r="A38" s="12" t="n"/>
      <c r="B38" s="18" t="n"/>
      <c r="C38" s="16" t="n"/>
      <c r="D38" s="28" t="n"/>
      <c r="E38" s="18" t="n"/>
      <c r="F38" s="16" t="n"/>
      <c r="G38" s="18" t="n"/>
      <c r="H38" s="16" t="n"/>
    </row>
    <row r="39">
      <c r="A39" s="12" t="n"/>
      <c r="B39" s="18" t="n"/>
      <c r="C39" s="16" t="n"/>
      <c r="D39" s="28" t="n"/>
      <c r="E39" s="18" t="n"/>
      <c r="F39" s="16" t="n"/>
      <c r="G39" s="18" t="n"/>
      <c r="H39" s="16" t="n"/>
    </row>
    <row r="40">
      <c r="A40" s="12" t="n"/>
      <c r="B40" s="18" t="n"/>
      <c r="C40" s="16" t="n"/>
      <c r="D40" s="28" t="n"/>
      <c r="E40" s="18" t="n"/>
      <c r="F40" s="16" t="n"/>
      <c r="G40" s="18" t="n"/>
      <c r="H40" s="16" t="n"/>
    </row>
    <row r="41">
      <c r="A41" s="12" t="n"/>
      <c r="B41" s="18" t="n"/>
      <c r="C41" s="16" t="n"/>
      <c r="D41" s="28" t="n"/>
      <c r="E41" s="18" t="n"/>
      <c r="F41" s="16" t="n"/>
      <c r="G41" s="18" t="n"/>
      <c r="H41" s="16" t="n"/>
    </row>
    <row r="42">
      <c r="A42" s="12" t="n"/>
      <c r="B42" s="18" t="n"/>
      <c r="C42" s="16" t="n"/>
      <c r="D42" s="28" t="n"/>
      <c r="E42" s="18" t="n"/>
      <c r="F42" s="16" t="n"/>
      <c r="G42" s="18" t="n"/>
      <c r="H42" s="16" t="n"/>
    </row>
    <row r="43">
      <c r="A43" s="12" t="n"/>
      <c r="B43" s="18" t="n"/>
      <c r="C43" s="16" t="n"/>
      <c r="D43" s="28" t="n"/>
      <c r="E43" s="18" t="n"/>
      <c r="F43" s="16" t="n"/>
      <c r="G43" s="18" t="n"/>
      <c r="H43" s="16" t="n"/>
    </row>
    <row r="44">
      <c r="A44" s="12" t="n"/>
      <c r="B44" s="18" t="n"/>
      <c r="C44" s="16" t="n"/>
      <c r="D44" s="28" t="n"/>
      <c r="E44" s="18" t="n"/>
      <c r="F44" s="16" t="n"/>
      <c r="G44" s="18" t="n"/>
      <c r="H44" s="16" t="n"/>
    </row>
    <row r="45">
      <c r="A45" s="12" t="n"/>
      <c r="B45" s="18" t="n"/>
      <c r="C45" s="16" t="n"/>
      <c r="D45" s="28" t="n"/>
      <c r="E45" s="18" t="n"/>
      <c r="F45" s="16" t="n"/>
      <c r="G45" s="18" t="n"/>
      <c r="H45" s="16" t="n"/>
    </row>
    <row r="46">
      <c r="A46" s="12" t="n"/>
      <c r="B46" s="18" t="n"/>
      <c r="C46" s="16" t="n"/>
      <c r="D46" s="28" t="n"/>
      <c r="E46" s="18" t="n"/>
      <c r="F46" s="16" t="n"/>
      <c r="G46" s="18" t="n"/>
      <c r="H46" s="16" t="n"/>
    </row>
    <row r="47">
      <c r="A47" s="12" t="n"/>
      <c r="B47" s="18" t="n"/>
      <c r="C47" s="16" t="n"/>
      <c r="D47" s="28" t="n"/>
      <c r="E47" s="18" t="n"/>
      <c r="F47" s="16" t="n"/>
      <c r="G47" s="18" t="n"/>
      <c r="H47" s="16" t="n"/>
    </row>
    <row r="48">
      <c r="A48" s="12" t="n"/>
      <c r="B48" s="18" t="n"/>
      <c r="C48" s="16" t="n"/>
      <c r="D48" s="28" t="n"/>
      <c r="E48" s="18" t="n"/>
      <c r="F48" s="16" t="n"/>
      <c r="G48" s="18" t="n"/>
      <c r="H48" s="16" t="n"/>
    </row>
    <row r="49">
      <c r="A49" s="12" t="n"/>
      <c r="B49" s="18" t="n"/>
      <c r="C49" s="16" t="n"/>
      <c r="D49" s="28" t="n"/>
      <c r="E49" s="18" t="n"/>
      <c r="F49" s="16" t="n"/>
      <c r="G49" s="18" t="n"/>
      <c r="H49" s="16" t="n"/>
    </row>
    <row r="50">
      <c r="A50" s="12" t="n"/>
      <c r="B50" s="18" t="n"/>
      <c r="C50" s="16" t="n"/>
      <c r="D50" s="28" t="n"/>
      <c r="E50" s="18" t="n"/>
      <c r="F50" s="16" t="n"/>
      <c r="G50" s="18" t="n"/>
      <c r="H50" s="16" t="n"/>
    </row>
    <row r="51">
      <c r="A51" s="12" t="n"/>
      <c r="B51" s="18" t="n"/>
      <c r="C51" s="16" t="n"/>
      <c r="D51" s="28" t="n"/>
      <c r="E51" s="18" t="n"/>
      <c r="F51" s="16" t="n"/>
      <c r="G51" s="18" t="n"/>
      <c r="H51" s="16" t="n"/>
    </row>
    <row r="52">
      <c r="A52" s="12" t="n"/>
      <c r="B52" s="18" t="n"/>
      <c r="C52" s="16" t="n"/>
      <c r="D52" s="28" t="n"/>
      <c r="E52" s="18" t="n"/>
      <c r="F52" s="16" t="n"/>
      <c r="G52" s="18" t="n"/>
      <c r="H52" s="16" t="n"/>
    </row>
    <row r="53">
      <c r="A53" s="12" t="n"/>
      <c r="B53" s="18" t="n"/>
      <c r="C53" s="16" t="n"/>
      <c r="D53" s="28" t="n"/>
      <c r="E53" s="18" t="n"/>
      <c r="F53" s="16" t="n"/>
      <c r="G53" s="18" t="n"/>
      <c r="H53" s="16" t="n"/>
    </row>
    <row r="54">
      <c r="A54" s="12" t="n"/>
      <c r="B54" s="18" t="n"/>
      <c r="C54" s="16" t="n"/>
      <c r="D54" s="28" t="n"/>
      <c r="E54" s="18" t="n"/>
      <c r="F54" s="16" t="n"/>
      <c r="G54" s="18" t="n"/>
      <c r="H54" s="16" t="n"/>
    </row>
    <row r="55">
      <c r="A55" s="12" t="n"/>
      <c r="B55" s="18" t="n"/>
      <c r="C55" s="16" t="n"/>
      <c r="D55" s="28" t="n"/>
      <c r="E55" s="18" t="n"/>
      <c r="F55" s="16" t="n"/>
      <c r="G55" s="18" t="n"/>
      <c r="H55" s="16" t="n"/>
    </row>
    <row r="56">
      <c r="A56" s="12" t="n"/>
      <c r="B56" s="18" t="n"/>
      <c r="C56" s="16" t="n"/>
      <c r="D56" s="28" t="n"/>
      <c r="E56" s="18" t="n"/>
      <c r="F56" s="16" t="n"/>
      <c r="G56" s="18" t="n"/>
      <c r="H56" s="16" t="n"/>
    </row>
    <row r="57">
      <c r="A57" s="12" t="n"/>
      <c r="B57" s="18" t="n"/>
      <c r="C57" s="16" t="n"/>
      <c r="D57" s="28" t="n"/>
      <c r="E57" s="18" t="n"/>
      <c r="F57" s="16" t="n"/>
      <c r="G57" s="18" t="n"/>
      <c r="H57" s="16" t="n"/>
    </row>
    <row r="58">
      <c r="A58" s="12" t="n"/>
      <c r="B58" s="18" t="n"/>
      <c r="C58" s="16" t="n"/>
      <c r="D58" s="28" t="n"/>
      <c r="E58" s="18" t="n"/>
      <c r="F58" s="16" t="n"/>
      <c r="G58" s="18" t="n"/>
      <c r="H58" s="16" t="n"/>
    </row>
    <row r="59">
      <c r="A59" s="12" t="n"/>
      <c r="B59" s="18" t="n"/>
      <c r="C59" s="16" t="n"/>
      <c r="D59" s="28" t="n"/>
      <c r="E59" s="18" t="n"/>
      <c r="F59" s="16" t="n"/>
      <c r="G59" s="18" t="n"/>
      <c r="H59" s="16" t="n"/>
    </row>
    <row r="60">
      <c r="A60" s="12" t="n"/>
      <c r="B60" s="18" t="n"/>
      <c r="C60" s="16" t="n"/>
      <c r="D60" s="28" t="n"/>
      <c r="E60" s="18" t="n"/>
      <c r="F60" s="16" t="n"/>
      <c r="G60" s="18" t="n"/>
      <c r="H60" s="16" t="n"/>
    </row>
    <row r="61">
      <c r="A61" s="12" t="n"/>
      <c r="B61" s="18" t="n"/>
      <c r="C61" s="16" t="n"/>
      <c r="D61" s="28" t="n"/>
      <c r="E61" s="18" t="n"/>
      <c r="F61" s="16" t="n"/>
      <c r="G61" s="18" t="n"/>
      <c r="H61" s="16" t="n"/>
    </row>
    <row r="62">
      <c r="A62" s="12" t="n"/>
      <c r="B62" s="18" t="n"/>
      <c r="C62" s="16" t="n"/>
      <c r="D62" s="28" t="n"/>
      <c r="E62" s="18" t="n"/>
      <c r="F62" s="16" t="n"/>
      <c r="G62" s="18" t="n"/>
      <c r="H62" s="16" t="n"/>
    </row>
    <row r="63">
      <c r="A63" s="12" t="n"/>
      <c r="B63" s="18" t="n"/>
      <c r="C63" s="16" t="n"/>
      <c r="D63" s="28" t="n"/>
      <c r="E63" s="18" t="n"/>
      <c r="F63" s="16" t="n"/>
      <c r="G63" s="18" t="n"/>
      <c r="H63" s="16" t="n"/>
    </row>
    <row r="64">
      <c r="A64" s="12" t="n"/>
      <c r="B64" s="18" t="n"/>
      <c r="C64" s="16" t="n"/>
      <c r="D64" s="28" t="n"/>
      <c r="E64" s="18" t="n"/>
      <c r="F64" s="16" t="n"/>
      <c r="G64" s="18" t="n"/>
      <c r="H64" s="16" t="n"/>
    </row>
    <row r="65">
      <c r="A65" s="12" t="n"/>
      <c r="B65" s="18" t="n"/>
      <c r="C65" s="16" t="n"/>
      <c r="D65" s="28" t="n"/>
      <c r="E65" s="18" t="n"/>
      <c r="F65" s="16" t="n"/>
      <c r="G65" s="18" t="n"/>
      <c r="H65" s="16" t="n"/>
    </row>
    <row r="66">
      <c r="A66" s="12" t="n"/>
      <c r="B66" s="18" t="n"/>
      <c r="C66" s="16" t="n"/>
      <c r="D66" s="28" t="n"/>
      <c r="E66" s="18" t="n"/>
      <c r="F66" s="16" t="n"/>
      <c r="G66" s="18" t="n"/>
      <c r="H66" s="16" t="n"/>
    </row>
    <row r="67">
      <c r="A67" s="12" t="n"/>
      <c r="B67" s="18" t="n"/>
      <c r="C67" s="16" t="n"/>
      <c r="D67" s="28" t="n"/>
      <c r="E67" s="18" t="n"/>
      <c r="F67" s="16" t="n"/>
      <c r="G67" s="18" t="n"/>
      <c r="H67" s="16" t="n"/>
    </row>
    <row r="68">
      <c r="A68" s="12" t="n"/>
      <c r="B68" s="18" t="n"/>
      <c r="C68" s="16" t="n"/>
      <c r="D68" s="28" t="n"/>
      <c r="E68" s="18" t="n"/>
      <c r="F68" s="16" t="n"/>
      <c r="G68" s="18" t="n"/>
      <c r="H68" s="16" t="n"/>
    </row>
    <row r="69">
      <c r="A69" s="12" t="n"/>
      <c r="B69" s="18" t="n"/>
      <c r="C69" s="16" t="n"/>
      <c r="D69" s="28" t="n"/>
      <c r="E69" s="18" t="n"/>
      <c r="F69" s="16" t="n"/>
      <c r="G69" s="18" t="n"/>
      <c r="H69" s="16" t="n"/>
    </row>
    <row r="70">
      <c r="A70" s="12" t="n"/>
      <c r="B70" s="18" t="n"/>
      <c r="C70" s="16" t="n"/>
      <c r="D70" s="28" t="n"/>
      <c r="E70" s="18" t="n"/>
      <c r="F70" s="16" t="n"/>
      <c r="G70" s="18" t="n"/>
      <c r="H70" s="16" t="n"/>
    </row>
    <row r="71">
      <c r="A71" s="12" t="n"/>
      <c r="B71" s="18" t="n"/>
      <c r="C71" s="16" t="n"/>
      <c r="D71" s="28" t="n"/>
      <c r="E71" s="18" t="n"/>
      <c r="F71" s="16" t="n"/>
      <c r="G71" s="18" t="n"/>
      <c r="H71" s="16" t="n"/>
    </row>
    <row r="72">
      <c r="A72" s="12" t="n"/>
      <c r="B72" s="18" t="n"/>
      <c r="C72" s="16" t="n"/>
      <c r="D72" s="28" t="n"/>
      <c r="E72" s="18" t="n"/>
      <c r="F72" s="16" t="n"/>
      <c r="G72" s="18" t="n"/>
      <c r="H72" s="16" t="n"/>
    </row>
    <row r="73">
      <c r="A73" s="12" t="n"/>
      <c r="B73" s="18" t="n"/>
      <c r="C73" s="16" t="n"/>
      <c r="D73" s="28" t="n"/>
      <c r="E73" s="18" t="n"/>
      <c r="F73" s="16" t="n"/>
      <c r="G73" s="18" t="n"/>
      <c r="H73" s="16" t="n"/>
    </row>
    <row r="74">
      <c r="A74" s="12" t="n"/>
      <c r="B74" s="18" t="n"/>
      <c r="C74" s="16" t="n"/>
      <c r="D74" s="28" t="n"/>
      <c r="E74" s="18" t="n"/>
      <c r="F74" s="16" t="n"/>
      <c r="G74" s="18" t="n"/>
      <c r="H74" s="16" t="n"/>
    </row>
    <row r="75">
      <c r="A75" s="12" t="n"/>
      <c r="B75" s="18" t="n"/>
      <c r="C75" s="16" t="n"/>
      <c r="D75" s="28" t="n"/>
      <c r="E75" s="18" t="n"/>
      <c r="F75" s="16" t="n"/>
      <c r="G75" s="18" t="n"/>
      <c r="H75" s="16" t="n"/>
    </row>
    <row r="76">
      <c r="A76" s="12" t="n"/>
      <c r="B76" s="18" t="n"/>
      <c r="C76" s="16" t="n"/>
      <c r="D76" s="28" t="n"/>
      <c r="E76" s="18" t="n"/>
      <c r="F76" s="16" t="n"/>
      <c r="G76" s="18" t="n"/>
      <c r="H76" s="16" t="n"/>
    </row>
    <row r="77">
      <c r="A77" s="12" t="n"/>
      <c r="B77" s="18" t="n"/>
      <c r="C77" s="16" t="n"/>
      <c r="D77" s="28" t="n"/>
      <c r="E77" s="18" t="n"/>
      <c r="F77" s="16" t="n"/>
      <c r="G77" s="18" t="n"/>
      <c r="H77" s="16" t="n"/>
    </row>
    <row r="78">
      <c r="A78" s="12" t="n"/>
      <c r="B78" s="18" t="n"/>
      <c r="C78" s="16" t="n"/>
      <c r="D78" s="28" t="n"/>
      <c r="E78" s="18" t="n"/>
      <c r="F78" s="16" t="n"/>
      <c r="G78" s="18" t="n"/>
      <c r="H78" s="16" t="n"/>
    </row>
    <row r="79">
      <c r="A79" s="12" t="n"/>
      <c r="B79" s="18" t="n"/>
      <c r="C79" s="16" t="n"/>
      <c r="D79" s="28" t="n"/>
      <c r="E79" s="18" t="n"/>
      <c r="F79" s="16" t="n"/>
      <c r="G79" s="18" t="n"/>
      <c r="H79" s="16" t="n"/>
    </row>
    <row r="80">
      <c r="A80" s="12" t="n"/>
      <c r="B80" s="18" t="n"/>
      <c r="C80" s="16" t="n"/>
      <c r="D80" s="28" t="n"/>
      <c r="E80" s="18" t="n"/>
      <c r="F80" s="16" t="n"/>
      <c r="G80" s="18" t="n"/>
      <c r="H80" s="16" t="n"/>
    </row>
    <row r="81">
      <c r="A81" s="12" t="n"/>
      <c r="B81" s="18" t="n"/>
      <c r="C81" s="16" t="n"/>
      <c r="D81" s="28" t="n"/>
      <c r="E81" s="18" t="n"/>
      <c r="F81" s="16" t="n"/>
      <c r="G81" s="18" t="n"/>
      <c r="H81" s="16" t="n"/>
    </row>
    <row r="82">
      <c r="A82" s="12" t="n"/>
      <c r="B82" s="18" t="n"/>
      <c r="C82" s="16" t="n"/>
      <c r="D82" s="28" t="n"/>
      <c r="E82" s="18" t="n"/>
      <c r="F82" s="16" t="n"/>
      <c r="G82" s="18" t="n"/>
      <c r="H82" s="16" t="n"/>
    </row>
    <row r="83">
      <c r="A83" s="12" t="n"/>
      <c r="B83" s="18" t="n"/>
      <c r="C83" s="16" t="n"/>
      <c r="D83" s="28" t="n"/>
      <c r="E83" s="18" t="n"/>
      <c r="F83" s="16" t="n"/>
      <c r="G83" s="18" t="n"/>
      <c r="H83" s="16" t="n"/>
    </row>
    <row r="84">
      <c r="A84" s="12" t="n"/>
      <c r="B84" s="18" t="n"/>
      <c r="C84" s="16" t="n"/>
      <c r="D84" s="28" t="n"/>
      <c r="E84" s="18" t="n"/>
      <c r="F84" s="16" t="n"/>
      <c r="G84" s="18" t="n"/>
      <c r="H84" s="16" t="n"/>
    </row>
    <row r="85">
      <c r="A85" s="12" t="n"/>
      <c r="B85" s="18" t="n"/>
      <c r="C85" s="16" t="n"/>
      <c r="D85" s="28" t="n"/>
      <c r="E85" s="18" t="n"/>
      <c r="F85" s="16" t="n"/>
      <c r="G85" s="18" t="n"/>
      <c r="H85" s="16" t="n"/>
    </row>
    <row r="86">
      <c r="A86" s="12" t="n"/>
      <c r="B86" s="18" t="n"/>
      <c r="C86" s="16" t="n"/>
      <c r="D86" s="28" t="n"/>
      <c r="E86" s="18" t="n"/>
      <c r="F86" s="16" t="n"/>
      <c r="G86" s="18" t="n"/>
      <c r="H86" s="16" t="n"/>
    </row>
    <row r="87">
      <c r="A87" s="12" t="n"/>
      <c r="B87" s="18" t="n"/>
      <c r="C87" s="16" t="n"/>
      <c r="D87" s="28" t="n"/>
      <c r="E87" s="18" t="n"/>
      <c r="F87" s="16" t="n"/>
      <c r="G87" s="18" t="n"/>
      <c r="H87" s="16" t="n"/>
    </row>
    <row r="88">
      <c r="A88" s="12" t="n"/>
      <c r="B88" s="18" t="n"/>
      <c r="C88" s="16" t="n"/>
      <c r="D88" s="28" t="n"/>
      <c r="E88" s="18" t="n"/>
      <c r="F88" s="16" t="n"/>
      <c r="G88" s="18" t="n"/>
      <c r="H88" s="16" t="n"/>
    </row>
    <row r="89">
      <c r="A89" s="12" t="n"/>
      <c r="B89" s="18" t="n"/>
      <c r="C89" s="16" t="n"/>
      <c r="D89" s="28" t="n"/>
      <c r="E89" s="18" t="n"/>
      <c r="F89" s="16" t="n"/>
      <c r="G89" s="18" t="n"/>
      <c r="H89" s="16" t="n"/>
    </row>
    <row r="90">
      <c r="A90" s="12" t="n"/>
      <c r="B90" s="18" t="n"/>
      <c r="C90" s="16" t="n"/>
      <c r="D90" s="28" t="n"/>
      <c r="E90" s="18" t="n"/>
      <c r="F90" s="16" t="n"/>
      <c r="G90" s="18" t="n"/>
      <c r="H90" s="16" t="n"/>
    </row>
    <row r="91">
      <c r="A91" s="12" t="n"/>
      <c r="B91" s="18" t="n"/>
      <c r="C91" s="16" t="n"/>
      <c r="D91" s="28" t="n"/>
      <c r="E91" s="18" t="n"/>
      <c r="F91" s="16" t="n"/>
      <c r="G91" s="18" t="n"/>
      <c r="H91" s="16" t="n"/>
    </row>
    <row r="92">
      <c r="A92" s="12" t="n"/>
      <c r="B92" s="18" t="n"/>
      <c r="C92" s="16" t="n"/>
      <c r="D92" s="28" t="n"/>
      <c r="E92" s="18" t="n"/>
      <c r="F92" s="16" t="n"/>
      <c r="G92" s="18" t="n"/>
      <c r="H92" s="16" t="n"/>
    </row>
    <row r="93">
      <c r="A93" s="12" t="n"/>
      <c r="B93" s="18" t="n"/>
      <c r="C93" s="16" t="n"/>
      <c r="D93" s="28" t="n"/>
      <c r="E93" s="18" t="n"/>
      <c r="F93" s="16" t="n"/>
      <c r="G93" s="18" t="n"/>
      <c r="H93" s="16" t="n"/>
    </row>
    <row r="94">
      <c r="A94" s="12" t="n"/>
      <c r="B94" s="18" t="n"/>
      <c r="C94" s="16" t="n"/>
      <c r="D94" s="28" t="n"/>
      <c r="E94" s="18" t="n"/>
      <c r="F94" s="16" t="n"/>
      <c r="G94" s="18" t="n"/>
      <c r="H94" s="16" t="n"/>
    </row>
    <row r="95">
      <c r="A95" s="12" t="n"/>
      <c r="B95" s="18" t="n"/>
      <c r="C95" s="16" t="n"/>
      <c r="D95" s="28" t="n"/>
      <c r="E95" s="18" t="n"/>
      <c r="F95" s="16" t="n"/>
      <c r="G95" s="18" t="n"/>
      <c r="H95" s="16" t="n"/>
    </row>
    <row r="96">
      <c r="A96" s="12" t="n"/>
      <c r="B96" s="18" t="n"/>
      <c r="C96" s="16" t="n"/>
      <c r="D96" s="28" t="n"/>
      <c r="E96" s="18" t="n"/>
      <c r="F96" s="16" t="n"/>
      <c r="G96" s="18" t="n"/>
      <c r="H96" s="16" t="n"/>
    </row>
    <row r="97">
      <c r="A97" s="12" t="n"/>
      <c r="B97" s="18" t="n"/>
      <c r="C97" s="16" t="n"/>
      <c r="D97" s="28" t="n"/>
      <c r="E97" s="18" t="n"/>
      <c r="F97" s="16" t="n"/>
      <c r="G97" s="18" t="n"/>
      <c r="H97" s="16" t="n"/>
    </row>
    <row r="98">
      <c r="A98" s="12" t="n"/>
      <c r="B98" s="18" t="n"/>
      <c r="C98" s="16" t="n"/>
      <c r="D98" s="28" t="n"/>
      <c r="E98" s="18" t="n"/>
      <c r="F98" s="16" t="n"/>
      <c r="G98" s="18" t="n"/>
      <c r="H98" s="16" t="n"/>
    </row>
    <row r="99">
      <c r="A99" s="12" t="n"/>
      <c r="B99" s="18" t="n"/>
      <c r="C99" s="16" t="n"/>
      <c r="D99" s="28" t="n"/>
      <c r="E99" s="18" t="n"/>
      <c r="F99" s="16" t="n"/>
      <c r="G99" s="18" t="n"/>
      <c r="H99" s="16" t="n"/>
    </row>
    <row r="100">
      <c r="A100" s="12" t="n"/>
      <c r="B100" s="18" t="n"/>
      <c r="C100" s="16" t="n"/>
      <c r="D100" s="28" t="n"/>
      <c r="E100" s="18" t="n"/>
      <c r="F100" s="16" t="n"/>
      <c r="G100" s="18" t="n"/>
      <c r="H100" s="16" t="n"/>
    </row>
    <row r="101">
      <c r="A101" s="12" t="n"/>
      <c r="B101" s="18" t="n"/>
      <c r="C101" s="16" t="n"/>
      <c r="D101" s="28" t="n"/>
      <c r="E101" s="18" t="n"/>
      <c r="F101" s="16" t="n"/>
      <c r="G101" s="18" t="n"/>
      <c r="H101" s="16" t="n"/>
    </row>
    <row r="102">
      <c r="A102" s="12" t="n"/>
      <c r="B102" s="18" t="n"/>
      <c r="C102" s="16" t="n"/>
      <c r="D102" s="28" t="n"/>
      <c r="E102" s="18" t="n"/>
      <c r="F102" s="16" t="n"/>
      <c r="G102" s="18" t="n"/>
      <c r="H102" s="16" t="n"/>
    </row>
    <row r="103">
      <c r="A103" s="12" t="n"/>
      <c r="B103" s="18" t="n"/>
      <c r="C103" s="16" t="n"/>
      <c r="D103" s="28" t="n"/>
      <c r="E103" s="18" t="n"/>
      <c r="F103" s="16" t="n"/>
      <c r="G103" s="18" t="n"/>
      <c r="H103" s="16" t="n"/>
    </row>
    <row r="104">
      <c r="A104" s="12" t="n"/>
      <c r="B104" s="18" t="n"/>
      <c r="C104" s="16" t="n"/>
      <c r="D104" s="28" t="n"/>
      <c r="E104" s="18" t="n"/>
      <c r="F104" s="16" t="n"/>
      <c r="G104" s="18" t="n"/>
      <c r="H104" s="16" t="n"/>
    </row>
    <row r="105">
      <c r="A105" s="12" t="n"/>
      <c r="B105" s="18" t="n"/>
      <c r="C105" s="16" t="n"/>
      <c r="D105" s="28" t="n"/>
      <c r="E105" s="18" t="n"/>
      <c r="F105" s="16" t="n"/>
      <c r="G105" s="18" t="n"/>
      <c r="H105" s="16" t="n"/>
    </row>
    <row r="106">
      <c r="A106" s="12" t="n"/>
      <c r="B106" s="18" t="n"/>
      <c r="C106" s="16" t="n"/>
      <c r="D106" s="28" t="n"/>
      <c r="E106" s="18" t="n"/>
      <c r="F106" s="16" t="n"/>
      <c r="G106" s="18" t="n"/>
      <c r="H106" s="16" t="n"/>
    </row>
    <row r="107">
      <c r="A107" s="12" t="n"/>
      <c r="B107" s="18" t="n"/>
      <c r="C107" s="16" t="n"/>
      <c r="D107" s="28" t="n"/>
      <c r="E107" s="18" t="n"/>
      <c r="F107" s="16" t="n"/>
      <c r="G107" s="18" t="n"/>
      <c r="H107" s="16" t="n"/>
    </row>
    <row r="108">
      <c r="A108" s="12" t="n"/>
      <c r="B108" s="18" t="n"/>
      <c r="C108" s="16" t="n"/>
      <c r="D108" s="28" t="n"/>
      <c r="E108" s="18" t="n"/>
      <c r="F108" s="16" t="n"/>
      <c r="G108" s="18" t="n"/>
      <c r="H108" s="16" t="n"/>
    </row>
    <row r="109">
      <c r="A109" s="12" t="n"/>
      <c r="B109" s="18" t="n"/>
      <c r="C109" s="16" t="n"/>
      <c r="D109" s="28" t="n"/>
      <c r="E109" s="18" t="n"/>
      <c r="F109" s="16" t="n"/>
      <c r="G109" s="18" t="n"/>
      <c r="H109" s="16" t="n"/>
    </row>
    <row r="110">
      <c r="A110" s="12" t="n"/>
      <c r="B110" s="18" t="n"/>
      <c r="C110" s="16" t="n"/>
      <c r="D110" s="28" t="n"/>
      <c r="E110" s="18" t="n"/>
      <c r="F110" s="16" t="n"/>
      <c r="G110" s="18" t="n"/>
      <c r="H110" s="16" t="n"/>
    </row>
    <row r="111">
      <c r="A111" s="12" t="n"/>
      <c r="B111" s="18" t="n"/>
      <c r="C111" s="16" t="n"/>
      <c r="D111" s="28" t="n"/>
      <c r="E111" s="18" t="n"/>
      <c r="F111" s="16" t="n"/>
      <c r="G111" s="18" t="n"/>
      <c r="H111" s="16" t="n"/>
    </row>
    <row r="112">
      <c r="A112" s="12" t="n"/>
      <c r="B112" s="18" t="n"/>
      <c r="C112" s="16" t="n"/>
      <c r="D112" s="28" t="n"/>
      <c r="E112" s="18" t="n"/>
      <c r="F112" s="16" t="n"/>
      <c r="G112" s="18" t="n"/>
      <c r="H112" s="16" t="n"/>
    </row>
    <row r="113">
      <c r="A113" s="12" t="n"/>
      <c r="B113" s="18" t="n"/>
      <c r="C113" s="16" t="n"/>
      <c r="D113" s="28" t="n"/>
      <c r="E113" s="18" t="n"/>
      <c r="F113" s="16" t="n"/>
      <c r="G113" s="18" t="n"/>
      <c r="H113" s="16" t="n"/>
    </row>
    <row r="114">
      <c r="A114" s="12" t="n"/>
      <c r="B114" s="18" t="n"/>
      <c r="C114" s="16" t="n"/>
      <c r="D114" s="28" t="n"/>
      <c r="E114" s="18" t="n"/>
      <c r="F114" s="16" t="n"/>
      <c r="G114" s="18" t="n"/>
      <c r="H114" s="16" t="n"/>
    </row>
    <row r="115">
      <c r="A115" s="12" t="n"/>
      <c r="B115" s="18" t="n"/>
      <c r="C115" s="16" t="n"/>
      <c r="D115" s="28" t="n"/>
      <c r="E115" s="18" t="n"/>
      <c r="F115" s="16" t="n"/>
      <c r="G115" s="18" t="n"/>
      <c r="H115" s="16" t="n"/>
    </row>
    <row r="116">
      <c r="A116" s="12" t="n"/>
      <c r="B116" s="18" t="n"/>
      <c r="C116" s="16" t="n"/>
      <c r="D116" s="28" t="n"/>
      <c r="E116" s="18" t="n"/>
      <c r="F116" s="16" t="n"/>
      <c r="G116" s="18" t="n"/>
      <c r="H116" s="16" t="n"/>
    </row>
    <row r="117">
      <c r="A117" s="12" t="n"/>
      <c r="B117" s="18" t="n"/>
      <c r="C117" s="16" t="n"/>
      <c r="D117" s="28" t="n"/>
      <c r="E117" s="18" t="n"/>
      <c r="F117" s="16" t="n"/>
      <c r="G117" s="18" t="n"/>
      <c r="H117" s="16" t="n"/>
    </row>
    <row r="118">
      <c r="A118" s="12" t="n"/>
      <c r="B118" s="18" t="n"/>
      <c r="C118" s="16" t="n"/>
      <c r="D118" s="28" t="n"/>
      <c r="E118" s="18" t="n"/>
      <c r="F118" s="16" t="n"/>
      <c r="G118" s="18" t="n"/>
      <c r="H118" s="16" t="n"/>
    </row>
    <row r="119">
      <c r="A119" s="12" t="n"/>
      <c r="B119" s="18" t="n"/>
      <c r="C119" s="16" t="n"/>
      <c r="D119" s="28" t="n"/>
      <c r="E119" s="18" t="n"/>
      <c r="F119" s="16" t="n"/>
      <c r="G119" s="18" t="n"/>
      <c r="H119" s="16" t="n"/>
    </row>
    <row r="120">
      <c r="A120" s="12" t="n"/>
      <c r="B120" s="18" t="n"/>
      <c r="C120" s="16" t="n"/>
      <c r="D120" s="28" t="n"/>
      <c r="E120" s="18" t="n"/>
      <c r="F120" s="16" t="n"/>
      <c r="G120" s="18" t="n"/>
      <c r="H120" s="16" t="n"/>
    </row>
    <row r="121">
      <c r="A121" s="12" t="n"/>
      <c r="B121" s="18" t="n"/>
      <c r="C121" s="16" t="n"/>
      <c r="D121" s="28" t="n"/>
      <c r="E121" s="18" t="n"/>
      <c r="F121" s="16" t="n"/>
      <c r="G121" s="18" t="n"/>
      <c r="H121" s="16" t="n"/>
    </row>
    <row r="122">
      <c r="A122" s="12" t="n"/>
      <c r="B122" s="18" t="n"/>
      <c r="C122" s="16" t="n"/>
      <c r="D122" s="28" t="n"/>
      <c r="E122" s="18" t="n"/>
      <c r="F122" s="16" t="n"/>
      <c r="G122" s="18" t="n"/>
      <c r="H122" s="16" t="n"/>
    </row>
    <row r="123">
      <c r="A123" s="12" t="n"/>
      <c r="B123" s="18" t="n"/>
      <c r="C123" s="16" t="n"/>
      <c r="D123" s="28" t="n"/>
      <c r="E123" s="18" t="n"/>
      <c r="F123" s="16" t="n"/>
      <c r="G123" s="18" t="n"/>
      <c r="H123" s="16" t="n"/>
    </row>
    <row r="124">
      <c r="A124" s="12" t="n"/>
      <c r="B124" s="18" t="n"/>
      <c r="C124" s="16" t="n"/>
      <c r="D124" s="28" t="n"/>
      <c r="E124" s="18" t="n"/>
      <c r="F124" s="16" t="n"/>
      <c r="G124" s="18" t="n"/>
      <c r="H124" s="16" t="n"/>
    </row>
    <row r="125">
      <c r="A125" s="12" t="n"/>
      <c r="B125" s="18" t="n"/>
      <c r="C125" s="16" t="n"/>
      <c r="D125" s="28" t="n"/>
      <c r="E125" s="18" t="n"/>
      <c r="F125" s="16" t="n"/>
      <c r="G125" s="18" t="n"/>
      <c r="H125" s="16" t="n"/>
    </row>
    <row r="126">
      <c r="A126" s="12" t="n"/>
      <c r="B126" s="18" t="n"/>
      <c r="C126" s="16" t="n"/>
      <c r="D126" s="28" t="n"/>
      <c r="E126" s="18" t="n"/>
      <c r="F126" s="16" t="n"/>
      <c r="G126" s="18" t="n"/>
      <c r="H126" s="16" t="n"/>
    </row>
    <row r="127">
      <c r="A127" s="12" t="n"/>
      <c r="B127" s="18" t="n"/>
      <c r="C127" s="16" t="n"/>
      <c r="D127" s="28" t="n"/>
      <c r="E127" s="18" t="n"/>
      <c r="F127" s="16" t="n"/>
      <c r="G127" s="18" t="n"/>
      <c r="H127" s="16" t="n"/>
    </row>
    <row r="128">
      <c r="A128" s="12" t="n"/>
      <c r="B128" s="18" t="n"/>
      <c r="C128" s="16" t="n"/>
      <c r="D128" s="28" t="n"/>
      <c r="E128" s="18" t="n"/>
      <c r="F128" s="16" t="n"/>
      <c r="G128" s="18" t="n"/>
      <c r="H128" s="16" t="n"/>
    </row>
    <row r="129">
      <c r="A129" s="12" t="n"/>
      <c r="B129" s="18" t="n"/>
      <c r="C129" s="16" t="n"/>
      <c r="D129" s="28" t="n"/>
      <c r="E129" s="18" t="n"/>
      <c r="F129" s="16" t="n"/>
      <c r="G129" s="18" t="n"/>
      <c r="H129" s="16" t="n"/>
    </row>
    <row r="130">
      <c r="A130" s="12" t="n"/>
      <c r="B130" s="18" t="n"/>
      <c r="C130" s="16" t="n"/>
      <c r="D130" s="28" t="n"/>
      <c r="E130" s="18" t="n"/>
      <c r="F130" s="16" t="n"/>
      <c r="G130" s="18" t="n"/>
      <c r="H130" s="16" t="n"/>
    </row>
    <row r="131">
      <c r="A131" s="12" t="n"/>
      <c r="B131" s="18" t="n"/>
      <c r="C131" s="16" t="n"/>
      <c r="D131" s="28" t="n"/>
      <c r="E131" s="18" t="n"/>
      <c r="F131" s="16" t="n"/>
      <c r="G131" s="18" t="n"/>
      <c r="H131" s="16" t="n"/>
    </row>
    <row r="132">
      <c r="A132" s="12" t="n"/>
      <c r="B132" s="18" t="n"/>
      <c r="C132" s="16" t="n"/>
      <c r="D132" s="28" t="n"/>
      <c r="E132" s="18" t="n"/>
      <c r="F132" s="16" t="n"/>
      <c r="G132" s="18" t="n"/>
      <c r="H132" s="16" t="n"/>
    </row>
    <row r="133">
      <c r="A133" s="12" t="n"/>
      <c r="B133" s="18" t="n"/>
      <c r="C133" s="16" t="n"/>
      <c r="D133" s="28" t="n"/>
      <c r="E133" s="18" t="n"/>
      <c r="F133" s="16" t="n"/>
      <c r="G133" s="18" t="n"/>
      <c r="H133" s="16" t="n"/>
    </row>
    <row r="134">
      <c r="A134" s="12" t="n"/>
      <c r="B134" s="18" t="n"/>
      <c r="C134" s="16" t="n"/>
      <c r="D134" s="28" t="n"/>
      <c r="E134" s="18" t="n"/>
      <c r="F134" s="16" t="n"/>
      <c r="G134" s="18" t="n"/>
      <c r="H134" s="16" t="n"/>
    </row>
    <row r="135">
      <c r="A135" s="12" t="n"/>
      <c r="B135" s="18" t="n"/>
      <c r="C135" s="16" t="n"/>
      <c r="D135" s="28" t="n"/>
      <c r="E135" s="18" t="n"/>
      <c r="F135" s="16" t="n"/>
      <c r="G135" s="18" t="n"/>
      <c r="H135" s="16" t="n"/>
    </row>
    <row r="136">
      <c r="A136" s="12" t="n"/>
      <c r="B136" s="18" t="n"/>
      <c r="C136" s="16" t="n"/>
      <c r="D136" s="28" t="n"/>
      <c r="E136" s="18" t="n"/>
      <c r="F136" s="16" t="n"/>
      <c r="G136" s="18" t="n"/>
      <c r="H136" s="16" t="n"/>
    </row>
    <row r="137">
      <c r="A137" s="12" t="n"/>
      <c r="B137" s="18" t="n"/>
      <c r="C137" s="16" t="n"/>
      <c r="D137" s="28" t="n"/>
      <c r="E137" s="18" t="n"/>
      <c r="F137" s="16" t="n"/>
      <c r="G137" s="18" t="n"/>
      <c r="H137" s="16" t="n"/>
    </row>
    <row r="138">
      <c r="A138" s="12" t="n"/>
      <c r="B138" s="18" t="n"/>
      <c r="C138" s="16" t="n"/>
      <c r="D138" s="28" t="n"/>
      <c r="E138" s="18" t="n"/>
      <c r="F138" s="16" t="n"/>
      <c r="G138" s="18" t="n"/>
      <c r="H138" s="16" t="n"/>
    </row>
    <row r="139">
      <c r="A139" s="12" t="n"/>
      <c r="B139" s="18" t="n"/>
      <c r="C139" s="16" t="n"/>
      <c r="D139" s="28" t="n"/>
      <c r="E139" s="18" t="n"/>
      <c r="F139" s="16" t="n"/>
      <c r="G139" s="18" t="n"/>
      <c r="H139" s="16" t="n"/>
    </row>
    <row r="140">
      <c r="A140" s="12" t="n"/>
      <c r="B140" s="18" t="n"/>
      <c r="C140" s="16" t="n"/>
      <c r="D140" s="28" t="n"/>
      <c r="E140" s="18" t="n"/>
      <c r="F140" s="16" t="n"/>
      <c r="G140" s="18" t="n"/>
      <c r="H140" s="16" t="n"/>
    </row>
    <row r="141">
      <c r="A141" s="12" t="n"/>
      <c r="B141" s="18" t="n"/>
      <c r="C141" s="16" t="n"/>
      <c r="D141" s="28" t="n"/>
      <c r="E141" s="18" t="n"/>
      <c r="F141" s="16" t="n"/>
      <c r="G141" s="18" t="n"/>
      <c r="H141" s="16" t="n"/>
    </row>
    <row r="142">
      <c r="A142" s="12" t="n"/>
      <c r="B142" s="18" t="n"/>
      <c r="C142" s="16" t="n"/>
      <c r="D142" s="28" t="n"/>
      <c r="E142" s="18" t="n"/>
      <c r="F142" s="16" t="n"/>
      <c r="G142" s="18" t="n"/>
      <c r="H142" s="16" t="n"/>
    </row>
    <row r="143">
      <c r="A143" s="12" t="n"/>
      <c r="B143" s="18" t="n"/>
      <c r="C143" s="16" t="n"/>
      <c r="D143" s="28" t="n"/>
      <c r="E143" s="18" t="n"/>
      <c r="F143" s="16" t="n"/>
      <c r="G143" s="18" t="n"/>
      <c r="H143" s="16" t="n"/>
    </row>
    <row r="144">
      <c r="A144" s="12" t="n"/>
      <c r="B144" s="18" t="n"/>
      <c r="C144" s="16" t="n"/>
      <c r="D144" s="28" t="n"/>
      <c r="E144" s="18" t="n"/>
      <c r="F144" s="16" t="n"/>
      <c r="G144" s="18" t="n"/>
      <c r="H144" s="16" t="n"/>
    </row>
    <row r="145">
      <c r="A145" s="12" t="n"/>
      <c r="B145" s="18" t="n"/>
      <c r="C145" s="16" t="n"/>
      <c r="D145" s="28" t="n"/>
      <c r="E145" s="18" t="n"/>
      <c r="F145" s="16" t="n"/>
      <c r="G145" s="18" t="n"/>
      <c r="H145" s="16" t="n"/>
    </row>
    <row r="146">
      <c r="A146" s="12" t="n"/>
      <c r="B146" s="18" t="n"/>
      <c r="C146" s="16" t="n"/>
      <c r="D146" s="28" t="n"/>
      <c r="E146" s="18" t="n"/>
      <c r="F146" s="16" t="n"/>
      <c r="G146" s="18" t="n"/>
      <c r="H146" s="16" t="n"/>
    </row>
    <row r="147">
      <c r="A147" s="12" t="n"/>
      <c r="B147" s="18" t="n"/>
      <c r="C147" s="16" t="n"/>
      <c r="D147" s="28" t="n"/>
      <c r="E147" s="18" t="n"/>
      <c r="F147" s="16" t="n"/>
      <c r="G147" s="18" t="n"/>
      <c r="H147" s="16" t="n"/>
    </row>
    <row r="148">
      <c r="A148" s="12" t="n"/>
      <c r="B148" s="18" t="n"/>
      <c r="C148" s="16" t="n"/>
      <c r="D148" s="28" t="n"/>
      <c r="E148" s="18" t="n"/>
      <c r="F148" s="16" t="n"/>
      <c r="G148" s="18" t="n"/>
      <c r="H148" s="16" t="n"/>
    </row>
    <row r="149">
      <c r="A149" s="12" t="n"/>
      <c r="B149" s="18" t="n"/>
      <c r="C149" s="16" t="n"/>
      <c r="D149" s="28" t="n"/>
      <c r="E149" s="18" t="n"/>
      <c r="F149" s="16" t="n"/>
      <c r="G149" s="18" t="n"/>
      <c r="H149" s="16" t="n"/>
    </row>
    <row r="150">
      <c r="A150" s="12" t="n"/>
      <c r="B150" s="18" t="n"/>
      <c r="C150" s="16" t="n"/>
      <c r="D150" s="28" t="n"/>
      <c r="E150" s="18" t="n"/>
      <c r="F150" s="16" t="n"/>
      <c r="G150" s="18" t="n"/>
      <c r="H150" s="16" t="n"/>
    </row>
    <row r="151">
      <c r="A151" s="12" t="n"/>
      <c r="B151" s="18" t="n"/>
      <c r="C151" s="16" t="n"/>
      <c r="D151" s="28" t="n"/>
      <c r="E151" s="18" t="n"/>
      <c r="F151" s="16" t="n"/>
      <c r="G151" s="18" t="n"/>
      <c r="H151" s="16" t="n"/>
    </row>
    <row r="152">
      <c r="A152" s="12" t="n"/>
      <c r="B152" s="18" t="n"/>
      <c r="C152" s="16" t="n"/>
      <c r="D152" s="28" t="n"/>
      <c r="E152" s="18" t="n"/>
      <c r="F152" s="16" t="n"/>
      <c r="G152" s="18" t="n"/>
      <c r="H152" s="16" t="n"/>
    </row>
    <row r="153">
      <c r="A153" s="12" t="n"/>
      <c r="B153" s="18" t="n"/>
      <c r="C153" s="16" t="n"/>
      <c r="D153" s="28" t="n"/>
      <c r="E153" s="18" t="n"/>
      <c r="F153" s="16" t="n"/>
      <c r="G153" s="18" t="n"/>
      <c r="H153" s="16" t="n"/>
    </row>
    <row r="154">
      <c r="A154" s="12" t="n"/>
      <c r="B154" s="18" t="n"/>
      <c r="C154" s="16" t="n"/>
      <c r="D154" s="28" t="n"/>
      <c r="E154" s="18" t="n"/>
      <c r="F154" s="16" t="n"/>
      <c r="G154" s="18" t="n"/>
      <c r="H154" s="16" t="n"/>
    </row>
    <row r="155">
      <c r="A155" s="12" t="n"/>
      <c r="B155" s="18" t="n"/>
      <c r="C155" s="16" t="n"/>
      <c r="D155" s="28" t="n"/>
      <c r="E155" s="18" t="n"/>
      <c r="F155" s="16" t="n"/>
      <c r="G155" s="18" t="n"/>
      <c r="H155" s="16" t="n"/>
    </row>
    <row r="156">
      <c r="A156" s="12" t="n"/>
      <c r="B156" s="18" t="n"/>
      <c r="C156" s="16" t="n"/>
      <c r="D156" s="28" t="n"/>
      <c r="E156" s="18" t="n"/>
      <c r="F156" s="16" t="n"/>
      <c r="G156" s="18" t="n"/>
      <c r="H156" s="16" t="n"/>
    </row>
    <row r="157">
      <c r="A157" s="12" t="n"/>
      <c r="B157" s="18" t="n"/>
      <c r="C157" s="16" t="n"/>
      <c r="D157" s="28" t="n"/>
      <c r="E157" s="18" t="n"/>
      <c r="F157" s="16" t="n"/>
      <c r="G157" s="18" t="n"/>
      <c r="H157" s="16" t="n"/>
    </row>
    <row r="158">
      <c r="A158" s="12" t="n"/>
      <c r="B158" s="18" t="n"/>
      <c r="C158" s="16" t="n"/>
      <c r="D158" s="28" t="n"/>
      <c r="E158" s="18" t="n"/>
      <c r="F158" s="16" t="n"/>
      <c r="G158" s="18" t="n"/>
      <c r="H158" s="16" t="n"/>
    </row>
    <row r="159">
      <c r="A159" s="12" t="n"/>
      <c r="B159" s="18" t="n"/>
      <c r="C159" s="16" t="n"/>
      <c r="D159" s="28" t="n"/>
      <c r="E159" s="18" t="n"/>
      <c r="F159" s="16" t="n"/>
      <c r="G159" s="18" t="n"/>
      <c r="H159" s="16" t="n"/>
    </row>
    <row r="160">
      <c r="A160" s="12" t="n"/>
      <c r="B160" s="18" t="n"/>
      <c r="C160" s="16" t="n"/>
      <c r="D160" s="28" t="n"/>
      <c r="E160" s="18" t="n"/>
      <c r="F160" s="16" t="n"/>
      <c r="G160" s="18" t="n"/>
      <c r="H160" s="16" t="n"/>
    </row>
    <row r="161">
      <c r="A161" s="12" t="n"/>
      <c r="B161" s="18" t="n"/>
      <c r="C161" s="16" t="n"/>
      <c r="D161" s="28" t="n"/>
      <c r="E161" s="18" t="n"/>
      <c r="F161" s="16" t="n"/>
      <c r="G161" s="18" t="n"/>
      <c r="H161" s="16" t="n"/>
    </row>
    <row r="162">
      <c r="A162" s="12" t="n"/>
      <c r="B162" s="18" t="n"/>
      <c r="C162" s="16" t="n"/>
      <c r="D162" s="28" t="n"/>
      <c r="E162" s="18" t="n"/>
      <c r="F162" s="16" t="n"/>
      <c r="G162" s="18" t="n"/>
      <c r="H162" s="16" t="n"/>
    </row>
    <row r="163">
      <c r="A163" s="12" t="n"/>
      <c r="B163" s="18" t="n"/>
      <c r="C163" s="16" t="n"/>
      <c r="D163" s="28" t="n"/>
      <c r="E163" s="18" t="n"/>
      <c r="F163" s="16" t="n"/>
      <c r="G163" s="18" t="n"/>
      <c r="H163" s="16" t="n"/>
    </row>
    <row r="164">
      <c r="A164" s="12" t="n"/>
      <c r="B164" s="18" t="n"/>
      <c r="C164" s="16" t="n"/>
      <c r="D164" s="28" t="n"/>
      <c r="E164" s="18" t="n"/>
      <c r="F164" s="16" t="n"/>
      <c r="G164" s="18" t="n"/>
      <c r="H164" s="16" t="n"/>
    </row>
    <row r="165">
      <c r="A165" s="12" t="n"/>
      <c r="B165" s="18" t="n"/>
      <c r="C165" s="16" t="n"/>
      <c r="D165" s="28" t="n"/>
      <c r="E165" s="18" t="n"/>
      <c r="F165" s="16" t="n"/>
      <c r="G165" s="18" t="n"/>
      <c r="H165" s="16" t="n"/>
    </row>
    <row r="166">
      <c r="A166" s="12" t="n"/>
      <c r="B166" s="18" t="n"/>
      <c r="C166" s="16" t="n"/>
      <c r="D166" s="28" t="n"/>
      <c r="E166" s="18" t="n"/>
      <c r="F166" s="16" t="n"/>
      <c r="G166" s="18" t="n"/>
      <c r="H166" s="16" t="n"/>
    </row>
    <row r="167">
      <c r="A167" s="12" t="n"/>
      <c r="B167" s="18" t="n"/>
      <c r="C167" s="16" t="n"/>
      <c r="D167" s="28" t="n"/>
      <c r="E167" s="18" t="n"/>
      <c r="F167" s="16" t="n"/>
      <c r="G167" s="18" t="n"/>
      <c r="H167" s="16" t="n"/>
    </row>
    <row r="168">
      <c r="A168" s="12" t="n"/>
      <c r="B168" s="18" t="n"/>
      <c r="C168" s="16" t="n"/>
      <c r="D168" s="28" t="n"/>
      <c r="E168" s="18" t="n"/>
      <c r="F168" s="16" t="n"/>
      <c r="G168" s="18" t="n"/>
      <c r="H168" s="16" t="n"/>
    </row>
    <row r="169">
      <c r="A169" s="12" t="n"/>
      <c r="B169" s="18" t="n"/>
      <c r="C169" s="16" t="n"/>
      <c r="D169" s="28" t="n"/>
      <c r="E169" s="18" t="n"/>
      <c r="F169" s="16" t="n"/>
      <c r="G169" s="18" t="n"/>
      <c r="H169" s="16" t="n"/>
    </row>
    <row r="170">
      <c r="A170" s="12" t="n"/>
      <c r="B170" s="18" t="n"/>
      <c r="C170" s="16" t="n"/>
      <c r="D170" s="28" t="n"/>
      <c r="E170" s="18" t="n"/>
      <c r="F170" s="16" t="n"/>
      <c r="G170" s="18" t="n"/>
      <c r="H170" s="16" t="n"/>
    </row>
    <row r="171">
      <c r="A171" s="12" t="n"/>
      <c r="B171" s="18" t="n"/>
      <c r="C171" s="16" t="n"/>
      <c r="D171" s="28" t="n"/>
      <c r="E171" s="18" t="n"/>
      <c r="F171" s="16" t="n"/>
      <c r="G171" s="18" t="n"/>
      <c r="H171" s="16" t="n"/>
    </row>
    <row r="172">
      <c r="A172" s="12" t="n"/>
      <c r="B172" s="18" t="n"/>
      <c r="C172" s="16" t="n"/>
      <c r="D172" s="28" t="n"/>
      <c r="E172" s="18" t="n"/>
      <c r="F172" s="16" t="n"/>
      <c r="G172" s="18" t="n"/>
      <c r="H172" s="16" t="n"/>
    </row>
    <row r="173">
      <c r="A173" s="12" t="n"/>
      <c r="B173" s="18" t="n"/>
      <c r="C173" s="16" t="n"/>
      <c r="D173" s="28" t="n"/>
      <c r="E173" s="18" t="n"/>
      <c r="F173" s="16" t="n"/>
      <c r="G173" s="18" t="n"/>
      <c r="H173" s="16" t="n"/>
    </row>
    <row r="174">
      <c r="A174" s="12" t="n"/>
      <c r="B174" s="18" t="n"/>
      <c r="C174" s="16" t="n"/>
      <c r="D174" s="28" t="n"/>
      <c r="E174" s="18" t="n"/>
      <c r="F174" s="16" t="n"/>
      <c r="G174" s="18" t="n"/>
      <c r="H174" s="16" t="n"/>
    </row>
    <row r="175">
      <c r="A175" s="12" t="n"/>
      <c r="B175" s="18" t="n"/>
      <c r="C175" s="16" t="n"/>
      <c r="D175" s="28" t="n"/>
      <c r="E175" s="18" t="n"/>
      <c r="F175" s="16" t="n"/>
      <c r="G175" s="18" t="n"/>
      <c r="H175" s="16" t="n"/>
    </row>
    <row r="176">
      <c r="A176" s="12" t="n"/>
      <c r="B176" s="18" t="n"/>
      <c r="C176" s="16" t="n"/>
      <c r="D176" s="28" t="n"/>
      <c r="E176" s="18" t="n"/>
      <c r="F176" s="16" t="n"/>
      <c r="G176" s="18" t="n"/>
      <c r="H176" s="16" t="n"/>
    </row>
    <row r="177">
      <c r="A177" s="12" t="n"/>
      <c r="B177" s="18" t="n"/>
      <c r="C177" s="16" t="n"/>
      <c r="D177" s="28" t="n"/>
      <c r="E177" s="18" t="n"/>
      <c r="F177" s="16" t="n"/>
      <c r="G177" s="18" t="n"/>
      <c r="H177" s="16" t="n"/>
    </row>
    <row r="178">
      <c r="A178" s="12" t="n"/>
      <c r="B178" s="18" t="n"/>
      <c r="C178" s="16" t="n"/>
      <c r="D178" s="28" t="n"/>
      <c r="E178" s="18" t="n"/>
      <c r="F178" s="16" t="n"/>
      <c r="G178" s="18" t="n"/>
      <c r="H178" s="16" t="n"/>
    </row>
    <row r="179">
      <c r="A179" s="12" t="n"/>
      <c r="B179" s="18" t="n"/>
      <c r="C179" s="16" t="n"/>
      <c r="D179" s="28" t="n"/>
      <c r="E179" s="18" t="n"/>
      <c r="F179" s="16" t="n"/>
      <c r="G179" s="18" t="n"/>
      <c r="H179" s="16" t="n"/>
    </row>
    <row r="180">
      <c r="A180" s="12" t="n"/>
      <c r="B180" s="18" t="n"/>
      <c r="C180" s="16" t="n"/>
      <c r="D180" s="28" t="n"/>
      <c r="E180" s="18" t="n"/>
      <c r="F180" s="16" t="n"/>
      <c r="G180" s="18" t="n"/>
      <c r="H180" s="16" t="n"/>
    </row>
    <row r="181">
      <c r="A181" s="12" t="n"/>
      <c r="B181" s="18" t="n"/>
      <c r="C181" s="16" t="n"/>
      <c r="D181" s="28" t="n"/>
      <c r="E181" s="18" t="n"/>
      <c r="F181" s="16" t="n"/>
      <c r="G181" s="18" t="n"/>
      <c r="H181" s="16" t="n"/>
    </row>
    <row r="182">
      <c r="A182" s="12" t="n"/>
      <c r="B182" s="18" t="n"/>
      <c r="C182" s="16" t="n"/>
      <c r="D182" s="28" t="n"/>
      <c r="E182" s="18" t="n"/>
      <c r="F182" s="16" t="n"/>
      <c r="G182" s="18" t="n"/>
      <c r="H182" s="16" t="n"/>
    </row>
    <row r="183">
      <c r="A183" s="12" t="n"/>
      <c r="B183" s="18" t="n"/>
      <c r="C183" s="16" t="n"/>
      <c r="D183" s="28" t="n"/>
      <c r="E183" s="18" t="n"/>
      <c r="F183" s="16" t="n"/>
      <c r="G183" s="18" t="n"/>
      <c r="H183" s="16" t="n"/>
    </row>
    <row r="184">
      <c r="A184" s="12" t="n"/>
      <c r="B184" s="18" t="n"/>
      <c r="C184" s="16" t="n"/>
      <c r="D184" s="28" t="n"/>
      <c r="E184" s="18" t="n"/>
      <c r="F184" s="16" t="n"/>
      <c r="G184" s="18" t="n"/>
      <c r="H184" s="16" t="n"/>
    </row>
    <row r="185">
      <c r="A185" s="12" t="n"/>
      <c r="B185" s="18" t="n"/>
      <c r="C185" s="16" t="n"/>
      <c r="D185" s="28" t="n"/>
      <c r="E185" s="18" t="n"/>
      <c r="F185" s="16" t="n"/>
      <c r="G185" s="18" t="n"/>
      <c r="H185" s="16" t="n"/>
    </row>
    <row r="186">
      <c r="A186" s="12" t="n"/>
      <c r="B186" s="18" t="n"/>
      <c r="C186" s="16" t="n"/>
      <c r="D186" s="28" t="n"/>
      <c r="E186" s="18" t="n"/>
      <c r="F186" s="16" t="n"/>
      <c r="G186" s="18" t="n"/>
      <c r="H186" s="16" t="n"/>
    </row>
    <row r="187">
      <c r="A187" s="12" t="n"/>
      <c r="B187" s="18" t="n"/>
      <c r="C187" s="16" t="n"/>
      <c r="D187" s="28" t="n"/>
      <c r="E187" s="18" t="n"/>
      <c r="F187" s="16" t="n"/>
      <c r="G187" s="18" t="n"/>
      <c r="H187" s="16" t="n"/>
    </row>
    <row r="188">
      <c r="A188" s="12" t="n"/>
      <c r="B188" s="18" t="n"/>
      <c r="C188" s="16" t="n"/>
      <c r="D188" s="28" t="n"/>
      <c r="E188" s="18" t="n"/>
      <c r="F188" s="16" t="n"/>
      <c r="G188" s="18" t="n"/>
      <c r="H188" s="16" t="n"/>
    </row>
    <row r="189">
      <c r="A189" s="12" t="n"/>
      <c r="B189" s="18" t="n"/>
      <c r="C189" s="16" t="n"/>
      <c r="D189" s="28" t="n"/>
      <c r="E189" s="18" t="n"/>
      <c r="F189" s="16" t="n"/>
      <c r="G189" s="18" t="n"/>
      <c r="H189" s="16" t="n"/>
    </row>
    <row r="190">
      <c r="A190" s="12" t="n"/>
      <c r="B190" s="18" t="n"/>
      <c r="C190" s="16" t="n"/>
      <c r="D190" s="28" t="n"/>
      <c r="E190" s="18" t="n"/>
      <c r="F190" s="16" t="n"/>
      <c r="G190" s="18" t="n"/>
      <c r="H190" s="16" t="n"/>
    </row>
    <row r="191">
      <c r="A191" s="12" t="n"/>
      <c r="B191" s="18" t="n"/>
      <c r="C191" s="16" t="n"/>
      <c r="D191" s="28" t="n"/>
      <c r="E191" s="18" t="n"/>
      <c r="F191" s="16" t="n"/>
      <c r="G191" s="18" t="n"/>
      <c r="H191" s="16" t="n"/>
    </row>
    <row r="192">
      <c r="A192" s="12" t="n"/>
      <c r="B192" s="18" t="n"/>
      <c r="C192" s="16" t="n"/>
      <c r="D192" s="28" t="n"/>
      <c r="E192" s="18" t="n"/>
      <c r="F192" s="16" t="n"/>
      <c r="G192" s="18" t="n"/>
      <c r="H192" s="16" t="n"/>
    </row>
    <row r="193">
      <c r="A193" s="12" t="n"/>
      <c r="B193" s="18" t="n"/>
      <c r="C193" s="16" t="n"/>
      <c r="D193" s="28" t="n"/>
      <c r="E193" s="18" t="n"/>
      <c r="F193" s="16" t="n"/>
      <c r="G193" s="18" t="n"/>
      <c r="H193" s="16" t="n"/>
    </row>
    <row r="194">
      <c r="A194" s="12" t="n"/>
      <c r="B194" s="18" t="n"/>
      <c r="C194" s="16" t="n"/>
      <c r="D194" s="28" t="n"/>
      <c r="E194" s="18" t="n"/>
      <c r="F194" s="16" t="n"/>
      <c r="G194" s="18" t="n"/>
      <c r="H194" s="16" t="n"/>
    </row>
    <row r="195">
      <c r="A195" s="12" t="n"/>
      <c r="B195" s="18" t="n"/>
      <c r="C195" s="16" t="n"/>
      <c r="D195" s="28" t="n"/>
      <c r="E195" s="18" t="n"/>
      <c r="F195" s="16" t="n"/>
      <c r="G195" s="18" t="n"/>
      <c r="H195" s="16" t="n"/>
    </row>
    <row r="196">
      <c r="A196" s="12" t="n"/>
      <c r="B196" s="18" t="n"/>
      <c r="C196" s="16" t="n"/>
      <c r="D196" s="28" t="n"/>
      <c r="E196" s="18" t="n"/>
      <c r="F196" s="16" t="n"/>
      <c r="G196" s="18" t="n"/>
      <c r="H196" s="16" t="n"/>
    </row>
    <row r="197">
      <c r="A197" s="12" t="n"/>
      <c r="B197" s="18" t="n"/>
      <c r="C197" s="16" t="n"/>
      <c r="D197" s="28" t="n"/>
      <c r="E197" s="18" t="n"/>
      <c r="F197" s="16" t="n"/>
      <c r="G197" s="18" t="n"/>
      <c r="H197" s="16" t="n"/>
    </row>
    <row r="198">
      <c r="A198" s="12" t="n"/>
      <c r="B198" s="18" t="n"/>
      <c r="C198" s="16" t="n"/>
      <c r="D198" s="28" t="n"/>
      <c r="E198" s="18" t="n"/>
      <c r="F198" s="16" t="n"/>
      <c r="G198" s="18" t="n"/>
      <c r="H198" s="16" t="n"/>
    </row>
    <row r="199">
      <c r="A199" s="12" t="n"/>
      <c r="B199" s="18" t="n"/>
      <c r="C199" s="16" t="n"/>
      <c r="D199" s="28" t="n"/>
      <c r="E199" s="18" t="n"/>
      <c r="F199" s="16" t="n"/>
      <c r="G199" s="18" t="n"/>
      <c r="H199" s="16" t="n"/>
    </row>
    <row r="200">
      <c r="A200" s="12" t="n"/>
      <c r="B200" s="18" t="n"/>
      <c r="C200" s="16" t="n"/>
      <c r="D200" s="28" t="n"/>
      <c r="E200" s="18" t="n"/>
      <c r="F200" s="16" t="n"/>
      <c r="G200" s="18" t="n"/>
      <c r="H200" s="16" t="n"/>
    </row>
    <row r="201">
      <c r="A201" s="12" t="n"/>
      <c r="B201" s="18" t="n"/>
      <c r="C201" s="16" t="n"/>
      <c r="D201" s="28" t="n"/>
      <c r="E201" s="18" t="n"/>
      <c r="F201" s="16" t="n"/>
      <c r="G201" s="18" t="n"/>
      <c r="H201" s="16" t="n"/>
    </row>
    <row r="202">
      <c r="A202" s="12" t="n"/>
      <c r="B202" s="18" t="n"/>
      <c r="C202" s="16" t="n"/>
      <c r="D202" s="28" t="n"/>
      <c r="E202" s="18" t="n"/>
      <c r="F202" s="16" t="n"/>
      <c r="G202" s="18" t="n"/>
      <c r="H202" s="16" t="n"/>
    </row>
    <row r="203">
      <c r="A203" s="12" t="n"/>
      <c r="B203" s="18" t="n"/>
      <c r="C203" s="16" t="n"/>
      <c r="D203" s="28" t="n"/>
      <c r="E203" s="18" t="n"/>
      <c r="F203" s="16" t="n"/>
      <c r="G203" s="18" t="n"/>
      <c r="H203" s="16" t="n"/>
    </row>
    <row r="204">
      <c r="A204" s="12" t="n"/>
      <c r="B204" s="18" t="n"/>
      <c r="C204" s="16" t="n"/>
      <c r="D204" s="28" t="n"/>
      <c r="E204" s="18" t="n"/>
      <c r="F204" s="16" t="n"/>
      <c r="G204" s="18" t="n"/>
      <c r="H204" s="16" t="n"/>
    </row>
    <row r="205">
      <c r="A205" s="12" t="n"/>
      <c r="B205" s="18" t="n"/>
      <c r="C205" s="16" t="n"/>
      <c r="D205" s="28" t="n"/>
      <c r="E205" s="18" t="n"/>
      <c r="F205" s="16" t="n"/>
      <c r="G205" s="18" t="n"/>
      <c r="H205" s="16" t="n"/>
    </row>
  </sheetData>
  <autoFilter ref="A4:H205"/>
  <mergeCells count="3">
    <mergeCell ref="A3:H3"/>
    <mergeCell ref="A2:H2"/>
    <mergeCell ref="A1:H1"/>
  </mergeCells>
  <dataValidations count="3">
    <dataValidation sqref="B6:B205" showDropDown="0" showInputMessage="0" showErrorMessage="0" allowBlank="1" type="list">
      <formula1>Listas!$A$2:$A$7</formula1>
    </dataValidation>
    <dataValidation sqref="F6:F205" showDropDown="0" showInputMessage="0" showErrorMessage="0" allowBlank="1" type="list">
      <formula1>Listas!$C$2:$C$10</formula1>
    </dataValidation>
    <dataValidation sqref="E6:E205" showDropDown="0" showInputMessage="0" showErrorMessage="0" allowBlank="1" type="list">
      <formula1>Listas!$D$2:$D$7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3" customWidth="1" min="2" max="2"/>
    <col width="8" customWidth="1" min="3" max="3"/>
    <col width="11" customWidth="1" min="4" max="4"/>
    <col width="11" customWidth="1" min="5" max="5"/>
    <col width="12" customWidth="1" min="6" max="6"/>
    <col width="13" customWidth="1" min="7" max="7"/>
    <col width="13" customWidth="1" min="8" max="8"/>
    <col width="30" customWidth="1" min="9" max="9"/>
  </cols>
  <sheetData>
    <row r="1" ht="30" customHeight="1">
      <c r="A1" s="1" t="inlineStr">
        <is>
          <t>PLANILLA 6 · INVENTARIO FINAL DE INSUMOS</t>
        </is>
      </c>
    </row>
    <row r="2" ht="18" customHeight="1">
      <c r="A2" s="2" t="inlineStr">
        <is>
          <t>Se cuenta el DOMINGO al cierre, con el mismo criterio que el inicial. Misma persona si es posible.</t>
        </is>
      </c>
    </row>
    <row r="3" ht="18" customHeight="1">
      <c r="A3" s="3" t="inlineStr">
        <is>
          <t>COMO CONTAR: bultos cerrados + lo que hay suelto del abierto. Ejemplo: 3 bolsas de 25 kg + 8,5 kg sueltos  -&gt;  Bultos = 3, Parcial = 8,5, TOTAL = 83,5 kg (lo calcula la planilla).</t>
        </is>
      </c>
    </row>
    <row r="4" ht="34" customHeight="1">
      <c r="A4" s="6" t="inlineStr">
        <is>
          <t>AREA</t>
        </is>
      </c>
      <c r="B4" s="6" t="inlineStr">
        <is>
          <t>INSUMO</t>
        </is>
      </c>
      <c r="C4" s="6" t="inlineStr">
        <is>
          <t>UNID.</t>
        </is>
      </c>
      <c r="D4" s="6" t="inlineStr">
        <is>
          <t>CONTENIDO
POR BULTO</t>
        </is>
      </c>
      <c r="E4" s="6" t="inlineStr">
        <is>
          <t>BULTOS
CERRADOS</t>
        </is>
      </c>
      <c r="F4" s="6" t="inlineStr">
        <is>
          <t>PARCIAL
(suelto)</t>
        </is>
      </c>
      <c r="G4" s="6" t="inlineStr">
        <is>
          <t>TOTAL
(calculado)</t>
        </is>
      </c>
      <c r="H4" s="6" t="inlineStr">
        <is>
          <t>CONTO
(iniciales)</t>
        </is>
      </c>
      <c r="I4" s="6" t="inlineStr">
        <is>
          <t>OBSERVACIONES</t>
        </is>
      </c>
    </row>
    <row r="5">
      <c r="A5" s="38">
        <f>Insumos!$A5</f>
        <v/>
      </c>
      <c r="B5" s="39">
        <f>Insumos!$B5</f>
        <v/>
      </c>
      <c r="C5" s="40">
        <f>Insumos!$E5</f>
        <v/>
      </c>
      <c r="D5" s="41">
        <f>Insumos!$F5</f>
        <v/>
      </c>
      <c r="E5" s="28" t="n"/>
      <c r="F5" s="28" t="n"/>
      <c r="G5" s="42">
        <f>IFERROR($E5*$D5,0)+IFERROR($F5,0)</f>
        <v/>
      </c>
      <c r="H5" s="18" t="n"/>
      <c r="I5" s="16" t="n"/>
    </row>
    <row r="6">
      <c r="A6" s="43">
        <f>Insumos!$A6</f>
        <v/>
      </c>
      <c r="B6" s="44">
        <f>Insumos!$B6</f>
        <v/>
      </c>
      <c r="C6" s="45">
        <f>Insumos!$E6</f>
        <v/>
      </c>
      <c r="D6" s="46">
        <f>Insumos!$F6</f>
        <v/>
      </c>
      <c r="E6" s="28" t="n"/>
      <c r="F6" s="28" t="n"/>
      <c r="G6" s="42">
        <f>IFERROR($E6*$D6,0)+IFERROR($F6,0)</f>
        <v/>
      </c>
      <c r="H6" s="18" t="n"/>
      <c r="I6" s="16" t="n"/>
    </row>
    <row r="7">
      <c r="A7" s="38">
        <f>Insumos!$A7</f>
        <v/>
      </c>
      <c r="B7" s="39">
        <f>Insumos!$B7</f>
        <v/>
      </c>
      <c r="C7" s="40">
        <f>Insumos!$E7</f>
        <v/>
      </c>
      <c r="D7" s="41">
        <f>Insumos!$F7</f>
        <v/>
      </c>
      <c r="E7" s="28" t="n"/>
      <c r="F7" s="28" t="n"/>
      <c r="G7" s="42">
        <f>IFERROR($E7*$D7,0)+IFERROR($F7,0)</f>
        <v/>
      </c>
      <c r="H7" s="18" t="n"/>
      <c r="I7" s="16" t="n"/>
    </row>
    <row r="8">
      <c r="A8" s="43">
        <f>Insumos!$A8</f>
        <v/>
      </c>
      <c r="B8" s="44">
        <f>Insumos!$B8</f>
        <v/>
      </c>
      <c r="C8" s="45">
        <f>Insumos!$E8</f>
        <v/>
      </c>
      <c r="D8" s="46">
        <f>Insumos!$F8</f>
        <v/>
      </c>
      <c r="E8" s="28" t="n"/>
      <c r="F8" s="28" t="n"/>
      <c r="G8" s="42">
        <f>IFERROR($E8*$D8,0)+IFERROR($F8,0)</f>
        <v/>
      </c>
      <c r="H8" s="18" t="n"/>
      <c r="I8" s="16" t="n"/>
    </row>
    <row r="9">
      <c r="A9" s="38">
        <f>Insumos!$A9</f>
        <v/>
      </c>
      <c r="B9" s="39">
        <f>Insumos!$B9</f>
        <v/>
      </c>
      <c r="C9" s="40">
        <f>Insumos!$E9</f>
        <v/>
      </c>
      <c r="D9" s="41">
        <f>Insumos!$F9</f>
        <v/>
      </c>
      <c r="E9" s="28" t="n"/>
      <c r="F9" s="28" t="n"/>
      <c r="G9" s="42">
        <f>IFERROR($E9*$D9,0)+IFERROR($F9,0)</f>
        <v/>
      </c>
      <c r="H9" s="18" t="n"/>
      <c r="I9" s="16" t="n"/>
    </row>
    <row r="10">
      <c r="A10" s="43">
        <f>Insumos!$A10</f>
        <v/>
      </c>
      <c r="B10" s="44">
        <f>Insumos!$B10</f>
        <v/>
      </c>
      <c r="C10" s="45">
        <f>Insumos!$E10</f>
        <v/>
      </c>
      <c r="D10" s="46">
        <f>Insumos!$F10</f>
        <v/>
      </c>
      <c r="E10" s="28" t="n"/>
      <c r="F10" s="28" t="n"/>
      <c r="G10" s="42">
        <f>IFERROR($E10*$D10,0)+IFERROR($F10,0)</f>
        <v/>
      </c>
      <c r="H10" s="18" t="n"/>
      <c r="I10" s="16" t="n"/>
    </row>
    <row r="11">
      <c r="A11" s="38">
        <f>Insumos!$A11</f>
        <v/>
      </c>
      <c r="B11" s="39">
        <f>Insumos!$B11</f>
        <v/>
      </c>
      <c r="C11" s="40">
        <f>Insumos!$E11</f>
        <v/>
      </c>
      <c r="D11" s="41">
        <f>Insumos!$F11</f>
        <v/>
      </c>
      <c r="E11" s="28" t="n"/>
      <c r="F11" s="28" t="n"/>
      <c r="G11" s="42">
        <f>IFERROR($E11*$D11,0)+IFERROR($F11,0)</f>
        <v/>
      </c>
      <c r="H11" s="18" t="n"/>
      <c r="I11" s="16" t="n"/>
    </row>
    <row r="12">
      <c r="A12" s="43">
        <f>Insumos!$A12</f>
        <v/>
      </c>
      <c r="B12" s="44">
        <f>Insumos!$B12</f>
        <v/>
      </c>
      <c r="C12" s="45">
        <f>Insumos!$E12</f>
        <v/>
      </c>
      <c r="D12" s="46">
        <f>Insumos!$F12</f>
        <v/>
      </c>
      <c r="E12" s="28" t="n"/>
      <c r="F12" s="28" t="n"/>
      <c r="G12" s="42">
        <f>IFERROR($E12*$D12,0)+IFERROR($F12,0)</f>
        <v/>
      </c>
      <c r="H12" s="18" t="n"/>
      <c r="I12" s="16" t="n"/>
    </row>
    <row r="13">
      <c r="A13" s="38">
        <f>Insumos!$A13</f>
        <v/>
      </c>
      <c r="B13" s="39">
        <f>Insumos!$B13</f>
        <v/>
      </c>
      <c r="C13" s="40">
        <f>Insumos!$E13</f>
        <v/>
      </c>
      <c r="D13" s="41">
        <f>Insumos!$F13</f>
        <v/>
      </c>
      <c r="E13" s="28" t="n"/>
      <c r="F13" s="28" t="n"/>
      <c r="G13" s="42">
        <f>IFERROR($E13*$D13,0)+IFERROR($F13,0)</f>
        <v/>
      </c>
      <c r="H13" s="18" t="n"/>
      <c r="I13" s="16" t="n"/>
    </row>
    <row r="14">
      <c r="A14" s="43">
        <f>Insumos!$A14</f>
        <v/>
      </c>
      <c r="B14" s="44">
        <f>Insumos!$B14</f>
        <v/>
      </c>
      <c r="C14" s="45">
        <f>Insumos!$E14</f>
        <v/>
      </c>
      <c r="D14" s="46">
        <f>Insumos!$F14</f>
        <v/>
      </c>
      <c r="E14" s="28" t="n"/>
      <c r="F14" s="28" t="n"/>
      <c r="G14" s="42">
        <f>IFERROR($E14*$D14,0)+IFERROR($F14,0)</f>
        <v/>
      </c>
      <c r="H14" s="18" t="n"/>
      <c r="I14" s="16" t="n"/>
    </row>
    <row r="15">
      <c r="A15" s="38">
        <f>Insumos!$A15</f>
        <v/>
      </c>
      <c r="B15" s="39">
        <f>Insumos!$B15</f>
        <v/>
      </c>
      <c r="C15" s="40">
        <f>Insumos!$E15</f>
        <v/>
      </c>
      <c r="D15" s="41">
        <f>Insumos!$F15</f>
        <v/>
      </c>
      <c r="E15" s="28" t="n"/>
      <c r="F15" s="28" t="n"/>
      <c r="G15" s="42">
        <f>IFERROR($E15*$D15,0)+IFERROR($F15,0)</f>
        <v/>
      </c>
      <c r="H15" s="18" t="n"/>
      <c r="I15" s="16" t="n"/>
    </row>
    <row r="16">
      <c r="A16" s="43">
        <f>Insumos!$A16</f>
        <v/>
      </c>
      <c r="B16" s="44">
        <f>Insumos!$B16</f>
        <v/>
      </c>
      <c r="C16" s="45">
        <f>Insumos!$E16</f>
        <v/>
      </c>
      <c r="D16" s="46">
        <f>Insumos!$F16</f>
        <v/>
      </c>
      <c r="E16" s="28" t="n"/>
      <c r="F16" s="28" t="n"/>
      <c r="G16" s="42">
        <f>IFERROR($E16*$D16,0)+IFERROR($F16,0)</f>
        <v/>
      </c>
      <c r="H16" s="18" t="n"/>
      <c r="I16" s="16" t="n"/>
    </row>
    <row r="17">
      <c r="A17" s="38">
        <f>Insumos!$A17</f>
        <v/>
      </c>
      <c r="B17" s="39">
        <f>Insumos!$B17</f>
        <v/>
      </c>
      <c r="C17" s="40">
        <f>Insumos!$E17</f>
        <v/>
      </c>
      <c r="D17" s="41">
        <f>Insumos!$F17</f>
        <v/>
      </c>
      <c r="E17" s="28" t="n"/>
      <c r="F17" s="28" t="n"/>
      <c r="G17" s="42">
        <f>IFERROR($E17*$D17,0)+IFERROR($F17,0)</f>
        <v/>
      </c>
      <c r="H17" s="18" t="n"/>
      <c r="I17" s="16" t="n"/>
    </row>
    <row r="18">
      <c r="A18" s="43">
        <f>Insumos!$A18</f>
        <v/>
      </c>
      <c r="B18" s="44">
        <f>Insumos!$B18</f>
        <v/>
      </c>
      <c r="C18" s="45">
        <f>Insumos!$E18</f>
        <v/>
      </c>
      <c r="D18" s="46">
        <f>Insumos!$F18</f>
        <v/>
      </c>
      <c r="E18" s="28" t="n"/>
      <c r="F18" s="28" t="n"/>
      <c r="G18" s="42">
        <f>IFERROR($E18*$D18,0)+IFERROR($F18,0)</f>
        <v/>
      </c>
      <c r="H18" s="18" t="n"/>
      <c r="I18" s="16" t="n"/>
    </row>
    <row r="19">
      <c r="A19" s="38">
        <f>Insumos!$A19</f>
        <v/>
      </c>
      <c r="B19" s="39">
        <f>Insumos!$B19</f>
        <v/>
      </c>
      <c r="C19" s="40">
        <f>Insumos!$E19</f>
        <v/>
      </c>
      <c r="D19" s="41">
        <f>Insumos!$F19</f>
        <v/>
      </c>
      <c r="E19" s="28" t="n"/>
      <c r="F19" s="28" t="n"/>
      <c r="G19" s="42">
        <f>IFERROR($E19*$D19,0)+IFERROR($F19,0)</f>
        <v/>
      </c>
      <c r="H19" s="18" t="n"/>
      <c r="I19" s="16" t="n"/>
    </row>
    <row r="20">
      <c r="A20" s="43">
        <f>Insumos!$A20</f>
        <v/>
      </c>
      <c r="B20" s="44">
        <f>Insumos!$B20</f>
        <v/>
      </c>
      <c r="C20" s="45">
        <f>Insumos!$E20</f>
        <v/>
      </c>
      <c r="D20" s="46">
        <f>Insumos!$F20</f>
        <v/>
      </c>
      <c r="E20" s="28" t="n"/>
      <c r="F20" s="28" t="n"/>
      <c r="G20" s="42">
        <f>IFERROR($E20*$D20,0)+IFERROR($F20,0)</f>
        <v/>
      </c>
      <c r="H20" s="18" t="n"/>
      <c r="I20" s="16" t="n"/>
    </row>
    <row r="21">
      <c r="A21" s="38">
        <f>Insumos!$A21</f>
        <v/>
      </c>
      <c r="B21" s="39">
        <f>Insumos!$B21</f>
        <v/>
      </c>
      <c r="C21" s="40">
        <f>Insumos!$E21</f>
        <v/>
      </c>
      <c r="D21" s="41">
        <f>Insumos!$F21</f>
        <v/>
      </c>
      <c r="E21" s="28" t="n"/>
      <c r="F21" s="28" t="n"/>
      <c r="G21" s="42">
        <f>IFERROR($E21*$D21,0)+IFERROR($F21,0)</f>
        <v/>
      </c>
      <c r="H21" s="18" t="n"/>
      <c r="I21" s="16" t="n"/>
    </row>
    <row r="22">
      <c r="A22" s="43">
        <f>Insumos!$A22</f>
        <v/>
      </c>
      <c r="B22" s="44">
        <f>Insumos!$B22</f>
        <v/>
      </c>
      <c r="C22" s="45">
        <f>Insumos!$E22</f>
        <v/>
      </c>
      <c r="D22" s="46">
        <f>Insumos!$F22</f>
        <v/>
      </c>
      <c r="E22" s="28" t="n"/>
      <c r="F22" s="28" t="n"/>
      <c r="G22" s="42">
        <f>IFERROR($E22*$D22,0)+IFERROR($F22,0)</f>
        <v/>
      </c>
      <c r="H22" s="18" t="n"/>
      <c r="I22" s="16" t="n"/>
    </row>
    <row r="23">
      <c r="A23" s="38">
        <f>Insumos!$A23</f>
        <v/>
      </c>
      <c r="B23" s="39">
        <f>Insumos!$B23</f>
        <v/>
      </c>
      <c r="C23" s="40">
        <f>Insumos!$E23</f>
        <v/>
      </c>
      <c r="D23" s="41">
        <f>Insumos!$F23</f>
        <v/>
      </c>
      <c r="E23" s="28" t="n"/>
      <c r="F23" s="28" t="n"/>
      <c r="G23" s="42">
        <f>IFERROR($E23*$D23,0)+IFERROR($F23,0)</f>
        <v/>
      </c>
      <c r="H23" s="18" t="n"/>
      <c r="I23" s="16" t="n"/>
    </row>
    <row r="24">
      <c r="A24" s="43">
        <f>Insumos!$A24</f>
        <v/>
      </c>
      <c r="B24" s="44">
        <f>Insumos!$B24</f>
        <v/>
      </c>
      <c r="C24" s="45">
        <f>Insumos!$E24</f>
        <v/>
      </c>
      <c r="D24" s="46">
        <f>Insumos!$F24</f>
        <v/>
      </c>
      <c r="E24" s="28" t="n"/>
      <c r="F24" s="28" t="n"/>
      <c r="G24" s="42">
        <f>IFERROR($E24*$D24,0)+IFERROR($F24,0)</f>
        <v/>
      </c>
      <c r="H24" s="18" t="n"/>
      <c r="I24" s="16" t="n"/>
    </row>
    <row r="25">
      <c r="A25" s="38">
        <f>Insumos!$A25</f>
        <v/>
      </c>
      <c r="B25" s="39">
        <f>Insumos!$B25</f>
        <v/>
      </c>
      <c r="C25" s="40">
        <f>Insumos!$E25</f>
        <v/>
      </c>
      <c r="D25" s="41">
        <f>Insumos!$F25</f>
        <v/>
      </c>
      <c r="E25" s="28" t="n"/>
      <c r="F25" s="28" t="n"/>
      <c r="G25" s="42">
        <f>IFERROR($E25*$D25,0)+IFERROR($F25,0)</f>
        <v/>
      </c>
      <c r="H25" s="18" t="n"/>
      <c r="I25" s="16" t="n"/>
    </row>
    <row r="26">
      <c r="A26" s="43">
        <f>Insumos!$A26</f>
        <v/>
      </c>
      <c r="B26" s="44">
        <f>Insumos!$B26</f>
        <v/>
      </c>
      <c r="C26" s="45">
        <f>Insumos!$E26</f>
        <v/>
      </c>
      <c r="D26" s="46">
        <f>Insumos!$F26</f>
        <v/>
      </c>
      <c r="E26" s="28" t="n"/>
      <c r="F26" s="28" t="n"/>
      <c r="G26" s="42">
        <f>IFERROR($E26*$D26,0)+IFERROR($F26,0)</f>
        <v/>
      </c>
      <c r="H26" s="18" t="n"/>
      <c r="I26" s="16" t="n"/>
    </row>
    <row r="27">
      <c r="A27" s="38">
        <f>Insumos!$A27</f>
        <v/>
      </c>
      <c r="B27" s="39">
        <f>Insumos!$B27</f>
        <v/>
      </c>
      <c r="C27" s="40">
        <f>Insumos!$E27</f>
        <v/>
      </c>
      <c r="D27" s="41">
        <f>Insumos!$F27</f>
        <v/>
      </c>
      <c r="E27" s="28" t="n"/>
      <c r="F27" s="28" t="n"/>
      <c r="G27" s="42">
        <f>IFERROR($E27*$D27,0)+IFERROR($F27,0)</f>
        <v/>
      </c>
      <c r="H27" s="18" t="n"/>
      <c r="I27" s="16" t="n"/>
    </row>
    <row r="28">
      <c r="A28" s="43">
        <f>Insumos!$A28</f>
        <v/>
      </c>
      <c r="B28" s="44">
        <f>Insumos!$B28</f>
        <v/>
      </c>
      <c r="C28" s="45">
        <f>Insumos!$E28</f>
        <v/>
      </c>
      <c r="D28" s="46">
        <f>Insumos!$F28</f>
        <v/>
      </c>
      <c r="E28" s="28" t="n"/>
      <c r="F28" s="28" t="n"/>
      <c r="G28" s="42">
        <f>IFERROR($E28*$D28,0)+IFERROR($F28,0)</f>
        <v/>
      </c>
      <c r="H28" s="18" t="n"/>
      <c r="I28" s="16" t="n"/>
    </row>
    <row r="29">
      <c r="A29" s="38">
        <f>Insumos!$A29</f>
        <v/>
      </c>
      <c r="B29" s="39">
        <f>Insumos!$B29</f>
        <v/>
      </c>
      <c r="C29" s="40">
        <f>Insumos!$E29</f>
        <v/>
      </c>
      <c r="D29" s="41">
        <f>Insumos!$F29</f>
        <v/>
      </c>
      <c r="E29" s="28" t="n"/>
      <c r="F29" s="28" t="n"/>
      <c r="G29" s="42">
        <f>IFERROR($E29*$D29,0)+IFERROR($F29,0)</f>
        <v/>
      </c>
      <c r="H29" s="18" t="n"/>
      <c r="I29" s="16" t="n"/>
    </row>
    <row r="30">
      <c r="A30" s="43">
        <f>Insumos!$A30</f>
        <v/>
      </c>
      <c r="B30" s="44">
        <f>Insumos!$B30</f>
        <v/>
      </c>
      <c r="C30" s="45">
        <f>Insumos!$E30</f>
        <v/>
      </c>
      <c r="D30" s="46">
        <f>Insumos!$F30</f>
        <v/>
      </c>
      <c r="E30" s="28" t="n"/>
      <c r="F30" s="28" t="n"/>
      <c r="G30" s="42">
        <f>IFERROR($E30*$D30,0)+IFERROR($F30,0)</f>
        <v/>
      </c>
      <c r="H30" s="18" t="n"/>
      <c r="I30" s="16" t="n"/>
    </row>
    <row r="31">
      <c r="A31" s="38">
        <f>Insumos!$A31</f>
        <v/>
      </c>
      <c r="B31" s="39">
        <f>Insumos!$B31</f>
        <v/>
      </c>
      <c r="C31" s="40">
        <f>Insumos!$E31</f>
        <v/>
      </c>
      <c r="D31" s="41">
        <f>Insumos!$F31</f>
        <v/>
      </c>
      <c r="E31" s="28" t="n"/>
      <c r="F31" s="28" t="n"/>
      <c r="G31" s="42">
        <f>IFERROR($E31*$D31,0)+IFERROR($F31,0)</f>
        <v/>
      </c>
      <c r="H31" s="18" t="n"/>
      <c r="I31" s="16" t="n"/>
    </row>
    <row r="32">
      <c r="A32" s="43">
        <f>Insumos!$A32</f>
        <v/>
      </c>
      <c r="B32" s="44">
        <f>Insumos!$B32</f>
        <v/>
      </c>
      <c r="C32" s="45">
        <f>Insumos!$E32</f>
        <v/>
      </c>
      <c r="D32" s="46">
        <f>Insumos!$F32</f>
        <v/>
      </c>
      <c r="E32" s="28" t="n"/>
      <c r="F32" s="28" t="n"/>
      <c r="G32" s="42">
        <f>IFERROR($E32*$D32,0)+IFERROR($F32,0)</f>
        <v/>
      </c>
      <c r="H32" s="18" t="n"/>
      <c r="I32" s="16" t="n"/>
    </row>
    <row r="33">
      <c r="A33" s="38">
        <f>Insumos!$A33</f>
        <v/>
      </c>
      <c r="B33" s="39">
        <f>Insumos!$B33</f>
        <v/>
      </c>
      <c r="C33" s="40">
        <f>Insumos!$E33</f>
        <v/>
      </c>
      <c r="D33" s="41">
        <f>Insumos!$F33</f>
        <v/>
      </c>
      <c r="E33" s="28" t="n"/>
      <c r="F33" s="28" t="n"/>
      <c r="G33" s="42">
        <f>IFERROR($E33*$D33,0)+IFERROR($F33,0)</f>
        <v/>
      </c>
      <c r="H33" s="18" t="n"/>
      <c r="I33" s="16" t="n"/>
    </row>
    <row r="34">
      <c r="A34" s="43">
        <f>Insumos!$A34</f>
        <v/>
      </c>
      <c r="B34" s="44">
        <f>Insumos!$B34</f>
        <v/>
      </c>
      <c r="C34" s="45">
        <f>Insumos!$E34</f>
        <v/>
      </c>
      <c r="D34" s="46">
        <f>Insumos!$F34</f>
        <v/>
      </c>
      <c r="E34" s="28" t="n"/>
      <c r="F34" s="28" t="n"/>
      <c r="G34" s="42">
        <f>IFERROR($E34*$D34,0)+IFERROR($F34,0)</f>
        <v/>
      </c>
      <c r="H34" s="18" t="n"/>
      <c r="I34" s="16" t="n"/>
    </row>
    <row r="35">
      <c r="A35" s="38">
        <f>Insumos!$A35</f>
        <v/>
      </c>
      <c r="B35" s="39">
        <f>Insumos!$B35</f>
        <v/>
      </c>
      <c r="C35" s="40">
        <f>Insumos!$E35</f>
        <v/>
      </c>
      <c r="D35" s="41">
        <f>Insumos!$F35</f>
        <v/>
      </c>
      <c r="E35" s="28" t="n"/>
      <c r="F35" s="28" t="n"/>
      <c r="G35" s="42">
        <f>IFERROR($E35*$D35,0)+IFERROR($F35,0)</f>
        <v/>
      </c>
      <c r="H35" s="18" t="n"/>
      <c r="I35" s="16" t="n"/>
    </row>
    <row r="36">
      <c r="A36" s="43">
        <f>Insumos!$A36</f>
        <v/>
      </c>
      <c r="B36" s="44">
        <f>Insumos!$B36</f>
        <v/>
      </c>
      <c r="C36" s="45">
        <f>Insumos!$E36</f>
        <v/>
      </c>
      <c r="D36" s="46">
        <f>Insumos!$F36</f>
        <v/>
      </c>
      <c r="E36" s="28" t="n"/>
      <c r="F36" s="28" t="n"/>
      <c r="G36" s="42">
        <f>IFERROR($E36*$D36,0)+IFERROR($F36,0)</f>
        <v/>
      </c>
      <c r="H36" s="18" t="n"/>
      <c r="I36" s="16" t="n"/>
    </row>
    <row r="37">
      <c r="A37" s="38">
        <f>Insumos!$A37</f>
        <v/>
      </c>
      <c r="B37" s="39">
        <f>Insumos!$B37</f>
        <v/>
      </c>
      <c r="C37" s="40">
        <f>Insumos!$E37</f>
        <v/>
      </c>
      <c r="D37" s="41">
        <f>Insumos!$F37</f>
        <v/>
      </c>
      <c r="E37" s="28" t="n"/>
      <c r="F37" s="28" t="n"/>
      <c r="G37" s="42">
        <f>IFERROR($E37*$D37,0)+IFERROR($F37,0)</f>
        <v/>
      </c>
      <c r="H37" s="18" t="n"/>
      <c r="I37" s="16" t="n"/>
    </row>
    <row r="38">
      <c r="A38" s="43">
        <f>Insumos!$A38</f>
        <v/>
      </c>
      <c r="B38" s="44">
        <f>Insumos!$B38</f>
        <v/>
      </c>
      <c r="C38" s="45">
        <f>Insumos!$E38</f>
        <v/>
      </c>
      <c r="D38" s="46">
        <f>Insumos!$F38</f>
        <v/>
      </c>
      <c r="E38" s="28" t="n"/>
      <c r="F38" s="28" t="n"/>
      <c r="G38" s="42">
        <f>IFERROR($E38*$D38,0)+IFERROR($F38,0)</f>
        <v/>
      </c>
      <c r="H38" s="18" t="n"/>
      <c r="I38" s="16" t="n"/>
    </row>
    <row r="39">
      <c r="A39" s="38">
        <f>Insumos!$A39</f>
        <v/>
      </c>
      <c r="B39" s="39">
        <f>Insumos!$B39</f>
        <v/>
      </c>
      <c r="C39" s="40">
        <f>Insumos!$E39</f>
        <v/>
      </c>
      <c r="D39" s="41">
        <f>Insumos!$F39</f>
        <v/>
      </c>
      <c r="E39" s="28" t="n"/>
      <c r="F39" s="28" t="n"/>
      <c r="G39" s="42">
        <f>IFERROR($E39*$D39,0)+IFERROR($F39,0)</f>
        <v/>
      </c>
      <c r="H39" s="18" t="n"/>
      <c r="I39" s="16" t="n"/>
    </row>
    <row r="40">
      <c r="A40" s="43">
        <f>Insumos!$A40</f>
        <v/>
      </c>
      <c r="B40" s="44">
        <f>Insumos!$B40</f>
        <v/>
      </c>
      <c r="C40" s="45">
        <f>Insumos!$E40</f>
        <v/>
      </c>
      <c r="D40" s="46">
        <f>Insumos!$F40</f>
        <v/>
      </c>
      <c r="E40" s="28" t="n"/>
      <c r="F40" s="28" t="n"/>
      <c r="G40" s="42">
        <f>IFERROR($E40*$D40,0)+IFERROR($F40,0)</f>
        <v/>
      </c>
      <c r="H40" s="18" t="n"/>
      <c r="I40" s="16" t="n"/>
    </row>
    <row r="41">
      <c r="A41" s="38">
        <f>Insumos!$A41</f>
        <v/>
      </c>
      <c r="B41" s="39">
        <f>Insumos!$B41</f>
        <v/>
      </c>
      <c r="C41" s="40">
        <f>Insumos!$E41</f>
        <v/>
      </c>
      <c r="D41" s="41">
        <f>Insumos!$F41</f>
        <v/>
      </c>
      <c r="E41" s="28" t="n"/>
      <c r="F41" s="28" t="n"/>
      <c r="G41" s="42">
        <f>IFERROR($E41*$D41,0)+IFERROR($F41,0)</f>
        <v/>
      </c>
      <c r="H41" s="18" t="n"/>
      <c r="I41" s="16" t="n"/>
    </row>
    <row r="42">
      <c r="A42" s="43">
        <f>Insumos!$A42</f>
        <v/>
      </c>
      <c r="B42" s="44">
        <f>Insumos!$B42</f>
        <v/>
      </c>
      <c r="C42" s="45">
        <f>Insumos!$E42</f>
        <v/>
      </c>
      <c r="D42" s="46">
        <f>Insumos!$F42</f>
        <v/>
      </c>
      <c r="E42" s="28" t="n"/>
      <c r="F42" s="28" t="n"/>
      <c r="G42" s="42">
        <f>IFERROR($E42*$D42,0)+IFERROR($F42,0)</f>
        <v/>
      </c>
      <c r="H42" s="18" t="n"/>
      <c r="I42" s="16" t="n"/>
    </row>
    <row r="43">
      <c r="A43" s="38">
        <f>Insumos!$A43</f>
        <v/>
      </c>
      <c r="B43" s="39">
        <f>Insumos!$B43</f>
        <v/>
      </c>
      <c r="C43" s="40">
        <f>Insumos!$E43</f>
        <v/>
      </c>
      <c r="D43" s="41">
        <f>Insumos!$F43</f>
        <v/>
      </c>
      <c r="E43" s="28" t="n"/>
      <c r="F43" s="28" t="n"/>
      <c r="G43" s="42">
        <f>IFERROR($E43*$D43,0)+IFERROR($F43,0)</f>
        <v/>
      </c>
      <c r="H43" s="18" t="n"/>
      <c r="I43" s="16" t="n"/>
    </row>
    <row r="44">
      <c r="A44" s="43">
        <f>Insumos!$A44</f>
        <v/>
      </c>
      <c r="B44" s="44">
        <f>Insumos!$B44</f>
        <v/>
      </c>
      <c r="C44" s="45">
        <f>Insumos!$E44</f>
        <v/>
      </c>
      <c r="D44" s="46">
        <f>Insumos!$F44</f>
        <v/>
      </c>
      <c r="E44" s="28" t="n"/>
      <c r="F44" s="28" t="n"/>
      <c r="G44" s="42">
        <f>IFERROR($E44*$D44,0)+IFERROR($F44,0)</f>
        <v/>
      </c>
      <c r="H44" s="18" t="n"/>
      <c r="I44" s="16" t="n"/>
    </row>
    <row r="45">
      <c r="A45" s="38">
        <f>Insumos!$A45</f>
        <v/>
      </c>
      <c r="B45" s="39">
        <f>Insumos!$B45</f>
        <v/>
      </c>
      <c r="C45" s="40">
        <f>Insumos!$E45</f>
        <v/>
      </c>
      <c r="D45" s="41">
        <f>Insumos!$F45</f>
        <v/>
      </c>
      <c r="E45" s="28" t="n"/>
      <c r="F45" s="28" t="n"/>
      <c r="G45" s="42">
        <f>IFERROR($E45*$D45,0)+IFERROR($F45,0)</f>
        <v/>
      </c>
      <c r="H45" s="18" t="n"/>
      <c r="I45" s="16" t="n"/>
    </row>
    <row r="46">
      <c r="A46" s="43">
        <f>Insumos!$A46</f>
        <v/>
      </c>
      <c r="B46" s="44">
        <f>Insumos!$B46</f>
        <v/>
      </c>
      <c r="C46" s="45">
        <f>Insumos!$E46</f>
        <v/>
      </c>
      <c r="D46" s="46">
        <f>Insumos!$F46</f>
        <v/>
      </c>
      <c r="E46" s="28" t="n"/>
      <c r="F46" s="28" t="n"/>
      <c r="G46" s="42">
        <f>IFERROR($E46*$D46,0)+IFERROR($F46,0)</f>
        <v/>
      </c>
      <c r="H46" s="18" t="n"/>
      <c r="I46" s="16" t="n"/>
    </row>
    <row r="47">
      <c r="A47" s="38">
        <f>Insumos!$A47</f>
        <v/>
      </c>
      <c r="B47" s="39">
        <f>Insumos!$B47</f>
        <v/>
      </c>
      <c r="C47" s="40">
        <f>Insumos!$E47</f>
        <v/>
      </c>
      <c r="D47" s="41">
        <f>Insumos!$F47</f>
        <v/>
      </c>
      <c r="E47" s="28" t="n"/>
      <c r="F47" s="28" t="n"/>
      <c r="G47" s="42">
        <f>IFERROR($E47*$D47,0)+IFERROR($F47,0)</f>
        <v/>
      </c>
      <c r="H47" s="18" t="n"/>
      <c r="I47" s="16" t="n"/>
    </row>
    <row r="48">
      <c r="A48" s="43">
        <f>Insumos!$A48</f>
        <v/>
      </c>
      <c r="B48" s="44">
        <f>Insumos!$B48</f>
        <v/>
      </c>
      <c r="C48" s="45">
        <f>Insumos!$E48</f>
        <v/>
      </c>
      <c r="D48" s="46">
        <f>Insumos!$F48</f>
        <v/>
      </c>
      <c r="E48" s="28" t="n"/>
      <c r="F48" s="28" t="n"/>
      <c r="G48" s="42">
        <f>IFERROR($E48*$D48,0)+IFERROR($F48,0)</f>
        <v/>
      </c>
      <c r="H48" s="18" t="n"/>
      <c r="I48" s="16" t="n"/>
    </row>
    <row r="49">
      <c r="A49" s="38">
        <f>Insumos!$A49</f>
        <v/>
      </c>
      <c r="B49" s="39">
        <f>Insumos!$B49</f>
        <v/>
      </c>
      <c r="C49" s="40">
        <f>Insumos!$E49</f>
        <v/>
      </c>
      <c r="D49" s="41">
        <f>Insumos!$F49</f>
        <v/>
      </c>
      <c r="E49" s="28" t="n"/>
      <c r="F49" s="28" t="n"/>
      <c r="G49" s="42">
        <f>IFERROR($E49*$D49,0)+IFERROR($F49,0)</f>
        <v/>
      </c>
      <c r="H49" s="18" t="n"/>
      <c r="I49" s="16" t="n"/>
    </row>
    <row r="50">
      <c r="A50" s="43">
        <f>Insumos!$A50</f>
        <v/>
      </c>
      <c r="B50" s="44">
        <f>Insumos!$B50</f>
        <v/>
      </c>
      <c r="C50" s="45">
        <f>Insumos!$E50</f>
        <v/>
      </c>
      <c r="D50" s="46">
        <f>Insumos!$F50</f>
        <v/>
      </c>
      <c r="E50" s="28" t="n"/>
      <c r="F50" s="28" t="n"/>
      <c r="G50" s="42">
        <f>IFERROR($E50*$D50,0)+IFERROR($F50,0)</f>
        <v/>
      </c>
      <c r="H50" s="18" t="n"/>
      <c r="I50" s="16" t="n"/>
    </row>
    <row r="51">
      <c r="A51" s="38">
        <f>Insumos!$A51</f>
        <v/>
      </c>
      <c r="B51" s="39">
        <f>Insumos!$B51</f>
        <v/>
      </c>
      <c r="C51" s="40">
        <f>Insumos!$E51</f>
        <v/>
      </c>
      <c r="D51" s="41">
        <f>Insumos!$F51</f>
        <v/>
      </c>
      <c r="E51" s="28" t="n"/>
      <c r="F51" s="28" t="n"/>
      <c r="G51" s="42">
        <f>IFERROR($E51*$D51,0)+IFERROR($F51,0)</f>
        <v/>
      </c>
      <c r="H51" s="18" t="n"/>
      <c r="I51" s="16" t="n"/>
    </row>
    <row r="52">
      <c r="A52" s="43">
        <f>Insumos!$A52</f>
        <v/>
      </c>
      <c r="B52" s="44">
        <f>Insumos!$B52</f>
        <v/>
      </c>
      <c r="C52" s="45">
        <f>Insumos!$E52</f>
        <v/>
      </c>
      <c r="D52" s="46">
        <f>Insumos!$F52</f>
        <v/>
      </c>
      <c r="E52" s="28" t="n"/>
      <c r="F52" s="28" t="n"/>
      <c r="G52" s="42">
        <f>IFERROR($E52*$D52,0)+IFERROR($F52,0)</f>
        <v/>
      </c>
      <c r="H52" s="18" t="n"/>
      <c r="I52" s="16" t="n"/>
    </row>
    <row r="53">
      <c r="A53" s="38">
        <f>Insumos!$A53</f>
        <v/>
      </c>
      <c r="B53" s="39">
        <f>Insumos!$B53</f>
        <v/>
      </c>
      <c r="C53" s="40">
        <f>Insumos!$E53</f>
        <v/>
      </c>
      <c r="D53" s="41">
        <f>Insumos!$F53</f>
        <v/>
      </c>
      <c r="E53" s="28" t="n"/>
      <c r="F53" s="28" t="n"/>
      <c r="G53" s="42">
        <f>IFERROR($E53*$D53,0)+IFERROR($F53,0)</f>
        <v/>
      </c>
      <c r="H53" s="18" t="n"/>
      <c r="I53" s="16" t="n"/>
    </row>
    <row r="54">
      <c r="A54" s="43">
        <f>Insumos!$A54</f>
        <v/>
      </c>
      <c r="B54" s="44">
        <f>Insumos!$B54</f>
        <v/>
      </c>
      <c r="C54" s="45">
        <f>Insumos!$E54</f>
        <v/>
      </c>
      <c r="D54" s="46">
        <f>Insumos!$F54</f>
        <v/>
      </c>
      <c r="E54" s="28" t="n"/>
      <c r="F54" s="28" t="n"/>
      <c r="G54" s="42">
        <f>IFERROR($E54*$D54,0)+IFERROR($F54,0)</f>
        <v/>
      </c>
      <c r="H54" s="18" t="n"/>
      <c r="I54" s="16" t="n"/>
    </row>
    <row r="55">
      <c r="A55" s="38">
        <f>Insumos!$A55</f>
        <v/>
      </c>
      <c r="B55" s="39">
        <f>Insumos!$B55</f>
        <v/>
      </c>
      <c r="C55" s="40">
        <f>Insumos!$E55</f>
        <v/>
      </c>
      <c r="D55" s="41">
        <f>Insumos!$F55</f>
        <v/>
      </c>
      <c r="E55" s="28" t="n"/>
      <c r="F55" s="28" t="n"/>
      <c r="G55" s="42">
        <f>IFERROR($E55*$D55,0)+IFERROR($F55,0)</f>
        <v/>
      </c>
      <c r="H55" s="18" t="n"/>
      <c r="I55" s="16" t="n"/>
    </row>
    <row r="56">
      <c r="A56" s="43">
        <f>Insumos!$A56</f>
        <v/>
      </c>
      <c r="B56" s="44">
        <f>Insumos!$B56</f>
        <v/>
      </c>
      <c r="C56" s="45">
        <f>Insumos!$E56</f>
        <v/>
      </c>
      <c r="D56" s="46">
        <f>Insumos!$F56</f>
        <v/>
      </c>
      <c r="E56" s="28" t="n"/>
      <c r="F56" s="28" t="n"/>
      <c r="G56" s="42">
        <f>IFERROR($E56*$D56,0)+IFERROR($F56,0)</f>
        <v/>
      </c>
      <c r="H56" s="18" t="n"/>
      <c r="I56" s="16" t="n"/>
    </row>
    <row r="57">
      <c r="A57" s="38">
        <f>Insumos!$A57</f>
        <v/>
      </c>
      <c r="B57" s="39">
        <f>Insumos!$B57</f>
        <v/>
      </c>
      <c r="C57" s="40">
        <f>Insumos!$E57</f>
        <v/>
      </c>
      <c r="D57" s="41">
        <f>Insumos!$F57</f>
        <v/>
      </c>
      <c r="E57" s="28" t="n"/>
      <c r="F57" s="28" t="n"/>
      <c r="G57" s="42">
        <f>IFERROR($E57*$D57,0)+IFERROR($F57,0)</f>
        <v/>
      </c>
      <c r="H57" s="18" t="n"/>
      <c r="I57" s="16" t="n"/>
    </row>
    <row r="58">
      <c r="A58" s="43">
        <f>Insumos!$A58</f>
        <v/>
      </c>
      <c r="B58" s="44">
        <f>Insumos!$B58</f>
        <v/>
      </c>
      <c r="C58" s="45">
        <f>Insumos!$E58</f>
        <v/>
      </c>
      <c r="D58" s="46">
        <f>Insumos!$F58</f>
        <v/>
      </c>
      <c r="E58" s="28" t="n"/>
      <c r="F58" s="28" t="n"/>
      <c r="G58" s="42">
        <f>IFERROR($E58*$D58,0)+IFERROR($F58,0)</f>
        <v/>
      </c>
      <c r="H58" s="18" t="n"/>
      <c r="I58" s="16" t="n"/>
    </row>
    <row r="59">
      <c r="A59" s="38">
        <f>Insumos!$A59</f>
        <v/>
      </c>
      <c r="B59" s="39">
        <f>Insumos!$B59</f>
        <v/>
      </c>
      <c r="C59" s="40">
        <f>Insumos!$E59</f>
        <v/>
      </c>
      <c r="D59" s="41">
        <f>Insumos!$F59</f>
        <v/>
      </c>
      <c r="E59" s="28" t="n"/>
      <c r="F59" s="28" t="n"/>
      <c r="G59" s="42">
        <f>IFERROR($E59*$D59,0)+IFERROR($F59,0)</f>
        <v/>
      </c>
      <c r="H59" s="18" t="n"/>
      <c r="I59" s="16" t="n"/>
    </row>
    <row r="60">
      <c r="A60" s="43">
        <f>Insumos!$A60</f>
        <v/>
      </c>
      <c r="B60" s="44">
        <f>Insumos!$B60</f>
        <v/>
      </c>
      <c r="C60" s="45">
        <f>Insumos!$E60</f>
        <v/>
      </c>
      <c r="D60" s="46">
        <f>Insumos!$F60</f>
        <v/>
      </c>
      <c r="E60" s="28" t="n"/>
      <c r="F60" s="28" t="n"/>
      <c r="G60" s="42">
        <f>IFERROR($E60*$D60,0)+IFERROR($F60,0)</f>
        <v/>
      </c>
      <c r="H60" s="18" t="n"/>
      <c r="I60" s="16" t="n"/>
    </row>
    <row r="61">
      <c r="A61" s="38">
        <f>Insumos!$A61</f>
        <v/>
      </c>
      <c r="B61" s="39">
        <f>Insumos!$B61</f>
        <v/>
      </c>
      <c r="C61" s="40">
        <f>Insumos!$E61</f>
        <v/>
      </c>
      <c r="D61" s="41">
        <f>Insumos!$F61</f>
        <v/>
      </c>
      <c r="E61" s="28" t="n"/>
      <c r="F61" s="28" t="n"/>
      <c r="G61" s="42">
        <f>IFERROR($E61*$D61,0)+IFERROR($F61,0)</f>
        <v/>
      </c>
      <c r="H61" s="18" t="n"/>
      <c r="I61" s="16" t="n"/>
    </row>
    <row r="62">
      <c r="A62" s="43">
        <f>Insumos!$A62</f>
        <v/>
      </c>
      <c r="B62" s="44">
        <f>Insumos!$B62</f>
        <v/>
      </c>
      <c r="C62" s="45">
        <f>Insumos!$E62</f>
        <v/>
      </c>
      <c r="D62" s="46">
        <f>Insumos!$F62</f>
        <v/>
      </c>
      <c r="E62" s="28" t="n"/>
      <c r="F62" s="28" t="n"/>
      <c r="G62" s="42">
        <f>IFERROR($E62*$D62,0)+IFERROR($F62,0)</f>
        <v/>
      </c>
      <c r="H62" s="18" t="n"/>
      <c r="I62" s="16" t="n"/>
    </row>
    <row r="63">
      <c r="A63" s="38">
        <f>Insumos!$A63</f>
        <v/>
      </c>
      <c r="B63" s="39">
        <f>Insumos!$B63</f>
        <v/>
      </c>
      <c r="C63" s="40">
        <f>Insumos!$E63</f>
        <v/>
      </c>
      <c r="D63" s="41">
        <f>Insumos!$F63</f>
        <v/>
      </c>
      <c r="E63" s="28" t="n"/>
      <c r="F63" s="28" t="n"/>
      <c r="G63" s="42">
        <f>IFERROR($E63*$D63,0)+IFERROR($F63,0)</f>
        <v/>
      </c>
      <c r="H63" s="18" t="n"/>
      <c r="I63" s="16" t="n"/>
    </row>
    <row r="64">
      <c r="A64" s="43">
        <f>Insumos!$A64</f>
        <v/>
      </c>
      <c r="B64" s="44">
        <f>Insumos!$B64</f>
        <v/>
      </c>
      <c r="C64" s="45">
        <f>Insumos!$E64</f>
        <v/>
      </c>
      <c r="D64" s="46">
        <f>Insumos!$F64</f>
        <v/>
      </c>
      <c r="E64" s="28" t="n"/>
      <c r="F64" s="28" t="n"/>
      <c r="G64" s="42">
        <f>IFERROR($E64*$D64,0)+IFERROR($F64,0)</f>
        <v/>
      </c>
      <c r="H64" s="18" t="n"/>
      <c r="I64" s="16" t="n"/>
    </row>
    <row r="65">
      <c r="A65" s="38">
        <f>Insumos!$A65</f>
        <v/>
      </c>
      <c r="B65" s="39">
        <f>Insumos!$B65</f>
        <v/>
      </c>
      <c r="C65" s="40">
        <f>Insumos!$E65</f>
        <v/>
      </c>
      <c r="D65" s="41">
        <f>Insumos!$F65</f>
        <v/>
      </c>
      <c r="E65" s="28" t="n"/>
      <c r="F65" s="28" t="n"/>
      <c r="G65" s="42">
        <f>IFERROR($E65*$D65,0)+IFERROR($F65,0)</f>
        <v/>
      </c>
      <c r="H65" s="18" t="n"/>
      <c r="I65" s="16" t="n"/>
    </row>
    <row r="66">
      <c r="A66" s="43">
        <f>Insumos!$A66</f>
        <v/>
      </c>
      <c r="B66" s="44">
        <f>Insumos!$B66</f>
        <v/>
      </c>
      <c r="C66" s="45">
        <f>Insumos!$E66</f>
        <v/>
      </c>
      <c r="D66" s="46">
        <f>Insumos!$F66</f>
        <v/>
      </c>
      <c r="E66" s="28" t="n"/>
      <c r="F66" s="28" t="n"/>
      <c r="G66" s="42">
        <f>IFERROR($E66*$D66,0)+IFERROR($F66,0)</f>
        <v/>
      </c>
      <c r="H66" s="18" t="n"/>
      <c r="I66" s="16" t="n"/>
    </row>
    <row r="67">
      <c r="A67" s="38">
        <f>Insumos!$A67</f>
        <v/>
      </c>
      <c r="B67" s="39">
        <f>Insumos!$B67</f>
        <v/>
      </c>
      <c r="C67" s="40">
        <f>Insumos!$E67</f>
        <v/>
      </c>
      <c r="D67" s="41">
        <f>Insumos!$F67</f>
        <v/>
      </c>
      <c r="E67" s="28" t="n"/>
      <c r="F67" s="28" t="n"/>
      <c r="G67" s="42">
        <f>IFERROR($E67*$D67,0)+IFERROR($F67,0)</f>
        <v/>
      </c>
      <c r="H67" s="18" t="n"/>
      <c r="I67" s="16" t="n"/>
    </row>
    <row r="68">
      <c r="A68" s="43">
        <f>Insumos!$A68</f>
        <v/>
      </c>
      <c r="B68" s="44">
        <f>Insumos!$B68</f>
        <v/>
      </c>
      <c r="C68" s="45">
        <f>Insumos!$E68</f>
        <v/>
      </c>
      <c r="D68" s="46">
        <f>Insumos!$F68</f>
        <v/>
      </c>
      <c r="E68" s="28" t="n"/>
      <c r="F68" s="28" t="n"/>
      <c r="G68" s="42">
        <f>IFERROR($E68*$D68,0)+IFERROR($F68,0)</f>
        <v/>
      </c>
      <c r="H68" s="18" t="n"/>
      <c r="I68" s="16" t="n"/>
    </row>
    <row r="69">
      <c r="A69" s="38">
        <f>Insumos!$A69</f>
        <v/>
      </c>
      <c r="B69" s="39">
        <f>Insumos!$B69</f>
        <v/>
      </c>
      <c r="C69" s="40">
        <f>Insumos!$E69</f>
        <v/>
      </c>
      <c r="D69" s="41">
        <f>Insumos!$F69</f>
        <v/>
      </c>
      <c r="E69" s="28" t="n"/>
      <c r="F69" s="28" t="n"/>
      <c r="G69" s="42">
        <f>IFERROR($E69*$D69,0)+IFERROR($F69,0)</f>
        <v/>
      </c>
      <c r="H69" s="18" t="n"/>
      <c r="I69" s="16" t="n"/>
    </row>
    <row r="70">
      <c r="A70" s="43">
        <f>Insumos!$A70</f>
        <v/>
      </c>
      <c r="B70" s="44">
        <f>Insumos!$B70</f>
        <v/>
      </c>
      <c r="C70" s="45">
        <f>Insumos!$E70</f>
        <v/>
      </c>
      <c r="D70" s="46">
        <f>Insumos!$F70</f>
        <v/>
      </c>
      <c r="E70" s="28" t="n"/>
      <c r="F70" s="28" t="n"/>
      <c r="G70" s="42">
        <f>IFERROR($E70*$D70,0)+IFERROR($F70,0)</f>
        <v/>
      </c>
      <c r="H70" s="18" t="n"/>
      <c r="I70" s="16" t="n"/>
    </row>
    <row r="71">
      <c r="A71" s="38">
        <f>Insumos!$A71</f>
        <v/>
      </c>
      <c r="B71" s="39">
        <f>Insumos!$B71</f>
        <v/>
      </c>
      <c r="C71" s="40">
        <f>Insumos!$E71</f>
        <v/>
      </c>
      <c r="D71" s="41">
        <f>Insumos!$F71</f>
        <v/>
      </c>
      <c r="E71" s="28" t="n"/>
      <c r="F71" s="28" t="n"/>
      <c r="G71" s="42">
        <f>IFERROR($E71*$D71,0)+IFERROR($F71,0)</f>
        <v/>
      </c>
      <c r="H71" s="18" t="n"/>
      <c r="I71" s="16" t="n"/>
    </row>
    <row r="72">
      <c r="A72" s="43">
        <f>Insumos!$A72</f>
        <v/>
      </c>
      <c r="B72" s="44">
        <f>Insumos!$B72</f>
        <v/>
      </c>
      <c r="C72" s="45">
        <f>Insumos!$E72</f>
        <v/>
      </c>
      <c r="D72" s="46">
        <f>Insumos!$F72</f>
        <v/>
      </c>
      <c r="E72" s="28" t="n"/>
      <c r="F72" s="28" t="n"/>
      <c r="G72" s="42">
        <f>IFERROR($E72*$D72,0)+IFERROR($F72,0)</f>
        <v/>
      </c>
      <c r="H72" s="18" t="n"/>
      <c r="I72" s="16" t="n"/>
    </row>
    <row r="73">
      <c r="A73" s="38">
        <f>Insumos!$A73</f>
        <v/>
      </c>
      <c r="B73" s="39">
        <f>Insumos!$B73</f>
        <v/>
      </c>
      <c r="C73" s="40">
        <f>Insumos!$E73</f>
        <v/>
      </c>
      <c r="D73" s="41">
        <f>Insumos!$F73</f>
        <v/>
      </c>
      <c r="E73" s="28" t="n"/>
      <c r="F73" s="28" t="n"/>
      <c r="G73" s="42">
        <f>IFERROR($E73*$D73,0)+IFERROR($F73,0)</f>
        <v/>
      </c>
      <c r="H73" s="18" t="n"/>
      <c r="I73" s="16" t="n"/>
    </row>
    <row r="74">
      <c r="A74" s="43">
        <f>Insumos!$A74</f>
        <v/>
      </c>
      <c r="B74" s="44">
        <f>Insumos!$B74</f>
        <v/>
      </c>
      <c r="C74" s="45">
        <f>Insumos!$E74</f>
        <v/>
      </c>
      <c r="D74" s="46">
        <f>Insumos!$F74</f>
        <v/>
      </c>
      <c r="E74" s="28" t="n"/>
      <c r="F74" s="28" t="n"/>
      <c r="G74" s="42">
        <f>IFERROR($E74*$D74,0)+IFERROR($F74,0)</f>
        <v/>
      </c>
      <c r="H74" s="18" t="n"/>
      <c r="I74" s="16" t="n"/>
    </row>
    <row r="75">
      <c r="A75" s="38">
        <f>Insumos!$A75</f>
        <v/>
      </c>
      <c r="B75" s="39">
        <f>Insumos!$B75</f>
        <v/>
      </c>
      <c r="C75" s="40">
        <f>Insumos!$E75</f>
        <v/>
      </c>
      <c r="D75" s="41">
        <f>Insumos!$F75</f>
        <v/>
      </c>
      <c r="E75" s="28" t="n"/>
      <c r="F75" s="28" t="n"/>
      <c r="G75" s="42">
        <f>IFERROR($E75*$D75,0)+IFERROR($F75,0)</f>
        <v/>
      </c>
      <c r="H75" s="18" t="n"/>
      <c r="I75" s="16" t="n"/>
    </row>
    <row r="76">
      <c r="A76" s="43">
        <f>Insumos!$A76</f>
        <v/>
      </c>
      <c r="B76" s="44">
        <f>Insumos!$B76</f>
        <v/>
      </c>
      <c r="C76" s="45">
        <f>Insumos!$E76</f>
        <v/>
      </c>
      <c r="D76" s="46">
        <f>Insumos!$F76</f>
        <v/>
      </c>
      <c r="E76" s="28" t="n"/>
      <c r="F76" s="28" t="n"/>
      <c r="G76" s="42">
        <f>IFERROR($E76*$D76,0)+IFERROR($F76,0)</f>
        <v/>
      </c>
      <c r="H76" s="18" t="n"/>
      <c r="I76" s="16" t="n"/>
    </row>
    <row r="77">
      <c r="A77" s="38">
        <f>Insumos!$A77</f>
        <v/>
      </c>
      <c r="B77" s="39">
        <f>Insumos!$B77</f>
        <v/>
      </c>
      <c r="C77" s="40">
        <f>Insumos!$E77</f>
        <v/>
      </c>
      <c r="D77" s="41">
        <f>Insumos!$F77</f>
        <v/>
      </c>
      <c r="E77" s="28" t="n"/>
      <c r="F77" s="28" t="n"/>
      <c r="G77" s="42">
        <f>IFERROR($E77*$D77,0)+IFERROR($F77,0)</f>
        <v/>
      </c>
      <c r="H77" s="18" t="n"/>
      <c r="I77" s="16" t="n"/>
    </row>
    <row r="78">
      <c r="A78" s="43">
        <f>Insumos!$A78</f>
        <v/>
      </c>
      <c r="B78" s="44">
        <f>Insumos!$B78</f>
        <v/>
      </c>
      <c r="C78" s="45">
        <f>Insumos!$E78</f>
        <v/>
      </c>
      <c r="D78" s="46">
        <f>Insumos!$F78</f>
        <v/>
      </c>
      <c r="E78" s="28" t="n"/>
      <c r="F78" s="28" t="n"/>
      <c r="G78" s="42">
        <f>IFERROR($E78*$D78,0)+IFERROR($F78,0)</f>
        <v/>
      </c>
      <c r="H78" s="18" t="n"/>
      <c r="I78" s="16" t="n"/>
    </row>
    <row r="79">
      <c r="A79" s="38">
        <f>Insumos!$A79</f>
        <v/>
      </c>
      <c r="B79" s="39">
        <f>Insumos!$B79</f>
        <v/>
      </c>
      <c r="C79" s="40">
        <f>Insumos!$E79</f>
        <v/>
      </c>
      <c r="D79" s="41">
        <f>Insumos!$F79</f>
        <v/>
      </c>
      <c r="E79" s="28" t="n"/>
      <c r="F79" s="28" t="n"/>
      <c r="G79" s="42">
        <f>IFERROR($E79*$D79,0)+IFERROR($F79,0)</f>
        <v/>
      </c>
      <c r="H79" s="18" t="n"/>
      <c r="I79" s="16" t="n"/>
    </row>
    <row r="80">
      <c r="A80" s="43">
        <f>Insumos!$A80</f>
        <v/>
      </c>
      <c r="B80" s="44">
        <f>Insumos!$B80</f>
        <v/>
      </c>
      <c r="C80" s="45">
        <f>Insumos!$E80</f>
        <v/>
      </c>
      <c r="D80" s="46">
        <f>Insumos!$F80</f>
        <v/>
      </c>
      <c r="E80" s="28" t="n"/>
      <c r="F80" s="28" t="n"/>
      <c r="G80" s="42">
        <f>IFERROR($E80*$D80,0)+IFERROR($F80,0)</f>
        <v/>
      </c>
      <c r="H80" s="18" t="n"/>
      <c r="I80" s="16" t="n"/>
    </row>
    <row r="81">
      <c r="A81" s="38">
        <f>Insumos!$A81</f>
        <v/>
      </c>
      <c r="B81" s="39">
        <f>Insumos!$B81</f>
        <v/>
      </c>
      <c r="C81" s="40">
        <f>Insumos!$E81</f>
        <v/>
      </c>
      <c r="D81" s="41">
        <f>Insumos!$F81</f>
        <v/>
      </c>
      <c r="E81" s="28" t="n"/>
      <c r="F81" s="28" t="n"/>
      <c r="G81" s="42">
        <f>IFERROR($E81*$D81,0)+IFERROR($F81,0)</f>
        <v/>
      </c>
      <c r="H81" s="18" t="n"/>
      <c r="I81" s="16" t="n"/>
    </row>
    <row r="82">
      <c r="A82" s="43">
        <f>Insumos!$A82</f>
        <v/>
      </c>
      <c r="B82" s="44">
        <f>Insumos!$B82</f>
        <v/>
      </c>
      <c r="C82" s="45">
        <f>Insumos!$E82</f>
        <v/>
      </c>
      <c r="D82" s="46">
        <f>Insumos!$F82</f>
        <v/>
      </c>
      <c r="E82" s="28" t="n"/>
      <c r="F82" s="28" t="n"/>
      <c r="G82" s="42">
        <f>IFERROR($E82*$D82,0)+IFERROR($F82,0)</f>
        <v/>
      </c>
      <c r="H82" s="18" t="n"/>
      <c r="I82" s="16" t="n"/>
    </row>
    <row r="83">
      <c r="A83" s="38">
        <f>Insumos!$A83</f>
        <v/>
      </c>
      <c r="B83" s="39">
        <f>Insumos!$B83</f>
        <v/>
      </c>
      <c r="C83" s="40">
        <f>Insumos!$E83</f>
        <v/>
      </c>
      <c r="D83" s="41">
        <f>Insumos!$F83</f>
        <v/>
      </c>
      <c r="E83" s="28" t="n"/>
      <c r="F83" s="28" t="n"/>
      <c r="G83" s="42">
        <f>IFERROR($E83*$D83,0)+IFERROR($F83,0)</f>
        <v/>
      </c>
      <c r="H83" s="18" t="n"/>
      <c r="I83" s="16" t="n"/>
    </row>
    <row r="84">
      <c r="A84" s="43">
        <f>Insumos!$A84</f>
        <v/>
      </c>
      <c r="B84" s="44">
        <f>Insumos!$B84</f>
        <v/>
      </c>
      <c r="C84" s="45">
        <f>Insumos!$E84</f>
        <v/>
      </c>
      <c r="D84" s="46">
        <f>Insumos!$F84</f>
        <v/>
      </c>
      <c r="E84" s="28" t="n"/>
      <c r="F84" s="28" t="n"/>
      <c r="G84" s="42">
        <f>IFERROR($E84*$D84,0)+IFERROR($F84,0)</f>
        <v/>
      </c>
      <c r="H84" s="18" t="n"/>
      <c r="I84" s="16" t="n"/>
    </row>
    <row r="85">
      <c r="A85" s="38">
        <f>Insumos!$A85</f>
        <v/>
      </c>
      <c r="B85" s="39">
        <f>Insumos!$B85</f>
        <v/>
      </c>
      <c r="C85" s="40">
        <f>Insumos!$E85</f>
        <v/>
      </c>
      <c r="D85" s="41">
        <f>Insumos!$F85</f>
        <v/>
      </c>
      <c r="E85" s="28" t="n"/>
      <c r="F85" s="28" t="n"/>
      <c r="G85" s="42">
        <f>IFERROR($E85*$D85,0)+IFERROR($F85,0)</f>
        <v/>
      </c>
      <c r="H85" s="18" t="n"/>
      <c r="I85" s="16" t="n"/>
    </row>
    <row r="86">
      <c r="A86" s="43">
        <f>Insumos!$A86</f>
        <v/>
      </c>
      <c r="B86" s="44">
        <f>Insumos!$B86</f>
        <v/>
      </c>
      <c r="C86" s="45">
        <f>Insumos!$E86</f>
        <v/>
      </c>
      <c r="D86" s="46">
        <f>Insumos!$F86</f>
        <v/>
      </c>
      <c r="E86" s="28" t="n"/>
      <c r="F86" s="28" t="n"/>
      <c r="G86" s="42">
        <f>IFERROR($E86*$D86,0)+IFERROR($F86,0)</f>
        <v/>
      </c>
      <c r="H86" s="18" t="n"/>
      <c r="I86" s="16" t="n"/>
    </row>
    <row r="87">
      <c r="A87" s="38">
        <f>Insumos!$A87</f>
        <v/>
      </c>
      <c r="B87" s="39">
        <f>Insumos!$B87</f>
        <v/>
      </c>
      <c r="C87" s="40">
        <f>Insumos!$E87</f>
        <v/>
      </c>
      <c r="D87" s="41">
        <f>Insumos!$F87</f>
        <v/>
      </c>
      <c r="E87" s="28" t="n"/>
      <c r="F87" s="28" t="n"/>
      <c r="G87" s="42">
        <f>IFERROR($E87*$D87,0)+IFERROR($F87,0)</f>
        <v/>
      </c>
      <c r="H87" s="18" t="n"/>
      <c r="I87" s="16" t="n"/>
    </row>
    <row r="88">
      <c r="A88" s="43">
        <f>Insumos!$A88</f>
        <v/>
      </c>
      <c r="B88" s="44">
        <f>Insumos!$B88</f>
        <v/>
      </c>
      <c r="C88" s="45">
        <f>Insumos!$E88</f>
        <v/>
      </c>
      <c r="D88" s="46">
        <f>Insumos!$F88</f>
        <v/>
      </c>
      <c r="E88" s="28" t="n"/>
      <c r="F88" s="28" t="n"/>
      <c r="G88" s="42">
        <f>IFERROR($E88*$D88,0)+IFERROR($F88,0)</f>
        <v/>
      </c>
      <c r="H88" s="18" t="n"/>
      <c r="I88" s="16" t="n"/>
    </row>
    <row r="89">
      <c r="A89" s="38">
        <f>Insumos!$A89</f>
        <v/>
      </c>
      <c r="B89" s="39">
        <f>Insumos!$B89</f>
        <v/>
      </c>
      <c r="C89" s="40">
        <f>Insumos!$E89</f>
        <v/>
      </c>
      <c r="D89" s="41">
        <f>Insumos!$F89</f>
        <v/>
      </c>
      <c r="E89" s="28" t="n"/>
      <c r="F89" s="28" t="n"/>
      <c r="G89" s="42">
        <f>IFERROR($E89*$D89,0)+IFERROR($F89,0)</f>
        <v/>
      </c>
      <c r="H89" s="18" t="n"/>
      <c r="I89" s="16" t="n"/>
    </row>
    <row r="90">
      <c r="A90" s="43">
        <f>Insumos!$A90</f>
        <v/>
      </c>
      <c r="B90" s="44">
        <f>Insumos!$B90</f>
        <v/>
      </c>
      <c r="C90" s="45">
        <f>Insumos!$E90</f>
        <v/>
      </c>
      <c r="D90" s="46">
        <f>Insumos!$F90</f>
        <v/>
      </c>
      <c r="E90" s="28" t="n"/>
      <c r="F90" s="28" t="n"/>
      <c r="G90" s="42">
        <f>IFERROR($E90*$D90,0)+IFERROR($F90,0)</f>
        <v/>
      </c>
      <c r="H90" s="18" t="n"/>
      <c r="I90" s="16" t="n"/>
    </row>
    <row r="91">
      <c r="A91" s="38">
        <f>Insumos!$A91</f>
        <v/>
      </c>
      <c r="B91" s="39">
        <f>Insumos!$B91</f>
        <v/>
      </c>
      <c r="C91" s="40">
        <f>Insumos!$E91</f>
        <v/>
      </c>
      <c r="D91" s="41">
        <f>Insumos!$F91</f>
        <v/>
      </c>
      <c r="E91" s="28" t="n"/>
      <c r="F91" s="28" t="n"/>
      <c r="G91" s="42">
        <f>IFERROR($E91*$D91,0)+IFERROR($F91,0)</f>
        <v/>
      </c>
      <c r="H91" s="18" t="n"/>
      <c r="I91" s="16" t="n"/>
    </row>
    <row r="92">
      <c r="A92" s="43">
        <f>Insumos!$A92</f>
        <v/>
      </c>
      <c r="B92" s="44">
        <f>Insumos!$B92</f>
        <v/>
      </c>
      <c r="C92" s="45">
        <f>Insumos!$E92</f>
        <v/>
      </c>
      <c r="D92" s="46">
        <f>Insumos!$F92</f>
        <v/>
      </c>
      <c r="E92" s="28" t="n"/>
      <c r="F92" s="28" t="n"/>
      <c r="G92" s="42">
        <f>IFERROR($E92*$D92,0)+IFERROR($F92,0)</f>
        <v/>
      </c>
      <c r="H92" s="18" t="n"/>
      <c r="I92" s="16" t="n"/>
    </row>
    <row r="93">
      <c r="A93" s="38">
        <f>Insumos!$A93</f>
        <v/>
      </c>
      <c r="B93" s="39">
        <f>Insumos!$B93</f>
        <v/>
      </c>
      <c r="C93" s="40">
        <f>Insumos!$E93</f>
        <v/>
      </c>
      <c r="D93" s="41">
        <f>Insumos!$F93</f>
        <v/>
      </c>
      <c r="E93" s="28" t="n"/>
      <c r="F93" s="28" t="n"/>
      <c r="G93" s="42">
        <f>IFERROR($E93*$D93,0)+IFERROR($F93,0)</f>
        <v/>
      </c>
      <c r="H93" s="18" t="n"/>
      <c r="I93" s="16" t="n"/>
    </row>
    <row r="94">
      <c r="A94" s="43">
        <f>Insumos!$A94</f>
        <v/>
      </c>
      <c r="B94" s="44">
        <f>Insumos!$B94</f>
        <v/>
      </c>
      <c r="C94" s="45">
        <f>Insumos!$E94</f>
        <v/>
      </c>
      <c r="D94" s="46">
        <f>Insumos!$F94</f>
        <v/>
      </c>
      <c r="E94" s="28" t="n"/>
      <c r="F94" s="28" t="n"/>
      <c r="G94" s="42">
        <f>IFERROR($E94*$D94,0)+IFERROR($F94,0)</f>
        <v/>
      </c>
      <c r="H94" s="18" t="n"/>
      <c r="I94" s="16" t="n"/>
    </row>
    <row r="95">
      <c r="A95" s="38">
        <f>Insumos!$A95</f>
        <v/>
      </c>
      <c r="B95" s="39">
        <f>Insumos!$B95</f>
        <v/>
      </c>
      <c r="C95" s="40">
        <f>Insumos!$E95</f>
        <v/>
      </c>
      <c r="D95" s="41">
        <f>Insumos!$F95</f>
        <v/>
      </c>
      <c r="E95" s="28" t="n"/>
      <c r="F95" s="28" t="n"/>
      <c r="G95" s="42">
        <f>IFERROR($E95*$D95,0)+IFERROR($F95,0)</f>
        <v/>
      </c>
      <c r="H95" s="18" t="n"/>
      <c r="I95" s="16" t="n"/>
    </row>
    <row r="96">
      <c r="A96" s="43">
        <f>Insumos!$A96</f>
        <v/>
      </c>
      <c r="B96" s="44">
        <f>Insumos!$B96</f>
        <v/>
      </c>
      <c r="C96" s="45">
        <f>Insumos!$E96</f>
        <v/>
      </c>
      <c r="D96" s="46">
        <f>Insumos!$F96</f>
        <v/>
      </c>
      <c r="E96" s="28" t="n"/>
      <c r="F96" s="28" t="n"/>
      <c r="G96" s="42">
        <f>IFERROR($E96*$D96,0)+IFERROR($F96,0)</f>
        <v/>
      </c>
      <c r="H96" s="18" t="n"/>
      <c r="I96" s="16" t="n"/>
    </row>
    <row r="97">
      <c r="A97" s="38">
        <f>Insumos!$A97</f>
        <v/>
      </c>
      <c r="B97" s="39">
        <f>Insumos!$B97</f>
        <v/>
      </c>
      <c r="C97" s="40">
        <f>Insumos!$E97</f>
        <v/>
      </c>
      <c r="D97" s="41">
        <f>Insumos!$F97</f>
        <v/>
      </c>
      <c r="E97" s="28" t="n"/>
      <c r="F97" s="28" t="n"/>
      <c r="G97" s="42">
        <f>IFERROR($E97*$D97,0)+IFERROR($F97,0)</f>
        <v/>
      </c>
      <c r="H97" s="18" t="n"/>
      <c r="I97" s="16" t="n"/>
    </row>
    <row r="98">
      <c r="A98" s="43">
        <f>Insumos!$A98</f>
        <v/>
      </c>
      <c r="B98" s="44">
        <f>Insumos!$B98</f>
        <v/>
      </c>
      <c r="C98" s="45">
        <f>Insumos!$E98</f>
        <v/>
      </c>
      <c r="D98" s="46">
        <f>Insumos!$F98</f>
        <v/>
      </c>
      <c r="E98" s="28" t="n"/>
      <c r="F98" s="28" t="n"/>
      <c r="G98" s="42">
        <f>IFERROR($E98*$D98,0)+IFERROR($F98,0)</f>
        <v/>
      </c>
      <c r="H98" s="18" t="n"/>
      <c r="I98" s="16" t="n"/>
    </row>
    <row r="99">
      <c r="A99" s="38">
        <f>Insumos!$A99</f>
        <v/>
      </c>
      <c r="B99" s="39">
        <f>Insumos!$B99</f>
        <v/>
      </c>
      <c r="C99" s="40">
        <f>Insumos!$E99</f>
        <v/>
      </c>
      <c r="D99" s="41">
        <f>Insumos!$F99</f>
        <v/>
      </c>
      <c r="E99" s="28" t="n"/>
      <c r="F99" s="28" t="n"/>
      <c r="G99" s="42">
        <f>IFERROR($E99*$D99,0)+IFERROR($F99,0)</f>
        <v/>
      </c>
      <c r="H99" s="18" t="n"/>
      <c r="I99" s="16" t="n"/>
    </row>
    <row r="100">
      <c r="A100" s="43">
        <f>Insumos!$A100</f>
        <v/>
      </c>
      <c r="B100" s="44">
        <f>Insumos!$B100</f>
        <v/>
      </c>
      <c r="C100" s="45">
        <f>Insumos!$E100</f>
        <v/>
      </c>
      <c r="D100" s="46">
        <f>Insumos!$F100</f>
        <v/>
      </c>
      <c r="E100" s="28" t="n"/>
      <c r="F100" s="28" t="n"/>
      <c r="G100" s="42">
        <f>IFERROR($E100*$D100,0)+IFERROR($F100,0)</f>
        <v/>
      </c>
      <c r="H100" s="18" t="n"/>
      <c r="I100" s="16" t="n"/>
    </row>
    <row r="101">
      <c r="A101" s="38">
        <f>Insumos!$A101</f>
        <v/>
      </c>
      <c r="B101" s="39">
        <f>Insumos!$B101</f>
        <v/>
      </c>
      <c r="C101" s="40">
        <f>Insumos!$E101</f>
        <v/>
      </c>
      <c r="D101" s="41">
        <f>Insumos!$F101</f>
        <v/>
      </c>
      <c r="E101" s="28" t="n"/>
      <c r="F101" s="28" t="n"/>
      <c r="G101" s="42">
        <f>IFERROR($E101*$D101,0)+IFERROR($F101,0)</f>
        <v/>
      </c>
      <c r="H101" s="18" t="n"/>
      <c r="I101" s="16" t="n"/>
    </row>
    <row r="102">
      <c r="A102" s="43">
        <f>Insumos!$A102</f>
        <v/>
      </c>
      <c r="B102" s="44">
        <f>Insumos!$B102</f>
        <v/>
      </c>
      <c r="C102" s="45">
        <f>Insumos!$E102</f>
        <v/>
      </c>
      <c r="D102" s="46">
        <f>Insumos!$F102</f>
        <v/>
      </c>
      <c r="E102" s="28" t="n"/>
      <c r="F102" s="28" t="n"/>
      <c r="G102" s="42">
        <f>IFERROR($E102*$D102,0)+IFERROR($F102,0)</f>
        <v/>
      </c>
      <c r="H102" s="18" t="n"/>
      <c r="I102" s="16" t="n"/>
    </row>
    <row r="103">
      <c r="A103" s="38">
        <f>Insumos!$A103</f>
        <v/>
      </c>
      <c r="B103" s="39">
        <f>Insumos!$B103</f>
        <v/>
      </c>
      <c r="C103" s="40">
        <f>Insumos!$E103</f>
        <v/>
      </c>
      <c r="D103" s="41">
        <f>Insumos!$F103</f>
        <v/>
      </c>
      <c r="E103" s="28" t="n"/>
      <c r="F103" s="28" t="n"/>
      <c r="G103" s="42">
        <f>IFERROR($E103*$D103,0)+IFERROR($F103,0)</f>
        <v/>
      </c>
      <c r="H103" s="18" t="n"/>
      <c r="I103" s="16" t="n"/>
    </row>
    <row r="104">
      <c r="A104" s="43">
        <f>Insumos!$A104</f>
        <v/>
      </c>
      <c r="B104" s="44">
        <f>Insumos!$B104</f>
        <v/>
      </c>
      <c r="C104" s="45">
        <f>Insumos!$E104</f>
        <v/>
      </c>
      <c r="D104" s="46">
        <f>Insumos!$F104</f>
        <v/>
      </c>
      <c r="E104" s="28" t="n"/>
      <c r="F104" s="28" t="n"/>
      <c r="G104" s="42">
        <f>IFERROR($E104*$D104,0)+IFERROR($F104,0)</f>
        <v/>
      </c>
      <c r="H104" s="18" t="n"/>
      <c r="I104" s="16" t="n"/>
    </row>
    <row r="105">
      <c r="A105" s="38">
        <f>Insumos!$A105</f>
        <v/>
      </c>
      <c r="B105" s="39">
        <f>Insumos!$B105</f>
        <v/>
      </c>
      <c r="C105" s="40">
        <f>Insumos!$E105</f>
        <v/>
      </c>
      <c r="D105" s="41">
        <f>Insumos!$F105</f>
        <v/>
      </c>
      <c r="E105" s="28" t="n"/>
      <c r="F105" s="28" t="n"/>
      <c r="G105" s="42">
        <f>IFERROR($E105*$D105,0)+IFERROR($F105,0)</f>
        <v/>
      </c>
      <c r="H105" s="18" t="n"/>
      <c r="I105" s="16" t="n"/>
    </row>
    <row r="106">
      <c r="A106" s="43">
        <f>Insumos!$A106</f>
        <v/>
      </c>
      <c r="B106" s="44">
        <f>Insumos!$B106</f>
        <v/>
      </c>
      <c r="C106" s="45">
        <f>Insumos!$E106</f>
        <v/>
      </c>
      <c r="D106" s="46">
        <f>Insumos!$F106</f>
        <v/>
      </c>
      <c r="E106" s="28" t="n"/>
      <c r="F106" s="28" t="n"/>
      <c r="G106" s="42">
        <f>IFERROR($E106*$D106,0)+IFERROR($F106,0)</f>
        <v/>
      </c>
      <c r="H106" s="18" t="n"/>
      <c r="I106" s="16" t="n"/>
    </row>
    <row r="107">
      <c r="A107" s="38">
        <f>Insumos!$A107</f>
        <v/>
      </c>
      <c r="B107" s="39">
        <f>Insumos!$B107</f>
        <v/>
      </c>
      <c r="C107" s="40">
        <f>Insumos!$E107</f>
        <v/>
      </c>
      <c r="D107" s="41">
        <f>Insumos!$F107</f>
        <v/>
      </c>
      <c r="E107" s="28" t="n"/>
      <c r="F107" s="28" t="n"/>
      <c r="G107" s="42">
        <f>IFERROR($E107*$D107,0)+IFERROR($F107,0)</f>
        <v/>
      </c>
      <c r="H107" s="18" t="n"/>
      <c r="I107" s="16" t="n"/>
    </row>
    <row r="108">
      <c r="A108" s="43">
        <f>Insumos!$A108</f>
        <v/>
      </c>
      <c r="B108" s="44">
        <f>Insumos!$B108</f>
        <v/>
      </c>
      <c r="C108" s="45">
        <f>Insumos!$E108</f>
        <v/>
      </c>
      <c r="D108" s="46">
        <f>Insumos!$F108</f>
        <v/>
      </c>
      <c r="E108" s="28" t="n"/>
      <c r="F108" s="28" t="n"/>
      <c r="G108" s="42">
        <f>IFERROR($E108*$D108,0)+IFERROR($F108,0)</f>
        <v/>
      </c>
      <c r="H108" s="18" t="n"/>
      <c r="I108" s="16" t="n"/>
    </row>
    <row r="109">
      <c r="A109" s="38">
        <f>Insumos!$A109</f>
        <v/>
      </c>
      <c r="B109" s="39">
        <f>Insumos!$B109</f>
        <v/>
      </c>
      <c r="C109" s="40">
        <f>Insumos!$E109</f>
        <v/>
      </c>
      <c r="D109" s="41">
        <f>Insumos!$F109</f>
        <v/>
      </c>
      <c r="E109" s="28" t="n"/>
      <c r="F109" s="28" t="n"/>
      <c r="G109" s="42">
        <f>IFERROR($E109*$D109,0)+IFERROR($F109,0)</f>
        <v/>
      </c>
      <c r="H109" s="18" t="n"/>
      <c r="I109" s="16" t="n"/>
    </row>
    <row r="110">
      <c r="A110" s="43">
        <f>Insumos!$A110</f>
        <v/>
      </c>
      <c r="B110" s="44">
        <f>Insumos!$B110</f>
        <v/>
      </c>
      <c r="C110" s="45">
        <f>Insumos!$E110</f>
        <v/>
      </c>
      <c r="D110" s="46">
        <f>Insumos!$F110</f>
        <v/>
      </c>
      <c r="E110" s="28" t="n"/>
      <c r="F110" s="28" t="n"/>
      <c r="G110" s="42">
        <f>IFERROR($E110*$D110,0)+IFERROR($F110,0)</f>
        <v/>
      </c>
      <c r="H110" s="18" t="n"/>
      <c r="I110" s="16" t="n"/>
    </row>
    <row r="111">
      <c r="A111" s="38">
        <f>Insumos!$A111</f>
        <v/>
      </c>
      <c r="B111" s="39">
        <f>Insumos!$B111</f>
        <v/>
      </c>
      <c r="C111" s="40">
        <f>Insumos!$E111</f>
        <v/>
      </c>
      <c r="D111" s="41">
        <f>Insumos!$F111</f>
        <v/>
      </c>
      <c r="E111" s="28" t="n"/>
      <c r="F111" s="28" t="n"/>
      <c r="G111" s="42">
        <f>IFERROR($E111*$D111,0)+IFERROR($F111,0)</f>
        <v/>
      </c>
      <c r="H111" s="18" t="n"/>
      <c r="I111" s="16" t="n"/>
    </row>
    <row r="112">
      <c r="A112" s="43">
        <f>Insumos!$A112</f>
        <v/>
      </c>
      <c r="B112" s="44">
        <f>Insumos!$B112</f>
        <v/>
      </c>
      <c r="C112" s="45">
        <f>Insumos!$E112</f>
        <v/>
      </c>
      <c r="D112" s="46">
        <f>Insumos!$F112</f>
        <v/>
      </c>
      <c r="E112" s="28" t="n"/>
      <c r="F112" s="28" t="n"/>
      <c r="G112" s="42">
        <f>IFERROR($E112*$D112,0)+IFERROR($F112,0)</f>
        <v/>
      </c>
      <c r="H112" s="18" t="n"/>
      <c r="I112" s="16" t="n"/>
    </row>
    <row r="113">
      <c r="A113" s="38">
        <f>Insumos!$A113</f>
        <v/>
      </c>
      <c r="B113" s="39">
        <f>Insumos!$B113</f>
        <v/>
      </c>
      <c r="C113" s="40">
        <f>Insumos!$E113</f>
        <v/>
      </c>
      <c r="D113" s="41">
        <f>Insumos!$F113</f>
        <v/>
      </c>
      <c r="E113" s="28" t="n"/>
      <c r="F113" s="28" t="n"/>
      <c r="G113" s="42">
        <f>IFERROR($E113*$D113,0)+IFERROR($F113,0)</f>
        <v/>
      </c>
      <c r="H113" s="18" t="n"/>
      <c r="I113" s="16" t="n"/>
    </row>
    <row r="114">
      <c r="A114" s="43">
        <f>Insumos!$A114</f>
        <v/>
      </c>
      <c r="B114" s="44">
        <f>Insumos!$B114</f>
        <v/>
      </c>
      <c r="C114" s="45">
        <f>Insumos!$E114</f>
        <v/>
      </c>
      <c r="D114" s="46">
        <f>Insumos!$F114</f>
        <v/>
      </c>
      <c r="E114" s="28" t="n"/>
      <c r="F114" s="28" t="n"/>
      <c r="G114" s="42">
        <f>IFERROR($E114*$D114,0)+IFERROR($F114,0)</f>
        <v/>
      </c>
      <c r="H114" s="18" t="n"/>
      <c r="I114" s="16" t="n"/>
    </row>
    <row r="115">
      <c r="A115" s="38">
        <f>Insumos!$A115</f>
        <v/>
      </c>
      <c r="B115" s="39">
        <f>Insumos!$B115</f>
        <v/>
      </c>
      <c r="C115" s="40">
        <f>Insumos!$E115</f>
        <v/>
      </c>
      <c r="D115" s="41">
        <f>Insumos!$F115</f>
        <v/>
      </c>
      <c r="E115" s="28" t="n"/>
      <c r="F115" s="28" t="n"/>
      <c r="G115" s="42">
        <f>IFERROR($E115*$D115,0)+IFERROR($F115,0)</f>
        <v/>
      </c>
      <c r="H115" s="18" t="n"/>
      <c r="I115" s="16" t="n"/>
    </row>
    <row r="116">
      <c r="A116" s="43">
        <f>Insumos!$A116</f>
        <v/>
      </c>
      <c r="B116" s="44">
        <f>Insumos!$B116</f>
        <v/>
      </c>
      <c r="C116" s="45">
        <f>Insumos!$E116</f>
        <v/>
      </c>
      <c r="D116" s="46">
        <f>Insumos!$F116</f>
        <v/>
      </c>
      <c r="E116" s="28" t="n"/>
      <c r="F116" s="28" t="n"/>
      <c r="G116" s="42">
        <f>IFERROR($E116*$D116,0)+IFERROR($F116,0)</f>
        <v/>
      </c>
      <c r="H116" s="18" t="n"/>
      <c r="I116" s="16" t="n"/>
    </row>
    <row r="117">
      <c r="A117" s="38">
        <f>Insumos!$A117</f>
        <v/>
      </c>
      <c r="B117" s="39">
        <f>Insumos!$B117</f>
        <v/>
      </c>
      <c r="C117" s="40">
        <f>Insumos!$E117</f>
        <v/>
      </c>
      <c r="D117" s="41">
        <f>Insumos!$F117</f>
        <v/>
      </c>
      <c r="E117" s="28" t="n"/>
      <c r="F117" s="28" t="n"/>
      <c r="G117" s="42">
        <f>IFERROR($E117*$D117,0)+IFERROR($F117,0)</f>
        <v/>
      </c>
      <c r="H117" s="18" t="n"/>
      <c r="I117" s="16" t="n"/>
    </row>
    <row r="118">
      <c r="A118" s="43">
        <f>Insumos!$A118</f>
        <v/>
      </c>
      <c r="B118" s="44">
        <f>Insumos!$B118</f>
        <v/>
      </c>
      <c r="C118" s="45">
        <f>Insumos!$E118</f>
        <v/>
      </c>
      <c r="D118" s="46">
        <f>Insumos!$F118</f>
        <v/>
      </c>
      <c r="E118" s="28" t="n"/>
      <c r="F118" s="28" t="n"/>
      <c r="G118" s="42">
        <f>IFERROR($E118*$D118,0)+IFERROR($F118,0)</f>
        <v/>
      </c>
      <c r="H118" s="18" t="n"/>
      <c r="I118" s="16" t="n"/>
    </row>
    <row r="119">
      <c r="A119" s="38">
        <f>Insumos!$A119</f>
        <v/>
      </c>
      <c r="B119" s="39">
        <f>Insumos!$B119</f>
        <v/>
      </c>
      <c r="C119" s="40">
        <f>Insumos!$E119</f>
        <v/>
      </c>
      <c r="D119" s="41">
        <f>Insumos!$F119</f>
        <v/>
      </c>
      <c r="E119" s="28" t="n"/>
      <c r="F119" s="28" t="n"/>
      <c r="G119" s="42">
        <f>IFERROR($E119*$D119,0)+IFERROR($F119,0)</f>
        <v/>
      </c>
      <c r="H119" s="18" t="n"/>
      <c r="I119" s="16" t="n"/>
    </row>
    <row r="120">
      <c r="A120" s="43">
        <f>Insumos!$A120</f>
        <v/>
      </c>
      <c r="B120" s="44">
        <f>Insumos!$B120</f>
        <v/>
      </c>
      <c r="C120" s="45">
        <f>Insumos!$E120</f>
        <v/>
      </c>
      <c r="D120" s="46">
        <f>Insumos!$F120</f>
        <v/>
      </c>
      <c r="E120" s="28" t="n"/>
      <c r="F120" s="28" t="n"/>
      <c r="G120" s="42">
        <f>IFERROR($E120*$D120,0)+IFERROR($F120,0)</f>
        <v/>
      </c>
      <c r="H120" s="18" t="n"/>
      <c r="I120" s="16" t="n"/>
    </row>
    <row r="121">
      <c r="A121" s="38">
        <f>Insumos!$A121</f>
        <v/>
      </c>
      <c r="B121" s="39">
        <f>Insumos!$B121</f>
        <v/>
      </c>
      <c r="C121" s="40">
        <f>Insumos!$E121</f>
        <v/>
      </c>
      <c r="D121" s="41">
        <f>Insumos!$F121</f>
        <v/>
      </c>
      <c r="E121" s="28" t="n"/>
      <c r="F121" s="28" t="n"/>
      <c r="G121" s="42">
        <f>IFERROR($E121*$D121,0)+IFERROR($F121,0)</f>
        <v/>
      </c>
      <c r="H121" s="18" t="n"/>
      <c r="I121" s="16" t="n"/>
    </row>
    <row r="122">
      <c r="A122" s="43">
        <f>Insumos!$A122</f>
        <v/>
      </c>
      <c r="B122" s="44">
        <f>Insumos!$B122</f>
        <v/>
      </c>
      <c r="C122" s="45">
        <f>Insumos!$E122</f>
        <v/>
      </c>
      <c r="D122" s="46">
        <f>Insumos!$F122</f>
        <v/>
      </c>
      <c r="E122" s="28" t="n"/>
      <c r="F122" s="28" t="n"/>
      <c r="G122" s="42">
        <f>IFERROR($E122*$D122,0)+IFERROR($F122,0)</f>
        <v/>
      </c>
      <c r="H122" s="18" t="n"/>
      <c r="I122" s="16" t="n"/>
    </row>
    <row r="123">
      <c r="A123" s="38">
        <f>Insumos!$A123</f>
        <v/>
      </c>
      <c r="B123" s="39">
        <f>Insumos!$B123</f>
        <v/>
      </c>
      <c r="C123" s="40">
        <f>Insumos!$E123</f>
        <v/>
      </c>
      <c r="D123" s="41">
        <f>Insumos!$F123</f>
        <v/>
      </c>
      <c r="E123" s="28" t="n"/>
      <c r="F123" s="28" t="n"/>
      <c r="G123" s="42">
        <f>IFERROR($E123*$D123,0)+IFERROR($F123,0)</f>
        <v/>
      </c>
      <c r="H123" s="18" t="n"/>
      <c r="I123" s="16" t="n"/>
    </row>
    <row r="124">
      <c r="A124" s="43">
        <f>Insumos!$A124</f>
        <v/>
      </c>
      <c r="B124" s="44">
        <f>Insumos!$B124</f>
        <v/>
      </c>
      <c r="C124" s="45">
        <f>Insumos!$E124</f>
        <v/>
      </c>
      <c r="D124" s="46">
        <f>Insumos!$F124</f>
        <v/>
      </c>
      <c r="E124" s="28" t="n"/>
      <c r="F124" s="28" t="n"/>
      <c r="G124" s="42">
        <f>IFERROR($E124*$D124,0)+IFERROR($F124,0)</f>
        <v/>
      </c>
      <c r="H124" s="18" t="n"/>
      <c r="I124" s="16" t="n"/>
    </row>
    <row r="125">
      <c r="A125" s="38">
        <f>Insumos!$A125</f>
        <v/>
      </c>
      <c r="B125" s="39">
        <f>Insumos!$B125</f>
        <v/>
      </c>
      <c r="C125" s="40">
        <f>Insumos!$E125</f>
        <v/>
      </c>
      <c r="D125" s="41">
        <f>Insumos!$F125</f>
        <v/>
      </c>
      <c r="E125" s="28" t="n"/>
      <c r="F125" s="28" t="n"/>
      <c r="G125" s="42">
        <f>IFERROR($E125*$D125,0)+IFERROR($F125,0)</f>
        <v/>
      </c>
      <c r="H125" s="18" t="n"/>
      <c r="I125" s="16" t="n"/>
    </row>
    <row r="126">
      <c r="A126" s="43">
        <f>Insumos!$A126</f>
        <v/>
      </c>
      <c r="B126" s="44">
        <f>Insumos!$B126</f>
        <v/>
      </c>
      <c r="C126" s="45">
        <f>Insumos!$E126</f>
        <v/>
      </c>
      <c r="D126" s="46">
        <f>Insumos!$F126</f>
        <v/>
      </c>
      <c r="E126" s="28" t="n"/>
      <c r="F126" s="28" t="n"/>
      <c r="G126" s="42">
        <f>IFERROR($E126*$D126,0)+IFERROR($F126,0)</f>
        <v/>
      </c>
      <c r="H126" s="18" t="n"/>
      <c r="I126" s="16" t="n"/>
    </row>
    <row r="127">
      <c r="A127" s="38">
        <f>Insumos!$A127</f>
        <v/>
      </c>
      <c r="B127" s="39">
        <f>Insumos!$B127</f>
        <v/>
      </c>
      <c r="C127" s="40">
        <f>Insumos!$E127</f>
        <v/>
      </c>
      <c r="D127" s="41">
        <f>Insumos!$F127</f>
        <v/>
      </c>
      <c r="E127" s="28" t="n"/>
      <c r="F127" s="28" t="n"/>
      <c r="G127" s="42">
        <f>IFERROR($E127*$D127,0)+IFERROR($F127,0)</f>
        <v/>
      </c>
      <c r="H127" s="18" t="n"/>
      <c r="I127" s="16" t="n"/>
    </row>
    <row r="128">
      <c r="A128" s="43">
        <f>Insumos!$A128</f>
        <v/>
      </c>
      <c r="B128" s="44">
        <f>Insumos!$B128</f>
        <v/>
      </c>
      <c r="C128" s="45">
        <f>Insumos!$E128</f>
        <v/>
      </c>
      <c r="D128" s="46">
        <f>Insumos!$F128</f>
        <v/>
      </c>
      <c r="E128" s="28" t="n"/>
      <c r="F128" s="28" t="n"/>
      <c r="G128" s="42">
        <f>IFERROR($E128*$D128,0)+IFERROR($F128,0)</f>
        <v/>
      </c>
      <c r="H128" s="18" t="n"/>
      <c r="I128" s="16" t="n"/>
    </row>
    <row r="129">
      <c r="A129" s="38">
        <f>Insumos!$A129</f>
        <v/>
      </c>
      <c r="B129" s="39">
        <f>Insumos!$B129</f>
        <v/>
      </c>
      <c r="C129" s="40">
        <f>Insumos!$E129</f>
        <v/>
      </c>
      <c r="D129" s="41">
        <f>Insumos!$F129</f>
        <v/>
      </c>
      <c r="E129" s="28" t="n"/>
      <c r="F129" s="28" t="n"/>
      <c r="G129" s="42">
        <f>IFERROR($E129*$D129,0)+IFERROR($F129,0)</f>
        <v/>
      </c>
      <c r="H129" s="18" t="n"/>
      <c r="I129" s="16" t="n"/>
    </row>
    <row r="130">
      <c r="A130" s="43">
        <f>Insumos!$A130</f>
        <v/>
      </c>
      <c r="B130" s="44">
        <f>Insumos!$B130</f>
        <v/>
      </c>
      <c r="C130" s="45">
        <f>Insumos!$E130</f>
        <v/>
      </c>
      <c r="D130" s="46">
        <f>Insumos!$F130</f>
        <v/>
      </c>
      <c r="E130" s="28" t="n"/>
      <c r="F130" s="28" t="n"/>
      <c r="G130" s="42">
        <f>IFERROR($E130*$D130,0)+IFERROR($F130,0)</f>
        <v/>
      </c>
      <c r="H130" s="18" t="n"/>
      <c r="I130" s="16" t="n"/>
    </row>
    <row r="131">
      <c r="A131" s="38">
        <f>Insumos!$A131</f>
        <v/>
      </c>
      <c r="B131" s="39">
        <f>Insumos!$B131</f>
        <v/>
      </c>
      <c r="C131" s="40">
        <f>Insumos!$E131</f>
        <v/>
      </c>
      <c r="D131" s="41">
        <f>Insumos!$F131</f>
        <v/>
      </c>
      <c r="E131" s="28" t="n"/>
      <c r="F131" s="28" t="n"/>
      <c r="G131" s="42">
        <f>IFERROR($E131*$D131,0)+IFERROR($F131,0)</f>
        <v/>
      </c>
      <c r="H131" s="18" t="n"/>
      <c r="I131" s="16" t="n"/>
    </row>
    <row r="132">
      <c r="A132" s="43">
        <f>Insumos!$A132</f>
        <v/>
      </c>
      <c r="B132" s="44">
        <f>Insumos!$B132</f>
        <v/>
      </c>
      <c r="C132" s="45">
        <f>Insumos!$E132</f>
        <v/>
      </c>
      <c r="D132" s="46">
        <f>Insumos!$F132</f>
        <v/>
      </c>
      <c r="E132" s="28" t="n"/>
      <c r="F132" s="28" t="n"/>
      <c r="G132" s="42">
        <f>IFERROR($E132*$D132,0)+IFERROR($F132,0)</f>
        <v/>
      </c>
      <c r="H132" s="18" t="n"/>
      <c r="I132" s="16" t="n"/>
    </row>
    <row r="133">
      <c r="A133" s="38">
        <f>Insumos!$A133</f>
        <v/>
      </c>
      <c r="B133" s="39">
        <f>Insumos!$B133</f>
        <v/>
      </c>
      <c r="C133" s="40">
        <f>Insumos!$E133</f>
        <v/>
      </c>
      <c r="D133" s="41">
        <f>Insumos!$F133</f>
        <v/>
      </c>
      <c r="E133" s="28" t="n"/>
      <c r="F133" s="28" t="n"/>
      <c r="G133" s="42">
        <f>IFERROR($E133*$D133,0)+IFERROR($F133,0)</f>
        <v/>
      </c>
      <c r="H133" s="18" t="n"/>
      <c r="I133" s="16" t="n"/>
    </row>
    <row r="134">
      <c r="A134" s="43">
        <f>Insumos!$A134</f>
        <v/>
      </c>
      <c r="B134" s="44">
        <f>Insumos!$B134</f>
        <v/>
      </c>
      <c r="C134" s="45">
        <f>Insumos!$E134</f>
        <v/>
      </c>
      <c r="D134" s="46">
        <f>Insumos!$F134</f>
        <v/>
      </c>
      <c r="E134" s="28" t="n"/>
      <c r="F134" s="28" t="n"/>
      <c r="G134" s="42">
        <f>IFERROR($E134*$D134,0)+IFERROR($F134,0)</f>
        <v/>
      </c>
      <c r="H134" s="18" t="n"/>
      <c r="I134" s="16" t="n"/>
    </row>
    <row r="135">
      <c r="A135" s="38">
        <f>Insumos!$A135</f>
        <v/>
      </c>
      <c r="B135" s="39">
        <f>Insumos!$B135</f>
        <v/>
      </c>
      <c r="C135" s="40">
        <f>Insumos!$E135</f>
        <v/>
      </c>
      <c r="D135" s="41">
        <f>Insumos!$F135</f>
        <v/>
      </c>
      <c r="E135" s="28" t="n"/>
      <c r="F135" s="28" t="n"/>
      <c r="G135" s="42">
        <f>IFERROR($E135*$D135,0)+IFERROR($F135,0)</f>
        <v/>
      </c>
      <c r="H135" s="18" t="n"/>
      <c r="I135" s="16" t="n"/>
    </row>
    <row r="136">
      <c r="A136" s="43">
        <f>Insumos!$A136</f>
        <v/>
      </c>
      <c r="B136" s="44">
        <f>Insumos!$B136</f>
        <v/>
      </c>
      <c r="C136" s="45">
        <f>Insumos!$E136</f>
        <v/>
      </c>
      <c r="D136" s="46">
        <f>Insumos!$F136</f>
        <v/>
      </c>
      <c r="E136" s="28" t="n"/>
      <c r="F136" s="28" t="n"/>
      <c r="G136" s="42">
        <f>IFERROR($E136*$D136,0)+IFERROR($F136,0)</f>
        <v/>
      </c>
      <c r="H136" s="18" t="n"/>
      <c r="I136" s="16" t="n"/>
    </row>
    <row r="137">
      <c r="A137" s="38">
        <f>Insumos!$A137</f>
        <v/>
      </c>
      <c r="B137" s="39">
        <f>Insumos!$B137</f>
        <v/>
      </c>
      <c r="C137" s="40">
        <f>Insumos!$E137</f>
        <v/>
      </c>
      <c r="D137" s="41">
        <f>Insumos!$F137</f>
        <v/>
      </c>
      <c r="E137" s="28" t="n"/>
      <c r="F137" s="28" t="n"/>
      <c r="G137" s="42">
        <f>IFERROR($E137*$D137,0)+IFERROR($F137,0)</f>
        <v/>
      </c>
      <c r="H137" s="18" t="n"/>
      <c r="I137" s="16" t="n"/>
    </row>
    <row r="138">
      <c r="A138" s="43">
        <f>Insumos!$A138</f>
        <v/>
      </c>
      <c r="B138" s="44">
        <f>Insumos!$B138</f>
        <v/>
      </c>
      <c r="C138" s="45">
        <f>Insumos!$E138</f>
        <v/>
      </c>
      <c r="D138" s="46">
        <f>Insumos!$F138</f>
        <v/>
      </c>
      <c r="E138" s="28" t="n"/>
      <c r="F138" s="28" t="n"/>
      <c r="G138" s="42">
        <f>IFERROR($E138*$D138,0)+IFERROR($F138,0)</f>
        <v/>
      </c>
      <c r="H138" s="18" t="n"/>
      <c r="I138" s="16" t="n"/>
    </row>
    <row r="139">
      <c r="A139" s="38">
        <f>Insumos!$A139</f>
        <v/>
      </c>
      <c r="B139" s="39">
        <f>Insumos!$B139</f>
        <v/>
      </c>
      <c r="C139" s="40">
        <f>Insumos!$E139</f>
        <v/>
      </c>
      <c r="D139" s="41">
        <f>Insumos!$F139</f>
        <v/>
      </c>
      <c r="E139" s="28" t="n"/>
      <c r="F139" s="28" t="n"/>
      <c r="G139" s="42">
        <f>IFERROR($E139*$D139,0)+IFERROR($F139,0)</f>
        <v/>
      </c>
      <c r="H139" s="18" t="n"/>
      <c r="I139" s="16" t="n"/>
    </row>
    <row r="140">
      <c r="A140" s="43">
        <f>Insumos!$A140</f>
        <v/>
      </c>
      <c r="B140" s="44">
        <f>Insumos!$B140</f>
        <v/>
      </c>
      <c r="C140" s="45">
        <f>Insumos!$E140</f>
        <v/>
      </c>
      <c r="D140" s="46">
        <f>Insumos!$F140</f>
        <v/>
      </c>
      <c r="E140" s="28" t="n"/>
      <c r="F140" s="28" t="n"/>
      <c r="G140" s="42">
        <f>IFERROR($E140*$D140,0)+IFERROR($F140,0)</f>
        <v/>
      </c>
      <c r="H140" s="18" t="n"/>
      <c r="I140" s="16" t="n"/>
    </row>
    <row r="141">
      <c r="A141" s="38">
        <f>Insumos!$A141</f>
        <v/>
      </c>
      <c r="B141" s="39">
        <f>Insumos!$B141</f>
        <v/>
      </c>
      <c r="C141" s="40">
        <f>Insumos!$E141</f>
        <v/>
      </c>
      <c r="D141" s="41">
        <f>Insumos!$F141</f>
        <v/>
      </c>
      <c r="E141" s="28" t="n"/>
      <c r="F141" s="28" t="n"/>
      <c r="G141" s="42">
        <f>IFERROR($E141*$D141,0)+IFERROR($F141,0)</f>
        <v/>
      </c>
      <c r="H141" s="18" t="n"/>
      <c r="I141" s="16" t="n"/>
    </row>
    <row r="142">
      <c r="A142" s="43">
        <f>Insumos!$A142</f>
        <v/>
      </c>
      <c r="B142" s="44">
        <f>Insumos!$B142</f>
        <v/>
      </c>
      <c r="C142" s="45">
        <f>Insumos!$E142</f>
        <v/>
      </c>
      <c r="D142" s="46">
        <f>Insumos!$F142</f>
        <v/>
      </c>
      <c r="E142" s="28" t="n"/>
      <c r="F142" s="28" t="n"/>
      <c r="G142" s="42">
        <f>IFERROR($E142*$D142,0)+IFERROR($F142,0)</f>
        <v/>
      </c>
      <c r="H142" s="18" t="n"/>
      <c r="I142" s="16" t="n"/>
    </row>
    <row r="143">
      <c r="A143" s="38">
        <f>Insumos!$A143</f>
        <v/>
      </c>
      <c r="B143" s="39">
        <f>Insumos!$B143</f>
        <v/>
      </c>
      <c r="C143" s="40">
        <f>Insumos!$E143</f>
        <v/>
      </c>
      <c r="D143" s="41">
        <f>Insumos!$F143</f>
        <v/>
      </c>
      <c r="E143" s="28" t="n"/>
      <c r="F143" s="28" t="n"/>
      <c r="G143" s="42">
        <f>IFERROR($E143*$D143,0)+IFERROR($F143,0)</f>
        <v/>
      </c>
      <c r="H143" s="18" t="n"/>
      <c r="I143" s="16" t="n"/>
    </row>
    <row r="144">
      <c r="A144" s="43">
        <f>Insumos!$A144</f>
        <v/>
      </c>
      <c r="B144" s="44">
        <f>Insumos!$B144</f>
        <v/>
      </c>
      <c r="C144" s="45">
        <f>Insumos!$E144</f>
        <v/>
      </c>
      <c r="D144" s="46">
        <f>Insumos!$F144</f>
        <v/>
      </c>
      <c r="E144" s="28" t="n"/>
      <c r="F144" s="28" t="n"/>
      <c r="G144" s="42">
        <f>IFERROR($E144*$D144,0)+IFERROR($F144,0)</f>
        <v/>
      </c>
      <c r="H144" s="18" t="n"/>
      <c r="I144" s="16" t="n"/>
    </row>
    <row r="145">
      <c r="A145" s="38">
        <f>Insumos!$A145</f>
        <v/>
      </c>
      <c r="B145" s="39">
        <f>Insumos!$B145</f>
        <v/>
      </c>
      <c r="C145" s="40">
        <f>Insumos!$E145</f>
        <v/>
      </c>
      <c r="D145" s="41">
        <f>Insumos!$F145</f>
        <v/>
      </c>
      <c r="E145" s="28" t="n"/>
      <c r="F145" s="28" t="n"/>
      <c r="G145" s="42">
        <f>IFERROR($E145*$D145,0)+IFERROR($F145,0)</f>
        <v/>
      </c>
      <c r="H145" s="18" t="n"/>
      <c r="I145" s="16" t="n"/>
    </row>
    <row r="146">
      <c r="A146" s="43">
        <f>Insumos!$A146</f>
        <v/>
      </c>
      <c r="B146" s="44">
        <f>Insumos!$B146</f>
        <v/>
      </c>
      <c r="C146" s="45">
        <f>Insumos!$E146</f>
        <v/>
      </c>
      <c r="D146" s="46">
        <f>Insumos!$F146</f>
        <v/>
      </c>
      <c r="E146" s="28" t="n"/>
      <c r="F146" s="28" t="n"/>
      <c r="G146" s="42">
        <f>IFERROR($E146*$D146,0)+IFERROR($F146,0)</f>
        <v/>
      </c>
      <c r="H146" s="18" t="n"/>
      <c r="I146" s="16" t="n"/>
    </row>
    <row r="147">
      <c r="A147" s="38">
        <f>Insumos!$A147</f>
        <v/>
      </c>
      <c r="B147" s="39">
        <f>Insumos!$B147</f>
        <v/>
      </c>
      <c r="C147" s="40">
        <f>Insumos!$E147</f>
        <v/>
      </c>
      <c r="D147" s="41">
        <f>Insumos!$F147</f>
        <v/>
      </c>
      <c r="E147" s="28" t="n"/>
      <c r="F147" s="28" t="n"/>
      <c r="G147" s="42">
        <f>IFERROR($E147*$D147,0)+IFERROR($F147,0)</f>
        <v/>
      </c>
      <c r="H147" s="18" t="n"/>
      <c r="I147" s="16" t="n"/>
    </row>
    <row r="148">
      <c r="A148" s="43">
        <f>Insumos!$A148</f>
        <v/>
      </c>
      <c r="B148" s="44">
        <f>Insumos!$B148</f>
        <v/>
      </c>
      <c r="C148" s="45">
        <f>Insumos!$E148</f>
        <v/>
      </c>
      <c r="D148" s="46">
        <f>Insumos!$F148</f>
        <v/>
      </c>
      <c r="E148" s="28" t="n"/>
      <c r="F148" s="28" t="n"/>
      <c r="G148" s="42">
        <f>IFERROR($E148*$D148,0)+IFERROR($F148,0)</f>
        <v/>
      </c>
      <c r="H148" s="18" t="n"/>
      <c r="I148" s="16" t="n"/>
    </row>
    <row r="149">
      <c r="A149" s="38">
        <f>Insumos!$A149</f>
        <v/>
      </c>
      <c r="B149" s="39">
        <f>Insumos!$B149</f>
        <v/>
      </c>
      <c r="C149" s="40">
        <f>Insumos!$E149</f>
        <v/>
      </c>
      <c r="D149" s="41">
        <f>Insumos!$F149</f>
        <v/>
      </c>
      <c r="E149" s="28" t="n"/>
      <c r="F149" s="28" t="n"/>
      <c r="G149" s="42">
        <f>IFERROR($E149*$D149,0)+IFERROR($F149,0)</f>
        <v/>
      </c>
      <c r="H149" s="18" t="n"/>
      <c r="I149" s="16" t="n"/>
    </row>
    <row r="150">
      <c r="A150" s="43">
        <f>Insumos!$A150</f>
        <v/>
      </c>
      <c r="B150" s="44">
        <f>Insumos!$B150</f>
        <v/>
      </c>
      <c r="C150" s="45">
        <f>Insumos!$E150</f>
        <v/>
      </c>
      <c r="D150" s="46">
        <f>Insumos!$F150</f>
        <v/>
      </c>
      <c r="E150" s="28" t="n"/>
      <c r="F150" s="28" t="n"/>
      <c r="G150" s="42">
        <f>IFERROR($E150*$D150,0)+IFERROR($F150,0)</f>
        <v/>
      </c>
      <c r="H150" s="18" t="n"/>
      <c r="I150" s="16" t="n"/>
    </row>
    <row r="151">
      <c r="A151" s="38">
        <f>Insumos!$A151</f>
        <v/>
      </c>
      <c r="B151" s="39">
        <f>Insumos!$B151</f>
        <v/>
      </c>
      <c r="C151" s="40">
        <f>Insumos!$E151</f>
        <v/>
      </c>
      <c r="D151" s="41">
        <f>Insumos!$F151</f>
        <v/>
      </c>
      <c r="E151" s="28" t="n"/>
      <c r="F151" s="28" t="n"/>
      <c r="G151" s="42">
        <f>IFERROR($E151*$D151,0)+IFERROR($F151,0)</f>
        <v/>
      </c>
      <c r="H151" s="18" t="n"/>
      <c r="I151" s="16" t="n"/>
    </row>
    <row r="152">
      <c r="A152" s="43">
        <f>Insumos!$A152</f>
        <v/>
      </c>
      <c r="B152" s="44">
        <f>Insumos!$B152</f>
        <v/>
      </c>
      <c r="C152" s="45">
        <f>Insumos!$E152</f>
        <v/>
      </c>
      <c r="D152" s="46">
        <f>Insumos!$F152</f>
        <v/>
      </c>
      <c r="E152" s="28" t="n"/>
      <c r="F152" s="28" t="n"/>
      <c r="G152" s="42">
        <f>IFERROR($E152*$D152,0)+IFERROR($F152,0)</f>
        <v/>
      </c>
      <c r="H152" s="18" t="n"/>
      <c r="I152" s="16" t="n"/>
    </row>
    <row r="153">
      <c r="A153" s="38">
        <f>Insumos!$A153</f>
        <v/>
      </c>
      <c r="B153" s="39">
        <f>Insumos!$B153</f>
        <v/>
      </c>
      <c r="C153" s="40">
        <f>Insumos!$E153</f>
        <v/>
      </c>
      <c r="D153" s="41">
        <f>Insumos!$F153</f>
        <v/>
      </c>
      <c r="E153" s="28" t="n"/>
      <c r="F153" s="28" t="n"/>
      <c r="G153" s="42">
        <f>IFERROR($E153*$D153,0)+IFERROR($F153,0)</f>
        <v/>
      </c>
      <c r="H153" s="18" t="n"/>
      <c r="I153" s="16" t="n"/>
    </row>
    <row r="154">
      <c r="A154" s="43">
        <f>Insumos!$A154</f>
        <v/>
      </c>
      <c r="B154" s="44">
        <f>Insumos!$B154</f>
        <v/>
      </c>
      <c r="C154" s="45">
        <f>Insumos!$E154</f>
        <v/>
      </c>
      <c r="D154" s="46">
        <f>Insumos!$F154</f>
        <v/>
      </c>
      <c r="E154" s="28" t="n"/>
      <c r="F154" s="28" t="n"/>
      <c r="G154" s="42">
        <f>IFERROR($E154*$D154,0)+IFERROR($F154,0)</f>
        <v/>
      </c>
      <c r="H154" s="18" t="n"/>
      <c r="I154" s="16" t="n"/>
    </row>
    <row r="155">
      <c r="A155" s="38">
        <f>Insumos!$A155</f>
        <v/>
      </c>
      <c r="B155" s="39">
        <f>Insumos!$B155</f>
        <v/>
      </c>
      <c r="C155" s="40">
        <f>Insumos!$E155</f>
        <v/>
      </c>
      <c r="D155" s="41">
        <f>Insumos!$F155</f>
        <v/>
      </c>
      <c r="E155" s="28" t="n"/>
      <c r="F155" s="28" t="n"/>
      <c r="G155" s="42">
        <f>IFERROR($E155*$D155,0)+IFERROR($F155,0)</f>
        <v/>
      </c>
      <c r="H155" s="18" t="n"/>
      <c r="I155" s="16" t="n"/>
    </row>
    <row r="156">
      <c r="A156" s="43">
        <f>Insumos!$A156</f>
        <v/>
      </c>
      <c r="B156" s="44">
        <f>Insumos!$B156</f>
        <v/>
      </c>
      <c r="C156" s="45">
        <f>Insumos!$E156</f>
        <v/>
      </c>
      <c r="D156" s="46">
        <f>Insumos!$F156</f>
        <v/>
      </c>
      <c r="E156" s="28" t="n"/>
      <c r="F156" s="28" t="n"/>
      <c r="G156" s="42">
        <f>IFERROR($E156*$D156,0)+IFERROR($F156,0)</f>
        <v/>
      </c>
      <c r="H156" s="18" t="n"/>
      <c r="I156" s="16" t="n"/>
    </row>
    <row r="157">
      <c r="A157" s="38">
        <f>Insumos!$A157</f>
        <v/>
      </c>
      <c r="B157" s="39">
        <f>Insumos!$B157</f>
        <v/>
      </c>
      <c r="C157" s="40">
        <f>Insumos!$E157</f>
        <v/>
      </c>
      <c r="D157" s="41">
        <f>Insumos!$F157</f>
        <v/>
      </c>
      <c r="E157" s="28" t="n"/>
      <c r="F157" s="28" t="n"/>
      <c r="G157" s="42">
        <f>IFERROR($E157*$D157,0)+IFERROR($F157,0)</f>
        <v/>
      </c>
      <c r="H157" s="18" t="n"/>
      <c r="I157" s="16" t="n"/>
    </row>
    <row r="158">
      <c r="A158" s="43">
        <f>Insumos!$A158</f>
        <v/>
      </c>
      <c r="B158" s="44">
        <f>Insumos!$B158</f>
        <v/>
      </c>
      <c r="C158" s="45">
        <f>Insumos!$E158</f>
        <v/>
      </c>
      <c r="D158" s="46">
        <f>Insumos!$F158</f>
        <v/>
      </c>
      <c r="E158" s="28" t="n"/>
      <c r="F158" s="28" t="n"/>
      <c r="G158" s="42">
        <f>IFERROR($E158*$D158,0)+IFERROR($F158,0)</f>
        <v/>
      </c>
      <c r="H158" s="18" t="n"/>
      <c r="I158" s="16" t="n"/>
    </row>
    <row r="159">
      <c r="A159" s="38">
        <f>Insumos!$A159</f>
        <v/>
      </c>
      <c r="B159" s="39">
        <f>Insumos!$B159</f>
        <v/>
      </c>
      <c r="C159" s="40">
        <f>Insumos!$E159</f>
        <v/>
      </c>
      <c r="D159" s="41">
        <f>Insumos!$F159</f>
        <v/>
      </c>
      <c r="E159" s="28" t="n"/>
      <c r="F159" s="28" t="n"/>
      <c r="G159" s="42">
        <f>IFERROR($E159*$D159,0)+IFERROR($F159,0)</f>
        <v/>
      </c>
      <c r="H159" s="18" t="n"/>
      <c r="I159" s="16" t="n"/>
    </row>
    <row r="160">
      <c r="A160" s="43">
        <f>Insumos!$A160</f>
        <v/>
      </c>
      <c r="B160" s="44">
        <f>Insumos!$B160</f>
        <v/>
      </c>
      <c r="C160" s="45">
        <f>Insumos!$E160</f>
        <v/>
      </c>
      <c r="D160" s="46">
        <f>Insumos!$F160</f>
        <v/>
      </c>
      <c r="E160" s="28" t="n"/>
      <c r="F160" s="28" t="n"/>
      <c r="G160" s="42">
        <f>IFERROR($E160*$D160,0)+IFERROR($F160,0)</f>
        <v/>
      </c>
      <c r="H160" s="18" t="n"/>
      <c r="I160" s="16" t="n"/>
    </row>
    <row r="161">
      <c r="A161" s="38">
        <f>Insumos!$A161</f>
        <v/>
      </c>
      <c r="B161" s="39">
        <f>Insumos!$B161</f>
        <v/>
      </c>
      <c r="C161" s="40">
        <f>Insumos!$E161</f>
        <v/>
      </c>
      <c r="D161" s="41">
        <f>Insumos!$F161</f>
        <v/>
      </c>
      <c r="E161" s="28" t="n"/>
      <c r="F161" s="28" t="n"/>
      <c r="G161" s="42">
        <f>IFERROR($E161*$D161,0)+IFERROR($F161,0)</f>
        <v/>
      </c>
      <c r="H161" s="18" t="n"/>
      <c r="I161" s="16" t="n"/>
    </row>
    <row r="162">
      <c r="A162" s="43">
        <f>Insumos!$A162</f>
        <v/>
      </c>
      <c r="B162" s="44">
        <f>Insumos!$B162</f>
        <v/>
      </c>
      <c r="C162" s="45">
        <f>Insumos!$E162</f>
        <v/>
      </c>
      <c r="D162" s="46">
        <f>Insumos!$F162</f>
        <v/>
      </c>
      <c r="E162" s="28" t="n"/>
      <c r="F162" s="28" t="n"/>
      <c r="G162" s="42">
        <f>IFERROR($E162*$D162,0)+IFERROR($F162,0)</f>
        <v/>
      </c>
      <c r="H162" s="18" t="n"/>
      <c r="I162" s="16" t="n"/>
    </row>
    <row r="163">
      <c r="A163" s="38">
        <f>Insumos!$A163</f>
        <v/>
      </c>
      <c r="B163" s="39">
        <f>Insumos!$B163</f>
        <v/>
      </c>
      <c r="C163" s="40">
        <f>Insumos!$E163</f>
        <v/>
      </c>
      <c r="D163" s="41">
        <f>Insumos!$F163</f>
        <v/>
      </c>
      <c r="E163" s="28" t="n"/>
      <c r="F163" s="28" t="n"/>
      <c r="G163" s="42">
        <f>IFERROR($E163*$D163,0)+IFERROR($F163,0)</f>
        <v/>
      </c>
      <c r="H163" s="18" t="n"/>
      <c r="I163" s="16" t="n"/>
    </row>
  </sheetData>
  <autoFilter ref="A4:I163"/>
  <mergeCells count="3">
    <mergeCell ref="A1:I1"/>
    <mergeCell ref="A3:I3"/>
    <mergeCell ref="A2:I2"/>
  </mergeCells>
  <conditionalFormatting sqref="G5:G163">
    <cfRule type="expression" priority="1" dxfId="0" stopIfTrue="0">
      <formula>AND($E5="",$F5="")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7" customWidth="1" min="4" max="4"/>
    <col width="33" customWidth="1" min="5" max="5"/>
    <col width="13" customWidth="1" min="6" max="6"/>
    <col width="8" customWidth="1" min="7" max="7"/>
    <col width="15" customWidth="1" min="8" max="8"/>
    <col width="15" customWidth="1" min="9" max="9"/>
    <col width="26" customWidth="1" min="10" max="10"/>
  </cols>
  <sheetData>
    <row r="1" ht="30" customHeight="1">
      <c r="A1" s="1" t="inlineStr">
        <is>
          <t>CARGA 7 · FACTURAS DE COMPRA DE LA SEMANA</t>
        </is>
      </c>
    </row>
    <row r="2" ht="18" customHeight="1">
      <c r="A2" s="2" t="inlineStr">
        <is>
          <t>Se carga DESPUES de la semana, con las facturas en la mano. La CANTIDAD va en la unidad base del insumo (kg, u, L), no en bultos.</t>
        </is>
      </c>
    </row>
    <row r="3" ht="18" customHeight="1">
      <c r="A3" s="3" t="inlineStr">
        <is>
          <t>La fila 5 es un EJEMPLO: borrela antes de empezar. Cargue desde la fila 6.</t>
        </is>
      </c>
    </row>
    <row r="4" ht="34" customHeight="1">
      <c r="A4" s="6" t="inlineStr">
        <is>
          <t>FECHA</t>
        </is>
      </c>
      <c r="B4" s="6" t="inlineStr">
        <is>
          <t>PROVEEDOR</t>
        </is>
      </c>
      <c r="C4" s="6" t="inlineStr">
        <is>
          <t>N° FACTURA</t>
        </is>
      </c>
      <c r="D4" s="6" t="inlineStr">
        <is>
          <t>AREA</t>
        </is>
      </c>
      <c r="E4" s="6" t="inlineStr">
        <is>
          <t>INSUMO</t>
        </is>
      </c>
      <c r="F4" s="6" t="inlineStr">
        <is>
          <t>CANTIDAD
(unidad base)</t>
        </is>
      </c>
      <c r="G4" s="6" t="inlineStr">
        <is>
          <t>UNID.</t>
        </is>
      </c>
      <c r="H4" s="6" t="inlineStr">
        <is>
          <t>IMPORTE TOTAL $</t>
        </is>
      </c>
      <c r="I4" s="6" t="inlineStr">
        <is>
          <t>COSTO UNITARIO $
(calculado)</t>
        </is>
      </c>
      <c r="J4" s="6" t="inlineStr">
        <is>
          <t>CONTROL AUTOMATICO</t>
        </is>
      </c>
    </row>
    <row r="5">
      <c r="A5" s="47">
        <f>IF(Config!$B$6="","",Config!$B$6)</f>
        <v/>
      </c>
      <c r="B5" s="48" t="inlineStr">
        <is>
          <t>Molino XX</t>
        </is>
      </c>
      <c r="C5" s="48" t="inlineStr">
        <is>
          <t>A-0001-00012345</t>
        </is>
      </c>
      <c r="D5" s="48" t="inlineStr">
        <is>
          <t>Panaderia</t>
        </is>
      </c>
      <c r="E5" s="48" t="inlineStr">
        <is>
          <t>Harina 000 x25kg</t>
        </is>
      </c>
      <c r="F5" s="50" t="n">
        <v>100</v>
      </c>
      <c r="G5" s="49" t="inlineStr">
        <is>
          <t>kg</t>
        </is>
      </c>
      <c r="H5" s="63" t="n">
        <v>85000</v>
      </c>
      <c r="I5" s="63">
        <f>IFERROR($H5/$F5,"")</f>
        <v/>
      </c>
      <c r="J5" s="51" t="inlineStr">
        <is>
          <t>EJEMPLO - borrar esta fila</t>
        </is>
      </c>
    </row>
    <row r="6">
      <c r="A6" s="12" t="n"/>
      <c r="B6" s="16" t="n"/>
      <c r="C6" s="18" t="n"/>
      <c r="D6" s="18" t="n"/>
      <c r="E6" s="16" t="n"/>
      <c r="F6" s="28" t="n"/>
      <c r="G6" s="40">
        <f>IFERROR(INDEX(Insumos!$E$5:$E$163,MATCH($D6&amp;" | "&amp;$E6,Insumos!$I$5:$I$163,0)),"")</f>
        <v/>
      </c>
      <c r="H6" s="64" t="n"/>
      <c r="I6" s="65">
        <f>IFERROR($H6/$F6,"")</f>
        <v/>
      </c>
      <c r="J6" s="35">
        <f>IF($E6="","",IF(COUNTIF(Insumos!$I$5:$I$163,$D6&amp;" | "&amp;$E6)=0,"REVISAR: area+insumo no existe en el maestro","OK"))</f>
        <v/>
      </c>
    </row>
    <row r="7">
      <c r="A7" s="12" t="n"/>
      <c r="B7" s="16" t="n"/>
      <c r="C7" s="18" t="n"/>
      <c r="D7" s="18" t="n"/>
      <c r="E7" s="16" t="n"/>
      <c r="F7" s="28" t="n"/>
      <c r="G7" s="40">
        <f>IFERROR(INDEX(Insumos!$E$5:$E$163,MATCH($D7&amp;" | "&amp;$E7,Insumos!$I$5:$I$163,0)),"")</f>
        <v/>
      </c>
      <c r="H7" s="64" t="n"/>
      <c r="I7" s="65">
        <f>IFERROR($H7/$F7,"")</f>
        <v/>
      </c>
      <c r="J7" s="35">
        <f>IF($E7="","",IF(COUNTIF(Insumos!$I$5:$I$163,$D7&amp;" | "&amp;$E7)=0,"REVISAR: area+insumo no existe en el maestro","OK"))</f>
        <v/>
      </c>
    </row>
    <row r="8">
      <c r="A8" s="12" t="n"/>
      <c r="B8" s="16" t="n"/>
      <c r="C8" s="18" t="n"/>
      <c r="D8" s="18" t="n"/>
      <c r="E8" s="16" t="n"/>
      <c r="F8" s="28" t="n"/>
      <c r="G8" s="40">
        <f>IFERROR(INDEX(Insumos!$E$5:$E$163,MATCH($D8&amp;" | "&amp;$E8,Insumos!$I$5:$I$163,0)),"")</f>
        <v/>
      </c>
      <c r="H8" s="64" t="n"/>
      <c r="I8" s="65">
        <f>IFERROR($H8/$F8,"")</f>
        <v/>
      </c>
      <c r="J8" s="35">
        <f>IF($E8="","",IF(COUNTIF(Insumos!$I$5:$I$163,$D8&amp;" | "&amp;$E8)=0,"REVISAR: area+insumo no existe en el maestro","OK"))</f>
        <v/>
      </c>
    </row>
    <row r="9">
      <c r="A9" s="12" t="n"/>
      <c r="B9" s="16" t="n"/>
      <c r="C9" s="18" t="n"/>
      <c r="D9" s="18" t="n"/>
      <c r="E9" s="16" t="n"/>
      <c r="F9" s="28" t="n"/>
      <c r="G9" s="40">
        <f>IFERROR(INDEX(Insumos!$E$5:$E$163,MATCH($D9&amp;" | "&amp;$E9,Insumos!$I$5:$I$163,0)),"")</f>
        <v/>
      </c>
      <c r="H9" s="64" t="n"/>
      <c r="I9" s="65">
        <f>IFERROR($H9/$F9,"")</f>
        <v/>
      </c>
      <c r="J9" s="35">
        <f>IF($E9="","",IF(COUNTIF(Insumos!$I$5:$I$163,$D9&amp;" | "&amp;$E9)=0,"REVISAR: area+insumo no existe en el maestro","OK"))</f>
        <v/>
      </c>
    </row>
    <row r="10">
      <c r="A10" s="12" t="n"/>
      <c r="B10" s="16" t="n"/>
      <c r="C10" s="18" t="n"/>
      <c r="D10" s="18" t="n"/>
      <c r="E10" s="16" t="n"/>
      <c r="F10" s="28" t="n"/>
      <c r="G10" s="40">
        <f>IFERROR(INDEX(Insumos!$E$5:$E$163,MATCH($D10&amp;" | "&amp;$E10,Insumos!$I$5:$I$163,0)),"")</f>
        <v/>
      </c>
      <c r="H10" s="64" t="n"/>
      <c r="I10" s="65">
        <f>IFERROR($H10/$F10,"")</f>
        <v/>
      </c>
      <c r="J10" s="35">
        <f>IF($E10="","",IF(COUNTIF(Insumos!$I$5:$I$163,$D10&amp;" | "&amp;$E10)=0,"REVISAR: area+insumo no existe en el maestro","OK"))</f>
        <v/>
      </c>
    </row>
    <row r="11">
      <c r="A11" s="12" t="n"/>
      <c r="B11" s="16" t="n"/>
      <c r="C11" s="18" t="n"/>
      <c r="D11" s="18" t="n"/>
      <c r="E11" s="16" t="n"/>
      <c r="F11" s="28" t="n"/>
      <c r="G11" s="40">
        <f>IFERROR(INDEX(Insumos!$E$5:$E$163,MATCH($D11&amp;" | "&amp;$E11,Insumos!$I$5:$I$163,0)),"")</f>
        <v/>
      </c>
      <c r="H11" s="64" t="n"/>
      <c r="I11" s="65">
        <f>IFERROR($H11/$F11,"")</f>
        <v/>
      </c>
      <c r="J11" s="35">
        <f>IF($E11="","",IF(COUNTIF(Insumos!$I$5:$I$163,$D11&amp;" | "&amp;$E11)=0,"REVISAR: area+insumo no existe en el maestro","OK"))</f>
        <v/>
      </c>
    </row>
    <row r="12">
      <c r="A12" s="12" t="n"/>
      <c r="B12" s="16" t="n"/>
      <c r="C12" s="18" t="n"/>
      <c r="D12" s="18" t="n"/>
      <c r="E12" s="16" t="n"/>
      <c r="F12" s="28" t="n"/>
      <c r="G12" s="40">
        <f>IFERROR(INDEX(Insumos!$E$5:$E$163,MATCH($D12&amp;" | "&amp;$E12,Insumos!$I$5:$I$163,0)),"")</f>
        <v/>
      </c>
      <c r="H12" s="64" t="n"/>
      <c r="I12" s="65">
        <f>IFERROR($H12/$F12,"")</f>
        <v/>
      </c>
      <c r="J12" s="35">
        <f>IF($E12="","",IF(COUNTIF(Insumos!$I$5:$I$163,$D12&amp;" | "&amp;$E12)=0,"REVISAR: area+insumo no existe en el maestro","OK"))</f>
        <v/>
      </c>
    </row>
    <row r="13">
      <c r="A13" s="12" t="n"/>
      <c r="B13" s="16" t="n"/>
      <c r="C13" s="18" t="n"/>
      <c r="D13" s="18" t="n"/>
      <c r="E13" s="16" t="n"/>
      <c r="F13" s="28" t="n"/>
      <c r="G13" s="40">
        <f>IFERROR(INDEX(Insumos!$E$5:$E$163,MATCH($D13&amp;" | "&amp;$E13,Insumos!$I$5:$I$163,0)),"")</f>
        <v/>
      </c>
      <c r="H13" s="64" t="n"/>
      <c r="I13" s="65">
        <f>IFERROR($H13/$F13,"")</f>
        <v/>
      </c>
      <c r="J13" s="35">
        <f>IF($E13="","",IF(COUNTIF(Insumos!$I$5:$I$163,$D13&amp;" | "&amp;$E13)=0,"REVISAR: area+insumo no existe en el maestro","OK"))</f>
        <v/>
      </c>
    </row>
    <row r="14">
      <c r="A14" s="12" t="n"/>
      <c r="B14" s="16" t="n"/>
      <c r="C14" s="18" t="n"/>
      <c r="D14" s="18" t="n"/>
      <c r="E14" s="16" t="n"/>
      <c r="F14" s="28" t="n"/>
      <c r="G14" s="40">
        <f>IFERROR(INDEX(Insumos!$E$5:$E$163,MATCH($D14&amp;" | "&amp;$E14,Insumos!$I$5:$I$163,0)),"")</f>
        <v/>
      </c>
      <c r="H14" s="64" t="n"/>
      <c r="I14" s="65">
        <f>IFERROR($H14/$F14,"")</f>
        <v/>
      </c>
      <c r="J14" s="35">
        <f>IF($E14="","",IF(COUNTIF(Insumos!$I$5:$I$163,$D14&amp;" | "&amp;$E14)=0,"REVISAR: area+insumo no existe en el maestro","OK"))</f>
        <v/>
      </c>
    </row>
    <row r="15">
      <c r="A15" s="12" t="n"/>
      <c r="B15" s="16" t="n"/>
      <c r="C15" s="18" t="n"/>
      <c r="D15" s="18" t="n"/>
      <c r="E15" s="16" t="n"/>
      <c r="F15" s="28" t="n"/>
      <c r="G15" s="40">
        <f>IFERROR(INDEX(Insumos!$E$5:$E$163,MATCH($D15&amp;" | "&amp;$E15,Insumos!$I$5:$I$163,0)),"")</f>
        <v/>
      </c>
      <c r="H15" s="64" t="n"/>
      <c r="I15" s="65">
        <f>IFERROR($H15/$F15,"")</f>
        <v/>
      </c>
      <c r="J15" s="35">
        <f>IF($E15="","",IF(COUNTIF(Insumos!$I$5:$I$163,$D15&amp;" | "&amp;$E15)=0,"REVISAR: area+insumo no existe en el maestro","OK"))</f>
        <v/>
      </c>
    </row>
    <row r="16">
      <c r="A16" s="12" t="n"/>
      <c r="B16" s="16" t="n"/>
      <c r="C16" s="18" t="n"/>
      <c r="D16" s="18" t="n"/>
      <c r="E16" s="16" t="n"/>
      <c r="F16" s="28" t="n"/>
      <c r="G16" s="40">
        <f>IFERROR(INDEX(Insumos!$E$5:$E$163,MATCH($D16&amp;" | "&amp;$E16,Insumos!$I$5:$I$163,0)),"")</f>
        <v/>
      </c>
      <c r="H16" s="64" t="n"/>
      <c r="I16" s="65">
        <f>IFERROR($H16/$F16,"")</f>
        <v/>
      </c>
      <c r="J16" s="35">
        <f>IF($E16="","",IF(COUNTIF(Insumos!$I$5:$I$163,$D16&amp;" | "&amp;$E16)=0,"REVISAR: area+insumo no existe en el maestro","OK"))</f>
        <v/>
      </c>
    </row>
    <row r="17">
      <c r="A17" s="12" t="n"/>
      <c r="B17" s="16" t="n"/>
      <c r="C17" s="18" t="n"/>
      <c r="D17" s="18" t="n"/>
      <c r="E17" s="16" t="n"/>
      <c r="F17" s="28" t="n"/>
      <c r="G17" s="40">
        <f>IFERROR(INDEX(Insumos!$E$5:$E$163,MATCH($D17&amp;" | "&amp;$E17,Insumos!$I$5:$I$163,0)),"")</f>
        <v/>
      </c>
      <c r="H17" s="64" t="n"/>
      <c r="I17" s="65">
        <f>IFERROR($H17/$F17,"")</f>
        <v/>
      </c>
      <c r="J17" s="35">
        <f>IF($E17="","",IF(COUNTIF(Insumos!$I$5:$I$163,$D17&amp;" | "&amp;$E17)=0,"REVISAR: area+insumo no existe en el maestro","OK"))</f>
        <v/>
      </c>
    </row>
    <row r="18">
      <c r="A18" s="12" t="n"/>
      <c r="B18" s="16" t="n"/>
      <c r="C18" s="18" t="n"/>
      <c r="D18" s="18" t="n"/>
      <c r="E18" s="16" t="n"/>
      <c r="F18" s="28" t="n"/>
      <c r="G18" s="40">
        <f>IFERROR(INDEX(Insumos!$E$5:$E$163,MATCH($D18&amp;" | "&amp;$E18,Insumos!$I$5:$I$163,0)),"")</f>
        <v/>
      </c>
      <c r="H18" s="64" t="n"/>
      <c r="I18" s="65">
        <f>IFERROR($H18/$F18,"")</f>
        <v/>
      </c>
      <c r="J18" s="35">
        <f>IF($E18="","",IF(COUNTIF(Insumos!$I$5:$I$163,$D18&amp;" | "&amp;$E18)=0,"REVISAR: area+insumo no existe en el maestro","OK"))</f>
        <v/>
      </c>
    </row>
    <row r="19">
      <c r="A19" s="12" t="n"/>
      <c r="B19" s="16" t="n"/>
      <c r="C19" s="18" t="n"/>
      <c r="D19" s="18" t="n"/>
      <c r="E19" s="16" t="n"/>
      <c r="F19" s="28" t="n"/>
      <c r="G19" s="40">
        <f>IFERROR(INDEX(Insumos!$E$5:$E$163,MATCH($D19&amp;" | "&amp;$E19,Insumos!$I$5:$I$163,0)),"")</f>
        <v/>
      </c>
      <c r="H19" s="64" t="n"/>
      <c r="I19" s="65">
        <f>IFERROR($H19/$F19,"")</f>
        <v/>
      </c>
      <c r="J19" s="35">
        <f>IF($E19="","",IF(COUNTIF(Insumos!$I$5:$I$163,$D19&amp;" | "&amp;$E19)=0,"REVISAR: area+insumo no existe en el maestro","OK"))</f>
        <v/>
      </c>
    </row>
    <row r="20">
      <c r="A20" s="12" t="n"/>
      <c r="B20" s="16" t="n"/>
      <c r="C20" s="18" t="n"/>
      <c r="D20" s="18" t="n"/>
      <c r="E20" s="16" t="n"/>
      <c r="F20" s="28" t="n"/>
      <c r="G20" s="40">
        <f>IFERROR(INDEX(Insumos!$E$5:$E$163,MATCH($D20&amp;" | "&amp;$E20,Insumos!$I$5:$I$163,0)),"")</f>
        <v/>
      </c>
      <c r="H20" s="64" t="n"/>
      <c r="I20" s="65">
        <f>IFERROR($H20/$F20,"")</f>
        <v/>
      </c>
      <c r="J20" s="35">
        <f>IF($E20="","",IF(COUNTIF(Insumos!$I$5:$I$163,$D20&amp;" | "&amp;$E20)=0,"REVISAR: area+insumo no existe en el maestro","OK"))</f>
        <v/>
      </c>
    </row>
    <row r="21">
      <c r="A21" s="12" t="n"/>
      <c r="B21" s="16" t="n"/>
      <c r="C21" s="18" t="n"/>
      <c r="D21" s="18" t="n"/>
      <c r="E21" s="16" t="n"/>
      <c r="F21" s="28" t="n"/>
      <c r="G21" s="40">
        <f>IFERROR(INDEX(Insumos!$E$5:$E$163,MATCH($D21&amp;" | "&amp;$E21,Insumos!$I$5:$I$163,0)),"")</f>
        <v/>
      </c>
      <c r="H21" s="64" t="n"/>
      <c r="I21" s="65">
        <f>IFERROR($H21/$F21,"")</f>
        <v/>
      </c>
      <c r="J21" s="35">
        <f>IF($E21="","",IF(COUNTIF(Insumos!$I$5:$I$163,$D21&amp;" | "&amp;$E21)=0,"REVISAR: area+insumo no existe en el maestro","OK"))</f>
        <v/>
      </c>
    </row>
    <row r="22">
      <c r="A22" s="12" t="n"/>
      <c r="B22" s="16" t="n"/>
      <c r="C22" s="18" t="n"/>
      <c r="D22" s="18" t="n"/>
      <c r="E22" s="16" t="n"/>
      <c r="F22" s="28" t="n"/>
      <c r="G22" s="40">
        <f>IFERROR(INDEX(Insumos!$E$5:$E$163,MATCH($D22&amp;" | "&amp;$E22,Insumos!$I$5:$I$163,0)),"")</f>
        <v/>
      </c>
      <c r="H22" s="64" t="n"/>
      <c r="I22" s="65">
        <f>IFERROR($H22/$F22,"")</f>
        <v/>
      </c>
      <c r="J22" s="35">
        <f>IF($E22="","",IF(COUNTIF(Insumos!$I$5:$I$163,$D22&amp;" | "&amp;$E22)=0,"REVISAR: area+insumo no existe en el maestro","OK"))</f>
        <v/>
      </c>
    </row>
    <row r="23">
      <c r="A23" s="12" t="n"/>
      <c r="B23" s="16" t="n"/>
      <c r="C23" s="18" t="n"/>
      <c r="D23" s="18" t="n"/>
      <c r="E23" s="16" t="n"/>
      <c r="F23" s="28" t="n"/>
      <c r="G23" s="40">
        <f>IFERROR(INDEX(Insumos!$E$5:$E$163,MATCH($D23&amp;" | "&amp;$E23,Insumos!$I$5:$I$163,0)),"")</f>
        <v/>
      </c>
      <c r="H23" s="64" t="n"/>
      <c r="I23" s="65">
        <f>IFERROR($H23/$F23,"")</f>
        <v/>
      </c>
      <c r="J23" s="35">
        <f>IF($E23="","",IF(COUNTIF(Insumos!$I$5:$I$163,$D23&amp;" | "&amp;$E23)=0,"REVISAR: area+insumo no existe en el maestro","OK"))</f>
        <v/>
      </c>
    </row>
    <row r="24">
      <c r="A24" s="12" t="n"/>
      <c r="B24" s="16" t="n"/>
      <c r="C24" s="18" t="n"/>
      <c r="D24" s="18" t="n"/>
      <c r="E24" s="16" t="n"/>
      <c r="F24" s="28" t="n"/>
      <c r="G24" s="40">
        <f>IFERROR(INDEX(Insumos!$E$5:$E$163,MATCH($D24&amp;" | "&amp;$E24,Insumos!$I$5:$I$163,0)),"")</f>
        <v/>
      </c>
      <c r="H24" s="64" t="n"/>
      <c r="I24" s="65">
        <f>IFERROR($H24/$F24,"")</f>
        <v/>
      </c>
      <c r="J24" s="35">
        <f>IF($E24="","",IF(COUNTIF(Insumos!$I$5:$I$163,$D24&amp;" | "&amp;$E24)=0,"REVISAR: area+insumo no existe en el maestro","OK"))</f>
        <v/>
      </c>
    </row>
    <row r="25">
      <c r="A25" s="12" t="n"/>
      <c r="B25" s="16" t="n"/>
      <c r="C25" s="18" t="n"/>
      <c r="D25" s="18" t="n"/>
      <c r="E25" s="16" t="n"/>
      <c r="F25" s="28" t="n"/>
      <c r="G25" s="40">
        <f>IFERROR(INDEX(Insumos!$E$5:$E$163,MATCH($D25&amp;" | "&amp;$E25,Insumos!$I$5:$I$163,0)),"")</f>
        <v/>
      </c>
      <c r="H25" s="64" t="n"/>
      <c r="I25" s="65">
        <f>IFERROR($H25/$F25,"")</f>
        <v/>
      </c>
      <c r="J25" s="35">
        <f>IF($E25="","",IF(COUNTIF(Insumos!$I$5:$I$163,$D25&amp;" | "&amp;$E25)=0,"REVISAR: area+insumo no existe en el maestro","OK"))</f>
        <v/>
      </c>
    </row>
    <row r="26">
      <c r="A26" s="12" t="n"/>
      <c r="B26" s="16" t="n"/>
      <c r="C26" s="18" t="n"/>
      <c r="D26" s="18" t="n"/>
      <c r="E26" s="16" t="n"/>
      <c r="F26" s="28" t="n"/>
      <c r="G26" s="40">
        <f>IFERROR(INDEX(Insumos!$E$5:$E$163,MATCH($D26&amp;" | "&amp;$E26,Insumos!$I$5:$I$163,0)),"")</f>
        <v/>
      </c>
      <c r="H26" s="64" t="n"/>
      <c r="I26" s="65">
        <f>IFERROR($H26/$F26,"")</f>
        <v/>
      </c>
      <c r="J26" s="35">
        <f>IF($E26="","",IF(COUNTIF(Insumos!$I$5:$I$163,$D26&amp;" | "&amp;$E26)=0,"REVISAR: area+insumo no existe en el maestro","OK"))</f>
        <v/>
      </c>
    </row>
    <row r="27">
      <c r="A27" s="12" t="n"/>
      <c r="B27" s="16" t="n"/>
      <c r="C27" s="18" t="n"/>
      <c r="D27" s="18" t="n"/>
      <c r="E27" s="16" t="n"/>
      <c r="F27" s="28" t="n"/>
      <c r="G27" s="40">
        <f>IFERROR(INDEX(Insumos!$E$5:$E$163,MATCH($D27&amp;" | "&amp;$E27,Insumos!$I$5:$I$163,0)),"")</f>
        <v/>
      </c>
      <c r="H27" s="64" t="n"/>
      <c r="I27" s="65">
        <f>IFERROR($H27/$F27,"")</f>
        <v/>
      </c>
      <c r="J27" s="35">
        <f>IF($E27="","",IF(COUNTIF(Insumos!$I$5:$I$163,$D27&amp;" | "&amp;$E27)=0,"REVISAR: area+insumo no existe en el maestro","OK"))</f>
        <v/>
      </c>
    </row>
    <row r="28">
      <c r="A28" s="12" t="n"/>
      <c r="B28" s="16" t="n"/>
      <c r="C28" s="18" t="n"/>
      <c r="D28" s="18" t="n"/>
      <c r="E28" s="16" t="n"/>
      <c r="F28" s="28" t="n"/>
      <c r="G28" s="40">
        <f>IFERROR(INDEX(Insumos!$E$5:$E$163,MATCH($D28&amp;" | "&amp;$E28,Insumos!$I$5:$I$163,0)),"")</f>
        <v/>
      </c>
      <c r="H28" s="64" t="n"/>
      <c r="I28" s="65">
        <f>IFERROR($H28/$F28,"")</f>
        <v/>
      </c>
      <c r="J28" s="35">
        <f>IF($E28="","",IF(COUNTIF(Insumos!$I$5:$I$163,$D28&amp;" | "&amp;$E28)=0,"REVISAR: area+insumo no existe en el maestro","OK"))</f>
        <v/>
      </c>
    </row>
    <row r="29">
      <c r="A29" s="12" t="n"/>
      <c r="B29" s="16" t="n"/>
      <c r="C29" s="18" t="n"/>
      <c r="D29" s="18" t="n"/>
      <c r="E29" s="16" t="n"/>
      <c r="F29" s="28" t="n"/>
      <c r="G29" s="40">
        <f>IFERROR(INDEX(Insumos!$E$5:$E$163,MATCH($D29&amp;" | "&amp;$E29,Insumos!$I$5:$I$163,0)),"")</f>
        <v/>
      </c>
      <c r="H29" s="64" t="n"/>
      <c r="I29" s="65">
        <f>IFERROR($H29/$F29,"")</f>
        <v/>
      </c>
      <c r="J29" s="35">
        <f>IF($E29="","",IF(COUNTIF(Insumos!$I$5:$I$163,$D29&amp;" | "&amp;$E29)=0,"REVISAR: area+insumo no existe en el maestro","OK"))</f>
        <v/>
      </c>
    </row>
    <row r="30">
      <c r="A30" s="12" t="n"/>
      <c r="B30" s="16" t="n"/>
      <c r="C30" s="18" t="n"/>
      <c r="D30" s="18" t="n"/>
      <c r="E30" s="16" t="n"/>
      <c r="F30" s="28" t="n"/>
      <c r="G30" s="40">
        <f>IFERROR(INDEX(Insumos!$E$5:$E$163,MATCH($D30&amp;" | "&amp;$E30,Insumos!$I$5:$I$163,0)),"")</f>
        <v/>
      </c>
      <c r="H30" s="64" t="n"/>
      <c r="I30" s="65">
        <f>IFERROR($H30/$F30,"")</f>
        <v/>
      </c>
      <c r="J30" s="35">
        <f>IF($E30="","",IF(COUNTIF(Insumos!$I$5:$I$163,$D30&amp;" | "&amp;$E30)=0,"REVISAR: area+insumo no existe en el maestro","OK"))</f>
        <v/>
      </c>
    </row>
    <row r="31">
      <c r="A31" s="12" t="n"/>
      <c r="B31" s="16" t="n"/>
      <c r="C31" s="18" t="n"/>
      <c r="D31" s="18" t="n"/>
      <c r="E31" s="16" t="n"/>
      <c r="F31" s="28" t="n"/>
      <c r="G31" s="40">
        <f>IFERROR(INDEX(Insumos!$E$5:$E$163,MATCH($D31&amp;" | "&amp;$E31,Insumos!$I$5:$I$163,0)),"")</f>
        <v/>
      </c>
      <c r="H31" s="64" t="n"/>
      <c r="I31" s="65">
        <f>IFERROR($H31/$F31,"")</f>
        <v/>
      </c>
      <c r="J31" s="35">
        <f>IF($E31="","",IF(COUNTIF(Insumos!$I$5:$I$163,$D31&amp;" | "&amp;$E31)=0,"REVISAR: area+insumo no existe en el maestro","OK"))</f>
        <v/>
      </c>
    </row>
    <row r="32">
      <c r="A32" s="12" t="n"/>
      <c r="B32" s="16" t="n"/>
      <c r="C32" s="18" t="n"/>
      <c r="D32" s="18" t="n"/>
      <c r="E32" s="16" t="n"/>
      <c r="F32" s="28" t="n"/>
      <c r="G32" s="40">
        <f>IFERROR(INDEX(Insumos!$E$5:$E$163,MATCH($D32&amp;" | "&amp;$E32,Insumos!$I$5:$I$163,0)),"")</f>
        <v/>
      </c>
      <c r="H32" s="64" t="n"/>
      <c r="I32" s="65">
        <f>IFERROR($H32/$F32,"")</f>
        <v/>
      </c>
      <c r="J32" s="35">
        <f>IF($E32="","",IF(COUNTIF(Insumos!$I$5:$I$163,$D32&amp;" | "&amp;$E32)=0,"REVISAR: area+insumo no existe en el maestro","OK"))</f>
        <v/>
      </c>
    </row>
    <row r="33">
      <c r="A33" s="12" t="n"/>
      <c r="B33" s="16" t="n"/>
      <c r="C33" s="18" t="n"/>
      <c r="D33" s="18" t="n"/>
      <c r="E33" s="16" t="n"/>
      <c r="F33" s="28" t="n"/>
      <c r="G33" s="40">
        <f>IFERROR(INDEX(Insumos!$E$5:$E$163,MATCH($D33&amp;" | "&amp;$E33,Insumos!$I$5:$I$163,0)),"")</f>
        <v/>
      </c>
      <c r="H33" s="64" t="n"/>
      <c r="I33" s="65">
        <f>IFERROR($H33/$F33,"")</f>
        <v/>
      </c>
      <c r="J33" s="35">
        <f>IF($E33="","",IF(COUNTIF(Insumos!$I$5:$I$163,$D33&amp;" | "&amp;$E33)=0,"REVISAR: area+insumo no existe en el maestro","OK"))</f>
        <v/>
      </c>
    </row>
    <row r="34">
      <c r="A34" s="12" t="n"/>
      <c r="B34" s="16" t="n"/>
      <c r="C34" s="18" t="n"/>
      <c r="D34" s="18" t="n"/>
      <c r="E34" s="16" t="n"/>
      <c r="F34" s="28" t="n"/>
      <c r="G34" s="40">
        <f>IFERROR(INDEX(Insumos!$E$5:$E$163,MATCH($D34&amp;" | "&amp;$E34,Insumos!$I$5:$I$163,0)),"")</f>
        <v/>
      </c>
      <c r="H34" s="64" t="n"/>
      <c r="I34" s="65">
        <f>IFERROR($H34/$F34,"")</f>
        <v/>
      </c>
      <c r="J34" s="35">
        <f>IF($E34="","",IF(COUNTIF(Insumos!$I$5:$I$163,$D34&amp;" | "&amp;$E34)=0,"REVISAR: area+insumo no existe en el maestro","OK"))</f>
        <v/>
      </c>
    </row>
    <row r="35">
      <c r="A35" s="12" t="n"/>
      <c r="B35" s="16" t="n"/>
      <c r="C35" s="18" t="n"/>
      <c r="D35" s="18" t="n"/>
      <c r="E35" s="16" t="n"/>
      <c r="F35" s="28" t="n"/>
      <c r="G35" s="40">
        <f>IFERROR(INDEX(Insumos!$E$5:$E$163,MATCH($D35&amp;" | "&amp;$E35,Insumos!$I$5:$I$163,0)),"")</f>
        <v/>
      </c>
      <c r="H35" s="64" t="n"/>
      <c r="I35" s="65">
        <f>IFERROR($H35/$F35,"")</f>
        <v/>
      </c>
      <c r="J35" s="35">
        <f>IF($E35="","",IF(COUNTIF(Insumos!$I$5:$I$163,$D35&amp;" | "&amp;$E35)=0,"REVISAR: area+insumo no existe en el maestro","OK"))</f>
        <v/>
      </c>
    </row>
    <row r="36">
      <c r="A36" s="12" t="n"/>
      <c r="B36" s="16" t="n"/>
      <c r="C36" s="18" t="n"/>
      <c r="D36" s="18" t="n"/>
      <c r="E36" s="16" t="n"/>
      <c r="F36" s="28" t="n"/>
      <c r="G36" s="40">
        <f>IFERROR(INDEX(Insumos!$E$5:$E$163,MATCH($D36&amp;" | "&amp;$E36,Insumos!$I$5:$I$163,0)),"")</f>
        <v/>
      </c>
      <c r="H36" s="64" t="n"/>
      <c r="I36" s="65">
        <f>IFERROR($H36/$F36,"")</f>
        <v/>
      </c>
      <c r="J36" s="35">
        <f>IF($E36="","",IF(COUNTIF(Insumos!$I$5:$I$163,$D36&amp;" | "&amp;$E36)=0,"REVISAR: area+insumo no existe en el maestro","OK"))</f>
        <v/>
      </c>
    </row>
    <row r="37">
      <c r="A37" s="12" t="n"/>
      <c r="B37" s="16" t="n"/>
      <c r="C37" s="18" t="n"/>
      <c r="D37" s="18" t="n"/>
      <c r="E37" s="16" t="n"/>
      <c r="F37" s="28" t="n"/>
      <c r="G37" s="40">
        <f>IFERROR(INDEX(Insumos!$E$5:$E$163,MATCH($D37&amp;" | "&amp;$E37,Insumos!$I$5:$I$163,0)),"")</f>
        <v/>
      </c>
      <c r="H37" s="64" t="n"/>
      <c r="I37" s="65">
        <f>IFERROR($H37/$F37,"")</f>
        <v/>
      </c>
      <c r="J37" s="35">
        <f>IF($E37="","",IF(COUNTIF(Insumos!$I$5:$I$163,$D37&amp;" | "&amp;$E37)=0,"REVISAR: area+insumo no existe en el maestro","OK"))</f>
        <v/>
      </c>
    </row>
    <row r="38">
      <c r="A38" s="12" t="n"/>
      <c r="B38" s="16" t="n"/>
      <c r="C38" s="18" t="n"/>
      <c r="D38" s="18" t="n"/>
      <c r="E38" s="16" t="n"/>
      <c r="F38" s="28" t="n"/>
      <c r="G38" s="40">
        <f>IFERROR(INDEX(Insumos!$E$5:$E$163,MATCH($D38&amp;" | "&amp;$E38,Insumos!$I$5:$I$163,0)),"")</f>
        <v/>
      </c>
      <c r="H38" s="64" t="n"/>
      <c r="I38" s="65">
        <f>IFERROR($H38/$F38,"")</f>
        <v/>
      </c>
      <c r="J38" s="35">
        <f>IF($E38="","",IF(COUNTIF(Insumos!$I$5:$I$163,$D38&amp;" | "&amp;$E38)=0,"REVISAR: area+insumo no existe en el maestro","OK"))</f>
        <v/>
      </c>
    </row>
    <row r="39">
      <c r="A39" s="12" t="n"/>
      <c r="B39" s="16" t="n"/>
      <c r="C39" s="18" t="n"/>
      <c r="D39" s="18" t="n"/>
      <c r="E39" s="16" t="n"/>
      <c r="F39" s="28" t="n"/>
      <c r="G39" s="40">
        <f>IFERROR(INDEX(Insumos!$E$5:$E$163,MATCH($D39&amp;" | "&amp;$E39,Insumos!$I$5:$I$163,0)),"")</f>
        <v/>
      </c>
      <c r="H39" s="64" t="n"/>
      <c r="I39" s="65">
        <f>IFERROR($H39/$F39,"")</f>
        <v/>
      </c>
      <c r="J39" s="35">
        <f>IF($E39="","",IF(COUNTIF(Insumos!$I$5:$I$163,$D39&amp;" | "&amp;$E39)=0,"REVISAR: area+insumo no existe en el maestro","OK"))</f>
        <v/>
      </c>
    </row>
    <row r="40">
      <c r="A40" s="12" t="n"/>
      <c r="B40" s="16" t="n"/>
      <c r="C40" s="18" t="n"/>
      <c r="D40" s="18" t="n"/>
      <c r="E40" s="16" t="n"/>
      <c r="F40" s="28" t="n"/>
      <c r="G40" s="40">
        <f>IFERROR(INDEX(Insumos!$E$5:$E$163,MATCH($D40&amp;" | "&amp;$E40,Insumos!$I$5:$I$163,0)),"")</f>
        <v/>
      </c>
      <c r="H40" s="64" t="n"/>
      <c r="I40" s="65">
        <f>IFERROR($H40/$F40,"")</f>
        <v/>
      </c>
      <c r="J40" s="35">
        <f>IF($E40="","",IF(COUNTIF(Insumos!$I$5:$I$163,$D40&amp;" | "&amp;$E40)=0,"REVISAR: area+insumo no existe en el maestro","OK"))</f>
        <v/>
      </c>
    </row>
    <row r="41">
      <c r="A41" s="12" t="n"/>
      <c r="B41" s="16" t="n"/>
      <c r="C41" s="18" t="n"/>
      <c r="D41" s="18" t="n"/>
      <c r="E41" s="16" t="n"/>
      <c r="F41" s="28" t="n"/>
      <c r="G41" s="40">
        <f>IFERROR(INDEX(Insumos!$E$5:$E$163,MATCH($D41&amp;" | "&amp;$E41,Insumos!$I$5:$I$163,0)),"")</f>
        <v/>
      </c>
      <c r="H41" s="64" t="n"/>
      <c r="I41" s="65">
        <f>IFERROR($H41/$F41,"")</f>
        <v/>
      </c>
      <c r="J41" s="35">
        <f>IF($E41="","",IF(COUNTIF(Insumos!$I$5:$I$163,$D41&amp;" | "&amp;$E41)=0,"REVISAR: area+insumo no existe en el maestro","OK"))</f>
        <v/>
      </c>
    </row>
    <row r="42">
      <c r="A42" s="12" t="n"/>
      <c r="B42" s="16" t="n"/>
      <c r="C42" s="18" t="n"/>
      <c r="D42" s="18" t="n"/>
      <c r="E42" s="16" t="n"/>
      <c r="F42" s="28" t="n"/>
      <c r="G42" s="40">
        <f>IFERROR(INDEX(Insumos!$E$5:$E$163,MATCH($D42&amp;" | "&amp;$E42,Insumos!$I$5:$I$163,0)),"")</f>
        <v/>
      </c>
      <c r="H42" s="64" t="n"/>
      <c r="I42" s="65">
        <f>IFERROR($H42/$F42,"")</f>
        <v/>
      </c>
      <c r="J42" s="35">
        <f>IF($E42="","",IF(COUNTIF(Insumos!$I$5:$I$163,$D42&amp;" | "&amp;$E42)=0,"REVISAR: area+insumo no existe en el maestro","OK"))</f>
        <v/>
      </c>
    </row>
    <row r="43">
      <c r="A43" s="12" t="n"/>
      <c r="B43" s="16" t="n"/>
      <c r="C43" s="18" t="n"/>
      <c r="D43" s="18" t="n"/>
      <c r="E43" s="16" t="n"/>
      <c r="F43" s="28" t="n"/>
      <c r="G43" s="40">
        <f>IFERROR(INDEX(Insumos!$E$5:$E$163,MATCH($D43&amp;" | "&amp;$E43,Insumos!$I$5:$I$163,0)),"")</f>
        <v/>
      </c>
      <c r="H43" s="64" t="n"/>
      <c r="I43" s="65">
        <f>IFERROR($H43/$F43,"")</f>
        <v/>
      </c>
      <c r="J43" s="35">
        <f>IF($E43="","",IF(COUNTIF(Insumos!$I$5:$I$163,$D43&amp;" | "&amp;$E43)=0,"REVISAR: area+insumo no existe en el maestro","OK"))</f>
        <v/>
      </c>
    </row>
    <row r="44">
      <c r="A44" s="12" t="n"/>
      <c r="B44" s="16" t="n"/>
      <c r="C44" s="18" t="n"/>
      <c r="D44" s="18" t="n"/>
      <c r="E44" s="16" t="n"/>
      <c r="F44" s="28" t="n"/>
      <c r="G44" s="40">
        <f>IFERROR(INDEX(Insumos!$E$5:$E$163,MATCH($D44&amp;" | "&amp;$E44,Insumos!$I$5:$I$163,0)),"")</f>
        <v/>
      </c>
      <c r="H44" s="64" t="n"/>
      <c r="I44" s="65">
        <f>IFERROR($H44/$F44,"")</f>
        <v/>
      </c>
      <c r="J44" s="35">
        <f>IF($E44="","",IF(COUNTIF(Insumos!$I$5:$I$163,$D44&amp;" | "&amp;$E44)=0,"REVISAR: area+insumo no existe en el maestro","OK"))</f>
        <v/>
      </c>
    </row>
    <row r="45">
      <c r="A45" s="12" t="n"/>
      <c r="B45" s="16" t="n"/>
      <c r="C45" s="18" t="n"/>
      <c r="D45" s="18" t="n"/>
      <c r="E45" s="16" t="n"/>
      <c r="F45" s="28" t="n"/>
      <c r="G45" s="40">
        <f>IFERROR(INDEX(Insumos!$E$5:$E$163,MATCH($D45&amp;" | "&amp;$E45,Insumos!$I$5:$I$163,0)),"")</f>
        <v/>
      </c>
      <c r="H45" s="64" t="n"/>
      <c r="I45" s="65">
        <f>IFERROR($H45/$F45,"")</f>
        <v/>
      </c>
      <c r="J45" s="35">
        <f>IF($E45="","",IF(COUNTIF(Insumos!$I$5:$I$163,$D45&amp;" | "&amp;$E45)=0,"REVISAR: area+insumo no existe en el maestro","OK"))</f>
        <v/>
      </c>
    </row>
    <row r="46">
      <c r="A46" s="12" t="n"/>
      <c r="B46" s="16" t="n"/>
      <c r="C46" s="18" t="n"/>
      <c r="D46" s="18" t="n"/>
      <c r="E46" s="16" t="n"/>
      <c r="F46" s="28" t="n"/>
      <c r="G46" s="40">
        <f>IFERROR(INDEX(Insumos!$E$5:$E$163,MATCH($D46&amp;" | "&amp;$E46,Insumos!$I$5:$I$163,0)),"")</f>
        <v/>
      </c>
      <c r="H46" s="64" t="n"/>
      <c r="I46" s="65">
        <f>IFERROR($H46/$F46,"")</f>
        <v/>
      </c>
      <c r="J46" s="35">
        <f>IF($E46="","",IF(COUNTIF(Insumos!$I$5:$I$163,$D46&amp;" | "&amp;$E46)=0,"REVISAR: area+insumo no existe en el maestro","OK"))</f>
        <v/>
      </c>
    </row>
    <row r="47">
      <c r="A47" s="12" t="n"/>
      <c r="B47" s="16" t="n"/>
      <c r="C47" s="18" t="n"/>
      <c r="D47" s="18" t="n"/>
      <c r="E47" s="16" t="n"/>
      <c r="F47" s="28" t="n"/>
      <c r="G47" s="40">
        <f>IFERROR(INDEX(Insumos!$E$5:$E$163,MATCH($D47&amp;" | "&amp;$E47,Insumos!$I$5:$I$163,0)),"")</f>
        <v/>
      </c>
      <c r="H47" s="64" t="n"/>
      <c r="I47" s="65">
        <f>IFERROR($H47/$F47,"")</f>
        <v/>
      </c>
      <c r="J47" s="35">
        <f>IF($E47="","",IF(COUNTIF(Insumos!$I$5:$I$163,$D47&amp;" | "&amp;$E47)=0,"REVISAR: area+insumo no existe en el maestro","OK"))</f>
        <v/>
      </c>
    </row>
    <row r="48">
      <c r="A48" s="12" t="n"/>
      <c r="B48" s="16" t="n"/>
      <c r="C48" s="18" t="n"/>
      <c r="D48" s="18" t="n"/>
      <c r="E48" s="16" t="n"/>
      <c r="F48" s="28" t="n"/>
      <c r="G48" s="40">
        <f>IFERROR(INDEX(Insumos!$E$5:$E$163,MATCH($D48&amp;" | "&amp;$E48,Insumos!$I$5:$I$163,0)),"")</f>
        <v/>
      </c>
      <c r="H48" s="64" t="n"/>
      <c r="I48" s="65">
        <f>IFERROR($H48/$F48,"")</f>
        <v/>
      </c>
      <c r="J48" s="35">
        <f>IF($E48="","",IF(COUNTIF(Insumos!$I$5:$I$163,$D48&amp;" | "&amp;$E48)=0,"REVISAR: area+insumo no existe en el maestro","OK"))</f>
        <v/>
      </c>
    </row>
    <row r="49">
      <c r="A49" s="12" t="n"/>
      <c r="B49" s="16" t="n"/>
      <c r="C49" s="18" t="n"/>
      <c r="D49" s="18" t="n"/>
      <c r="E49" s="16" t="n"/>
      <c r="F49" s="28" t="n"/>
      <c r="G49" s="40">
        <f>IFERROR(INDEX(Insumos!$E$5:$E$163,MATCH($D49&amp;" | "&amp;$E49,Insumos!$I$5:$I$163,0)),"")</f>
        <v/>
      </c>
      <c r="H49" s="64" t="n"/>
      <c r="I49" s="65">
        <f>IFERROR($H49/$F49,"")</f>
        <v/>
      </c>
      <c r="J49" s="35">
        <f>IF($E49="","",IF(COUNTIF(Insumos!$I$5:$I$163,$D49&amp;" | "&amp;$E49)=0,"REVISAR: area+insumo no existe en el maestro","OK"))</f>
        <v/>
      </c>
    </row>
    <row r="50">
      <c r="A50" s="12" t="n"/>
      <c r="B50" s="16" t="n"/>
      <c r="C50" s="18" t="n"/>
      <c r="D50" s="18" t="n"/>
      <c r="E50" s="16" t="n"/>
      <c r="F50" s="28" t="n"/>
      <c r="G50" s="40">
        <f>IFERROR(INDEX(Insumos!$E$5:$E$163,MATCH($D50&amp;" | "&amp;$E50,Insumos!$I$5:$I$163,0)),"")</f>
        <v/>
      </c>
      <c r="H50" s="64" t="n"/>
      <c r="I50" s="65">
        <f>IFERROR($H50/$F50,"")</f>
        <v/>
      </c>
      <c r="J50" s="35">
        <f>IF($E50="","",IF(COUNTIF(Insumos!$I$5:$I$163,$D50&amp;" | "&amp;$E50)=0,"REVISAR: area+insumo no existe en el maestro","OK"))</f>
        <v/>
      </c>
    </row>
    <row r="51">
      <c r="A51" s="12" t="n"/>
      <c r="B51" s="16" t="n"/>
      <c r="C51" s="18" t="n"/>
      <c r="D51" s="18" t="n"/>
      <c r="E51" s="16" t="n"/>
      <c r="F51" s="28" t="n"/>
      <c r="G51" s="40">
        <f>IFERROR(INDEX(Insumos!$E$5:$E$163,MATCH($D51&amp;" | "&amp;$E51,Insumos!$I$5:$I$163,0)),"")</f>
        <v/>
      </c>
      <c r="H51" s="64" t="n"/>
      <c r="I51" s="65">
        <f>IFERROR($H51/$F51,"")</f>
        <v/>
      </c>
      <c r="J51" s="35">
        <f>IF($E51="","",IF(COUNTIF(Insumos!$I$5:$I$163,$D51&amp;" | "&amp;$E51)=0,"REVISAR: area+insumo no existe en el maestro","OK"))</f>
        <v/>
      </c>
    </row>
    <row r="52">
      <c r="A52" s="12" t="n"/>
      <c r="B52" s="16" t="n"/>
      <c r="C52" s="18" t="n"/>
      <c r="D52" s="18" t="n"/>
      <c r="E52" s="16" t="n"/>
      <c r="F52" s="28" t="n"/>
      <c r="G52" s="40">
        <f>IFERROR(INDEX(Insumos!$E$5:$E$163,MATCH($D52&amp;" | "&amp;$E52,Insumos!$I$5:$I$163,0)),"")</f>
        <v/>
      </c>
      <c r="H52" s="64" t="n"/>
      <c r="I52" s="65">
        <f>IFERROR($H52/$F52,"")</f>
        <v/>
      </c>
      <c r="J52" s="35">
        <f>IF($E52="","",IF(COUNTIF(Insumos!$I$5:$I$163,$D52&amp;" | "&amp;$E52)=0,"REVISAR: area+insumo no existe en el maestro","OK"))</f>
        <v/>
      </c>
    </row>
    <row r="53">
      <c r="A53" s="12" t="n"/>
      <c r="B53" s="16" t="n"/>
      <c r="C53" s="18" t="n"/>
      <c r="D53" s="18" t="n"/>
      <c r="E53" s="16" t="n"/>
      <c r="F53" s="28" t="n"/>
      <c r="G53" s="40">
        <f>IFERROR(INDEX(Insumos!$E$5:$E$163,MATCH($D53&amp;" | "&amp;$E53,Insumos!$I$5:$I$163,0)),"")</f>
        <v/>
      </c>
      <c r="H53" s="64" t="n"/>
      <c r="I53" s="65">
        <f>IFERROR($H53/$F53,"")</f>
        <v/>
      </c>
      <c r="J53" s="35">
        <f>IF($E53="","",IF(COUNTIF(Insumos!$I$5:$I$163,$D53&amp;" | "&amp;$E53)=0,"REVISAR: area+insumo no existe en el maestro","OK"))</f>
        <v/>
      </c>
    </row>
    <row r="54">
      <c r="A54" s="12" t="n"/>
      <c r="B54" s="16" t="n"/>
      <c r="C54" s="18" t="n"/>
      <c r="D54" s="18" t="n"/>
      <c r="E54" s="16" t="n"/>
      <c r="F54" s="28" t="n"/>
      <c r="G54" s="40">
        <f>IFERROR(INDEX(Insumos!$E$5:$E$163,MATCH($D54&amp;" | "&amp;$E54,Insumos!$I$5:$I$163,0)),"")</f>
        <v/>
      </c>
      <c r="H54" s="64" t="n"/>
      <c r="I54" s="65">
        <f>IFERROR($H54/$F54,"")</f>
        <v/>
      </c>
      <c r="J54" s="35">
        <f>IF($E54="","",IF(COUNTIF(Insumos!$I$5:$I$163,$D54&amp;" | "&amp;$E54)=0,"REVISAR: area+insumo no existe en el maestro","OK"))</f>
        <v/>
      </c>
    </row>
    <row r="55">
      <c r="A55" s="12" t="n"/>
      <c r="B55" s="16" t="n"/>
      <c r="C55" s="18" t="n"/>
      <c r="D55" s="18" t="n"/>
      <c r="E55" s="16" t="n"/>
      <c r="F55" s="28" t="n"/>
      <c r="G55" s="40">
        <f>IFERROR(INDEX(Insumos!$E$5:$E$163,MATCH($D55&amp;" | "&amp;$E55,Insumos!$I$5:$I$163,0)),"")</f>
        <v/>
      </c>
      <c r="H55" s="64" t="n"/>
      <c r="I55" s="65">
        <f>IFERROR($H55/$F55,"")</f>
        <v/>
      </c>
      <c r="J55" s="35">
        <f>IF($E55="","",IF(COUNTIF(Insumos!$I$5:$I$163,$D55&amp;" | "&amp;$E55)=0,"REVISAR: area+insumo no existe en el maestro","OK"))</f>
        <v/>
      </c>
    </row>
    <row r="56">
      <c r="A56" s="12" t="n"/>
      <c r="B56" s="16" t="n"/>
      <c r="C56" s="18" t="n"/>
      <c r="D56" s="18" t="n"/>
      <c r="E56" s="16" t="n"/>
      <c r="F56" s="28" t="n"/>
      <c r="G56" s="40">
        <f>IFERROR(INDEX(Insumos!$E$5:$E$163,MATCH($D56&amp;" | "&amp;$E56,Insumos!$I$5:$I$163,0)),"")</f>
        <v/>
      </c>
      <c r="H56" s="64" t="n"/>
      <c r="I56" s="65">
        <f>IFERROR($H56/$F56,"")</f>
        <v/>
      </c>
      <c r="J56" s="35">
        <f>IF($E56="","",IF(COUNTIF(Insumos!$I$5:$I$163,$D56&amp;" | "&amp;$E56)=0,"REVISAR: area+insumo no existe en el maestro","OK"))</f>
        <v/>
      </c>
    </row>
    <row r="57">
      <c r="A57" s="12" t="n"/>
      <c r="B57" s="16" t="n"/>
      <c r="C57" s="18" t="n"/>
      <c r="D57" s="18" t="n"/>
      <c r="E57" s="16" t="n"/>
      <c r="F57" s="28" t="n"/>
      <c r="G57" s="40">
        <f>IFERROR(INDEX(Insumos!$E$5:$E$163,MATCH($D57&amp;" | "&amp;$E57,Insumos!$I$5:$I$163,0)),"")</f>
        <v/>
      </c>
      <c r="H57" s="64" t="n"/>
      <c r="I57" s="65">
        <f>IFERROR($H57/$F57,"")</f>
        <v/>
      </c>
      <c r="J57" s="35">
        <f>IF($E57="","",IF(COUNTIF(Insumos!$I$5:$I$163,$D57&amp;" | "&amp;$E57)=0,"REVISAR: area+insumo no existe en el maestro","OK"))</f>
        <v/>
      </c>
    </row>
    <row r="58">
      <c r="A58" s="12" t="n"/>
      <c r="B58" s="16" t="n"/>
      <c r="C58" s="18" t="n"/>
      <c r="D58" s="18" t="n"/>
      <c r="E58" s="16" t="n"/>
      <c r="F58" s="28" t="n"/>
      <c r="G58" s="40">
        <f>IFERROR(INDEX(Insumos!$E$5:$E$163,MATCH($D58&amp;" | "&amp;$E58,Insumos!$I$5:$I$163,0)),"")</f>
        <v/>
      </c>
      <c r="H58" s="64" t="n"/>
      <c r="I58" s="65">
        <f>IFERROR($H58/$F58,"")</f>
        <v/>
      </c>
      <c r="J58" s="35">
        <f>IF($E58="","",IF(COUNTIF(Insumos!$I$5:$I$163,$D58&amp;" | "&amp;$E58)=0,"REVISAR: area+insumo no existe en el maestro","OK"))</f>
        <v/>
      </c>
    </row>
    <row r="59">
      <c r="A59" s="12" t="n"/>
      <c r="B59" s="16" t="n"/>
      <c r="C59" s="18" t="n"/>
      <c r="D59" s="18" t="n"/>
      <c r="E59" s="16" t="n"/>
      <c r="F59" s="28" t="n"/>
      <c r="G59" s="40">
        <f>IFERROR(INDEX(Insumos!$E$5:$E$163,MATCH($D59&amp;" | "&amp;$E59,Insumos!$I$5:$I$163,0)),"")</f>
        <v/>
      </c>
      <c r="H59" s="64" t="n"/>
      <c r="I59" s="65">
        <f>IFERROR($H59/$F59,"")</f>
        <v/>
      </c>
      <c r="J59" s="35">
        <f>IF($E59="","",IF(COUNTIF(Insumos!$I$5:$I$163,$D59&amp;" | "&amp;$E59)=0,"REVISAR: area+insumo no existe en el maestro","OK"))</f>
        <v/>
      </c>
    </row>
    <row r="60">
      <c r="A60" s="12" t="n"/>
      <c r="B60" s="16" t="n"/>
      <c r="C60" s="18" t="n"/>
      <c r="D60" s="18" t="n"/>
      <c r="E60" s="16" t="n"/>
      <c r="F60" s="28" t="n"/>
      <c r="G60" s="40">
        <f>IFERROR(INDEX(Insumos!$E$5:$E$163,MATCH($D60&amp;" | "&amp;$E60,Insumos!$I$5:$I$163,0)),"")</f>
        <v/>
      </c>
      <c r="H60" s="64" t="n"/>
      <c r="I60" s="65">
        <f>IFERROR($H60/$F60,"")</f>
        <v/>
      </c>
      <c r="J60" s="35">
        <f>IF($E60="","",IF(COUNTIF(Insumos!$I$5:$I$163,$D60&amp;" | "&amp;$E60)=0,"REVISAR: area+insumo no existe en el maestro","OK"))</f>
        <v/>
      </c>
    </row>
    <row r="61">
      <c r="A61" s="12" t="n"/>
      <c r="B61" s="16" t="n"/>
      <c r="C61" s="18" t="n"/>
      <c r="D61" s="18" t="n"/>
      <c r="E61" s="16" t="n"/>
      <c r="F61" s="28" t="n"/>
      <c r="G61" s="40">
        <f>IFERROR(INDEX(Insumos!$E$5:$E$163,MATCH($D61&amp;" | "&amp;$E61,Insumos!$I$5:$I$163,0)),"")</f>
        <v/>
      </c>
      <c r="H61" s="64" t="n"/>
      <c r="I61" s="65">
        <f>IFERROR($H61/$F61,"")</f>
        <v/>
      </c>
      <c r="J61" s="35">
        <f>IF($E61="","",IF(COUNTIF(Insumos!$I$5:$I$163,$D61&amp;" | "&amp;$E61)=0,"REVISAR: area+insumo no existe en el maestro","OK"))</f>
        <v/>
      </c>
    </row>
    <row r="62">
      <c r="A62" s="12" t="n"/>
      <c r="B62" s="16" t="n"/>
      <c r="C62" s="18" t="n"/>
      <c r="D62" s="18" t="n"/>
      <c r="E62" s="16" t="n"/>
      <c r="F62" s="28" t="n"/>
      <c r="G62" s="40">
        <f>IFERROR(INDEX(Insumos!$E$5:$E$163,MATCH($D62&amp;" | "&amp;$E62,Insumos!$I$5:$I$163,0)),"")</f>
        <v/>
      </c>
      <c r="H62" s="64" t="n"/>
      <c r="I62" s="65">
        <f>IFERROR($H62/$F62,"")</f>
        <v/>
      </c>
      <c r="J62" s="35">
        <f>IF($E62="","",IF(COUNTIF(Insumos!$I$5:$I$163,$D62&amp;" | "&amp;$E62)=0,"REVISAR: area+insumo no existe en el maestro","OK"))</f>
        <v/>
      </c>
    </row>
    <row r="63">
      <c r="A63" s="12" t="n"/>
      <c r="B63" s="16" t="n"/>
      <c r="C63" s="18" t="n"/>
      <c r="D63" s="18" t="n"/>
      <c r="E63" s="16" t="n"/>
      <c r="F63" s="28" t="n"/>
      <c r="G63" s="40">
        <f>IFERROR(INDEX(Insumos!$E$5:$E$163,MATCH($D63&amp;" | "&amp;$E63,Insumos!$I$5:$I$163,0)),"")</f>
        <v/>
      </c>
      <c r="H63" s="64" t="n"/>
      <c r="I63" s="65">
        <f>IFERROR($H63/$F63,"")</f>
        <v/>
      </c>
      <c r="J63" s="35">
        <f>IF($E63="","",IF(COUNTIF(Insumos!$I$5:$I$163,$D63&amp;" | "&amp;$E63)=0,"REVISAR: area+insumo no existe en el maestro","OK"))</f>
        <v/>
      </c>
    </row>
    <row r="64">
      <c r="A64" s="12" t="n"/>
      <c r="B64" s="16" t="n"/>
      <c r="C64" s="18" t="n"/>
      <c r="D64" s="18" t="n"/>
      <c r="E64" s="16" t="n"/>
      <c r="F64" s="28" t="n"/>
      <c r="G64" s="40">
        <f>IFERROR(INDEX(Insumos!$E$5:$E$163,MATCH($D64&amp;" | "&amp;$E64,Insumos!$I$5:$I$163,0)),"")</f>
        <v/>
      </c>
      <c r="H64" s="64" t="n"/>
      <c r="I64" s="65">
        <f>IFERROR($H64/$F64,"")</f>
        <v/>
      </c>
      <c r="J64" s="35">
        <f>IF($E64="","",IF(COUNTIF(Insumos!$I$5:$I$163,$D64&amp;" | "&amp;$E64)=0,"REVISAR: area+insumo no existe en el maestro","OK"))</f>
        <v/>
      </c>
    </row>
    <row r="65">
      <c r="A65" s="12" t="n"/>
      <c r="B65" s="16" t="n"/>
      <c r="C65" s="18" t="n"/>
      <c r="D65" s="18" t="n"/>
      <c r="E65" s="16" t="n"/>
      <c r="F65" s="28" t="n"/>
      <c r="G65" s="40">
        <f>IFERROR(INDEX(Insumos!$E$5:$E$163,MATCH($D65&amp;" | "&amp;$E65,Insumos!$I$5:$I$163,0)),"")</f>
        <v/>
      </c>
      <c r="H65" s="64" t="n"/>
      <c r="I65" s="65">
        <f>IFERROR($H65/$F65,"")</f>
        <v/>
      </c>
      <c r="J65" s="35">
        <f>IF($E65="","",IF(COUNTIF(Insumos!$I$5:$I$163,$D65&amp;" | "&amp;$E65)=0,"REVISAR: area+insumo no existe en el maestro","OK"))</f>
        <v/>
      </c>
    </row>
    <row r="66">
      <c r="A66" s="12" t="n"/>
      <c r="B66" s="16" t="n"/>
      <c r="C66" s="18" t="n"/>
      <c r="D66" s="18" t="n"/>
      <c r="E66" s="16" t="n"/>
      <c r="F66" s="28" t="n"/>
      <c r="G66" s="40">
        <f>IFERROR(INDEX(Insumos!$E$5:$E$163,MATCH($D66&amp;" | "&amp;$E66,Insumos!$I$5:$I$163,0)),"")</f>
        <v/>
      </c>
      <c r="H66" s="64" t="n"/>
      <c r="I66" s="65">
        <f>IFERROR($H66/$F66,"")</f>
        <v/>
      </c>
      <c r="J66" s="35">
        <f>IF($E66="","",IF(COUNTIF(Insumos!$I$5:$I$163,$D66&amp;" | "&amp;$E66)=0,"REVISAR: area+insumo no existe en el maestro","OK"))</f>
        <v/>
      </c>
    </row>
    <row r="67">
      <c r="A67" s="12" t="n"/>
      <c r="B67" s="16" t="n"/>
      <c r="C67" s="18" t="n"/>
      <c r="D67" s="18" t="n"/>
      <c r="E67" s="16" t="n"/>
      <c r="F67" s="28" t="n"/>
      <c r="G67" s="40">
        <f>IFERROR(INDEX(Insumos!$E$5:$E$163,MATCH($D67&amp;" | "&amp;$E67,Insumos!$I$5:$I$163,0)),"")</f>
        <v/>
      </c>
      <c r="H67" s="64" t="n"/>
      <c r="I67" s="65">
        <f>IFERROR($H67/$F67,"")</f>
        <v/>
      </c>
      <c r="J67" s="35">
        <f>IF($E67="","",IF(COUNTIF(Insumos!$I$5:$I$163,$D67&amp;" | "&amp;$E67)=0,"REVISAR: area+insumo no existe en el maestro","OK"))</f>
        <v/>
      </c>
    </row>
    <row r="68">
      <c r="A68" s="12" t="n"/>
      <c r="B68" s="16" t="n"/>
      <c r="C68" s="18" t="n"/>
      <c r="D68" s="18" t="n"/>
      <c r="E68" s="16" t="n"/>
      <c r="F68" s="28" t="n"/>
      <c r="G68" s="40">
        <f>IFERROR(INDEX(Insumos!$E$5:$E$163,MATCH($D68&amp;" | "&amp;$E68,Insumos!$I$5:$I$163,0)),"")</f>
        <v/>
      </c>
      <c r="H68" s="64" t="n"/>
      <c r="I68" s="65">
        <f>IFERROR($H68/$F68,"")</f>
        <v/>
      </c>
      <c r="J68" s="35">
        <f>IF($E68="","",IF(COUNTIF(Insumos!$I$5:$I$163,$D68&amp;" | "&amp;$E68)=0,"REVISAR: area+insumo no existe en el maestro","OK"))</f>
        <v/>
      </c>
    </row>
    <row r="69">
      <c r="A69" s="12" t="n"/>
      <c r="B69" s="16" t="n"/>
      <c r="C69" s="18" t="n"/>
      <c r="D69" s="18" t="n"/>
      <c r="E69" s="16" t="n"/>
      <c r="F69" s="28" t="n"/>
      <c r="G69" s="40">
        <f>IFERROR(INDEX(Insumos!$E$5:$E$163,MATCH($D69&amp;" | "&amp;$E69,Insumos!$I$5:$I$163,0)),"")</f>
        <v/>
      </c>
      <c r="H69" s="64" t="n"/>
      <c r="I69" s="65">
        <f>IFERROR($H69/$F69,"")</f>
        <v/>
      </c>
      <c r="J69" s="35">
        <f>IF($E69="","",IF(COUNTIF(Insumos!$I$5:$I$163,$D69&amp;" | "&amp;$E69)=0,"REVISAR: area+insumo no existe en el maestro","OK"))</f>
        <v/>
      </c>
    </row>
    <row r="70">
      <c r="A70" s="12" t="n"/>
      <c r="B70" s="16" t="n"/>
      <c r="C70" s="18" t="n"/>
      <c r="D70" s="18" t="n"/>
      <c r="E70" s="16" t="n"/>
      <c r="F70" s="28" t="n"/>
      <c r="G70" s="40">
        <f>IFERROR(INDEX(Insumos!$E$5:$E$163,MATCH($D70&amp;" | "&amp;$E70,Insumos!$I$5:$I$163,0)),"")</f>
        <v/>
      </c>
      <c r="H70" s="64" t="n"/>
      <c r="I70" s="65">
        <f>IFERROR($H70/$F70,"")</f>
        <v/>
      </c>
      <c r="J70" s="35">
        <f>IF($E70="","",IF(COUNTIF(Insumos!$I$5:$I$163,$D70&amp;" | "&amp;$E70)=0,"REVISAR: area+insumo no existe en el maestro","OK"))</f>
        <v/>
      </c>
    </row>
    <row r="71">
      <c r="A71" s="12" t="n"/>
      <c r="B71" s="16" t="n"/>
      <c r="C71" s="18" t="n"/>
      <c r="D71" s="18" t="n"/>
      <c r="E71" s="16" t="n"/>
      <c r="F71" s="28" t="n"/>
      <c r="G71" s="40">
        <f>IFERROR(INDEX(Insumos!$E$5:$E$163,MATCH($D71&amp;" | "&amp;$E71,Insumos!$I$5:$I$163,0)),"")</f>
        <v/>
      </c>
      <c r="H71" s="64" t="n"/>
      <c r="I71" s="65">
        <f>IFERROR($H71/$F71,"")</f>
        <v/>
      </c>
      <c r="J71" s="35">
        <f>IF($E71="","",IF(COUNTIF(Insumos!$I$5:$I$163,$D71&amp;" | "&amp;$E71)=0,"REVISAR: area+insumo no existe en el maestro","OK"))</f>
        <v/>
      </c>
    </row>
    <row r="72">
      <c r="A72" s="12" t="n"/>
      <c r="B72" s="16" t="n"/>
      <c r="C72" s="18" t="n"/>
      <c r="D72" s="18" t="n"/>
      <c r="E72" s="16" t="n"/>
      <c r="F72" s="28" t="n"/>
      <c r="G72" s="40">
        <f>IFERROR(INDEX(Insumos!$E$5:$E$163,MATCH($D72&amp;" | "&amp;$E72,Insumos!$I$5:$I$163,0)),"")</f>
        <v/>
      </c>
      <c r="H72" s="64" t="n"/>
      <c r="I72" s="65">
        <f>IFERROR($H72/$F72,"")</f>
        <v/>
      </c>
      <c r="J72" s="35">
        <f>IF($E72="","",IF(COUNTIF(Insumos!$I$5:$I$163,$D72&amp;" | "&amp;$E72)=0,"REVISAR: area+insumo no existe en el maestro","OK"))</f>
        <v/>
      </c>
    </row>
    <row r="73">
      <c r="A73" s="12" t="n"/>
      <c r="B73" s="16" t="n"/>
      <c r="C73" s="18" t="n"/>
      <c r="D73" s="18" t="n"/>
      <c r="E73" s="16" t="n"/>
      <c r="F73" s="28" t="n"/>
      <c r="G73" s="40">
        <f>IFERROR(INDEX(Insumos!$E$5:$E$163,MATCH($D73&amp;" | "&amp;$E73,Insumos!$I$5:$I$163,0)),"")</f>
        <v/>
      </c>
      <c r="H73" s="64" t="n"/>
      <c r="I73" s="65">
        <f>IFERROR($H73/$F73,"")</f>
        <v/>
      </c>
      <c r="J73" s="35">
        <f>IF($E73="","",IF(COUNTIF(Insumos!$I$5:$I$163,$D73&amp;" | "&amp;$E73)=0,"REVISAR: area+insumo no existe en el maestro","OK"))</f>
        <v/>
      </c>
    </row>
    <row r="74">
      <c r="A74" s="12" t="n"/>
      <c r="B74" s="16" t="n"/>
      <c r="C74" s="18" t="n"/>
      <c r="D74" s="18" t="n"/>
      <c r="E74" s="16" t="n"/>
      <c r="F74" s="28" t="n"/>
      <c r="G74" s="40">
        <f>IFERROR(INDEX(Insumos!$E$5:$E$163,MATCH($D74&amp;" | "&amp;$E74,Insumos!$I$5:$I$163,0)),"")</f>
        <v/>
      </c>
      <c r="H74" s="64" t="n"/>
      <c r="I74" s="65">
        <f>IFERROR($H74/$F74,"")</f>
        <v/>
      </c>
      <c r="J74" s="35">
        <f>IF($E74="","",IF(COUNTIF(Insumos!$I$5:$I$163,$D74&amp;" | "&amp;$E74)=0,"REVISAR: area+insumo no existe en el maestro","OK"))</f>
        <v/>
      </c>
    </row>
    <row r="75">
      <c r="A75" s="12" t="n"/>
      <c r="B75" s="16" t="n"/>
      <c r="C75" s="18" t="n"/>
      <c r="D75" s="18" t="n"/>
      <c r="E75" s="16" t="n"/>
      <c r="F75" s="28" t="n"/>
      <c r="G75" s="40">
        <f>IFERROR(INDEX(Insumos!$E$5:$E$163,MATCH($D75&amp;" | "&amp;$E75,Insumos!$I$5:$I$163,0)),"")</f>
        <v/>
      </c>
      <c r="H75" s="64" t="n"/>
      <c r="I75" s="65">
        <f>IFERROR($H75/$F75,"")</f>
        <v/>
      </c>
      <c r="J75" s="35">
        <f>IF($E75="","",IF(COUNTIF(Insumos!$I$5:$I$163,$D75&amp;" | "&amp;$E75)=0,"REVISAR: area+insumo no existe en el maestro","OK"))</f>
        <v/>
      </c>
    </row>
    <row r="76">
      <c r="A76" s="12" t="n"/>
      <c r="B76" s="16" t="n"/>
      <c r="C76" s="18" t="n"/>
      <c r="D76" s="18" t="n"/>
      <c r="E76" s="16" t="n"/>
      <c r="F76" s="28" t="n"/>
      <c r="G76" s="40">
        <f>IFERROR(INDEX(Insumos!$E$5:$E$163,MATCH($D76&amp;" | "&amp;$E76,Insumos!$I$5:$I$163,0)),"")</f>
        <v/>
      </c>
      <c r="H76" s="64" t="n"/>
      <c r="I76" s="65">
        <f>IFERROR($H76/$F76,"")</f>
        <v/>
      </c>
      <c r="J76" s="35">
        <f>IF($E76="","",IF(COUNTIF(Insumos!$I$5:$I$163,$D76&amp;" | "&amp;$E76)=0,"REVISAR: area+insumo no existe en el maestro","OK"))</f>
        <v/>
      </c>
    </row>
    <row r="77">
      <c r="A77" s="12" t="n"/>
      <c r="B77" s="16" t="n"/>
      <c r="C77" s="18" t="n"/>
      <c r="D77" s="18" t="n"/>
      <c r="E77" s="16" t="n"/>
      <c r="F77" s="28" t="n"/>
      <c r="G77" s="40">
        <f>IFERROR(INDEX(Insumos!$E$5:$E$163,MATCH($D77&amp;" | "&amp;$E77,Insumos!$I$5:$I$163,0)),"")</f>
        <v/>
      </c>
      <c r="H77" s="64" t="n"/>
      <c r="I77" s="65">
        <f>IFERROR($H77/$F77,"")</f>
        <v/>
      </c>
      <c r="J77" s="35">
        <f>IF($E77="","",IF(COUNTIF(Insumos!$I$5:$I$163,$D77&amp;" | "&amp;$E77)=0,"REVISAR: area+insumo no existe en el maestro","OK"))</f>
        <v/>
      </c>
    </row>
    <row r="78">
      <c r="A78" s="12" t="n"/>
      <c r="B78" s="16" t="n"/>
      <c r="C78" s="18" t="n"/>
      <c r="D78" s="18" t="n"/>
      <c r="E78" s="16" t="n"/>
      <c r="F78" s="28" t="n"/>
      <c r="G78" s="40">
        <f>IFERROR(INDEX(Insumos!$E$5:$E$163,MATCH($D78&amp;" | "&amp;$E78,Insumos!$I$5:$I$163,0)),"")</f>
        <v/>
      </c>
      <c r="H78" s="64" t="n"/>
      <c r="I78" s="65">
        <f>IFERROR($H78/$F78,"")</f>
        <v/>
      </c>
      <c r="J78" s="35">
        <f>IF($E78="","",IF(COUNTIF(Insumos!$I$5:$I$163,$D78&amp;" | "&amp;$E78)=0,"REVISAR: area+insumo no existe en el maestro","OK"))</f>
        <v/>
      </c>
    </row>
    <row r="79">
      <c r="A79" s="12" t="n"/>
      <c r="B79" s="16" t="n"/>
      <c r="C79" s="18" t="n"/>
      <c r="D79" s="18" t="n"/>
      <c r="E79" s="16" t="n"/>
      <c r="F79" s="28" t="n"/>
      <c r="G79" s="40">
        <f>IFERROR(INDEX(Insumos!$E$5:$E$163,MATCH($D79&amp;" | "&amp;$E79,Insumos!$I$5:$I$163,0)),"")</f>
        <v/>
      </c>
      <c r="H79" s="64" t="n"/>
      <c r="I79" s="65">
        <f>IFERROR($H79/$F79,"")</f>
        <v/>
      </c>
      <c r="J79" s="35">
        <f>IF($E79="","",IF(COUNTIF(Insumos!$I$5:$I$163,$D79&amp;" | "&amp;$E79)=0,"REVISAR: area+insumo no existe en el maestro","OK"))</f>
        <v/>
      </c>
    </row>
    <row r="80">
      <c r="A80" s="12" t="n"/>
      <c r="B80" s="16" t="n"/>
      <c r="C80" s="18" t="n"/>
      <c r="D80" s="18" t="n"/>
      <c r="E80" s="16" t="n"/>
      <c r="F80" s="28" t="n"/>
      <c r="G80" s="40">
        <f>IFERROR(INDEX(Insumos!$E$5:$E$163,MATCH($D80&amp;" | "&amp;$E80,Insumos!$I$5:$I$163,0)),"")</f>
        <v/>
      </c>
      <c r="H80" s="64" t="n"/>
      <c r="I80" s="65">
        <f>IFERROR($H80/$F80,"")</f>
        <v/>
      </c>
      <c r="J80" s="35">
        <f>IF($E80="","",IF(COUNTIF(Insumos!$I$5:$I$163,$D80&amp;" | "&amp;$E80)=0,"REVISAR: area+insumo no existe en el maestro","OK"))</f>
        <v/>
      </c>
    </row>
    <row r="81">
      <c r="A81" s="12" t="n"/>
      <c r="B81" s="16" t="n"/>
      <c r="C81" s="18" t="n"/>
      <c r="D81" s="18" t="n"/>
      <c r="E81" s="16" t="n"/>
      <c r="F81" s="28" t="n"/>
      <c r="G81" s="40">
        <f>IFERROR(INDEX(Insumos!$E$5:$E$163,MATCH($D81&amp;" | "&amp;$E81,Insumos!$I$5:$I$163,0)),"")</f>
        <v/>
      </c>
      <c r="H81" s="64" t="n"/>
      <c r="I81" s="65">
        <f>IFERROR($H81/$F81,"")</f>
        <v/>
      </c>
      <c r="J81" s="35">
        <f>IF($E81="","",IF(COUNTIF(Insumos!$I$5:$I$163,$D81&amp;" | "&amp;$E81)=0,"REVISAR: area+insumo no existe en el maestro","OK"))</f>
        <v/>
      </c>
    </row>
    <row r="82">
      <c r="A82" s="12" t="n"/>
      <c r="B82" s="16" t="n"/>
      <c r="C82" s="18" t="n"/>
      <c r="D82" s="18" t="n"/>
      <c r="E82" s="16" t="n"/>
      <c r="F82" s="28" t="n"/>
      <c r="G82" s="40">
        <f>IFERROR(INDEX(Insumos!$E$5:$E$163,MATCH($D82&amp;" | "&amp;$E82,Insumos!$I$5:$I$163,0)),"")</f>
        <v/>
      </c>
      <c r="H82" s="64" t="n"/>
      <c r="I82" s="65">
        <f>IFERROR($H82/$F82,"")</f>
        <v/>
      </c>
      <c r="J82" s="35">
        <f>IF($E82="","",IF(COUNTIF(Insumos!$I$5:$I$163,$D82&amp;" | "&amp;$E82)=0,"REVISAR: area+insumo no existe en el maestro","OK"))</f>
        <v/>
      </c>
    </row>
    <row r="83">
      <c r="A83" s="12" t="n"/>
      <c r="B83" s="16" t="n"/>
      <c r="C83" s="18" t="n"/>
      <c r="D83" s="18" t="n"/>
      <c r="E83" s="16" t="n"/>
      <c r="F83" s="28" t="n"/>
      <c r="G83" s="40">
        <f>IFERROR(INDEX(Insumos!$E$5:$E$163,MATCH($D83&amp;" | "&amp;$E83,Insumos!$I$5:$I$163,0)),"")</f>
        <v/>
      </c>
      <c r="H83" s="64" t="n"/>
      <c r="I83" s="65">
        <f>IFERROR($H83/$F83,"")</f>
        <v/>
      </c>
      <c r="J83" s="35">
        <f>IF($E83="","",IF(COUNTIF(Insumos!$I$5:$I$163,$D83&amp;" | "&amp;$E83)=0,"REVISAR: area+insumo no existe en el maestro","OK"))</f>
        <v/>
      </c>
    </row>
    <row r="84">
      <c r="A84" s="12" t="n"/>
      <c r="B84" s="16" t="n"/>
      <c r="C84" s="18" t="n"/>
      <c r="D84" s="18" t="n"/>
      <c r="E84" s="16" t="n"/>
      <c r="F84" s="28" t="n"/>
      <c r="G84" s="40">
        <f>IFERROR(INDEX(Insumos!$E$5:$E$163,MATCH($D84&amp;" | "&amp;$E84,Insumos!$I$5:$I$163,0)),"")</f>
        <v/>
      </c>
      <c r="H84" s="64" t="n"/>
      <c r="I84" s="65">
        <f>IFERROR($H84/$F84,"")</f>
        <v/>
      </c>
      <c r="J84" s="35">
        <f>IF($E84="","",IF(COUNTIF(Insumos!$I$5:$I$163,$D84&amp;" | "&amp;$E84)=0,"REVISAR: area+insumo no existe en el maestro","OK"))</f>
        <v/>
      </c>
    </row>
    <row r="85">
      <c r="A85" s="12" t="n"/>
      <c r="B85" s="16" t="n"/>
      <c r="C85" s="18" t="n"/>
      <c r="D85" s="18" t="n"/>
      <c r="E85" s="16" t="n"/>
      <c r="F85" s="28" t="n"/>
      <c r="G85" s="40">
        <f>IFERROR(INDEX(Insumos!$E$5:$E$163,MATCH($D85&amp;" | "&amp;$E85,Insumos!$I$5:$I$163,0)),"")</f>
        <v/>
      </c>
      <c r="H85" s="64" t="n"/>
      <c r="I85" s="65">
        <f>IFERROR($H85/$F85,"")</f>
        <v/>
      </c>
      <c r="J85" s="35">
        <f>IF($E85="","",IF(COUNTIF(Insumos!$I$5:$I$163,$D85&amp;" | "&amp;$E85)=0,"REVISAR: area+insumo no existe en el maestro","OK"))</f>
        <v/>
      </c>
    </row>
    <row r="86">
      <c r="A86" s="12" t="n"/>
      <c r="B86" s="16" t="n"/>
      <c r="C86" s="18" t="n"/>
      <c r="D86" s="18" t="n"/>
      <c r="E86" s="16" t="n"/>
      <c r="F86" s="28" t="n"/>
      <c r="G86" s="40">
        <f>IFERROR(INDEX(Insumos!$E$5:$E$163,MATCH($D86&amp;" | "&amp;$E86,Insumos!$I$5:$I$163,0)),"")</f>
        <v/>
      </c>
      <c r="H86" s="64" t="n"/>
      <c r="I86" s="65">
        <f>IFERROR($H86/$F86,"")</f>
        <v/>
      </c>
      <c r="J86" s="35">
        <f>IF($E86="","",IF(COUNTIF(Insumos!$I$5:$I$163,$D86&amp;" | "&amp;$E86)=0,"REVISAR: area+insumo no existe en el maestro","OK"))</f>
        <v/>
      </c>
    </row>
    <row r="87">
      <c r="A87" s="12" t="n"/>
      <c r="B87" s="16" t="n"/>
      <c r="C87" s="18" t="n"/>
      <c r="D87" s="18" t="n"/>
      <c r="E87" s="16" t="n"/>
      <c r="F87" s="28" t="n"/>
      <c r="G87" s="40">
        <f>IFERROR(INDEX(Insumos!$E$5:$E$163,MATCH($D87&amp;" | "&amp;$E87,Insumos!$I$5:$I$163,0)),"")</f>
        <v/>
      </c>
      <c r="H87" s="64" t="n"/>
      <c r="I87" s="65">
        <f>IFERROR($H87/$F87,"")</f>
        <v/>
      </c>
      <c r="J87" s="35">
        <f>IF($E87="","",IF(COUNTIF(Insumos!$I$5:$I$163,$D87&amp;" | "&amp;$E87)=0,"REVISAR: area+insumo no existe en el maestro","OK"))</f>
        <v/>
      </c>
    </row>
    <row r="88">
      <c r="A88" s="12" t="n"/>
      <c r="B88" s="16" t="n"/>
      <c r="C88" s="18" t="n"/>
      <c r="D88" s="18" t="n"/>
      <c r="E88" s="16" t="n"/>
      <c r="F88" s="28" t="n"/>
      <c r="G88" s="40">
        <f>IFERROR(INDEX(Insumos!$E$5:$E$163,MATCH($D88&amp;" | "&amp;$E88,Insumos!$I$5:$I$163,0)),"")</f>
        <v/>
      </c>
      <c r="H88" s="64" t="n"/>
      <c r="I88" s="65">
        <f>IFERROR($H88/$F88,"")</f>
        <v/>
      </c>
      <c r="J88" s="35">
        <f>IF($E88="","",IF(COUNTIF(Insumos!$I$5:$I$163,$D88&amp;" | "&amp;$E88)=0,"REVISAR: area+insumo no existe en el maestro","OK"))</f>
        <v/>
      </c>
    </row>
    <row r="89">
      <c r="A89" s="12" t="n"/>
      <c r="B89" s="16" t="n"/>
      <c r="C89" s="18" t="n"/>
      <c r="D89" s="18" t="n"/>
      <c r="E89" s="16" t="n"/>
      <c r="F89" s="28" t="n"/>
      <c r="G89" s="40">
        <f>IFERROR(INDEX(Insumos!$E$5:$E$163,MATCH($D89&amp;" | "&amp;$E89,Insumos!$I$5:$I$163,0)),"")</f>
        <v/>
      </c>
      <c r="H89" s="64" t="n"/>
      <c r="I89" s="65">
        <f>IFERROR($H89/$F89,"")</f>
        <v/>
      </c>
      <c r="J89" s="35">
        <f>IF($E89="","",IF(COUNTIF(Insumos!$I$5:$I$163,$D89&amp;" | "&amp;$E89)=0,"REVISAR: area+insumo no existe en el maestro","OK"))</f>
        <v/>
      </c>
    </row>
    <row r="90">
      <c r="A90" s="12" t="n"/>
      <c r="B90" s="16" t="n"/>
      <c r="C90" s="18" t="n"/>
      <c r="D90" s="18" t="n"/>
      <c r="E90" s="16" t="n"/>
      <c r="F90" s="28" t="n"/>
      <c r="G90" s="40">
        <f>IFERROR(INDEX(Insumos!$E$5:$E$163,MATCH($D90&amp;" | "&amp;$E90,Insumos!$I$5:$I$163,0)),"")</f>
        <v/>
      </c>
      <c r="H90" s="64" t="n"/>
      <c r="I90" s="65">
        <f>IFERROR($H90/$F90,"")</f>
        <v/>
      </c>
      <c r="J90" s="35">
        <f>IF($E90="","",IF(COUNTIF(Insumos!$I$5:$I$163,$D90&amp;" | "&amp;$E90)=0,"REVISAR: area+insumo no existe en el maestro","OK"))</f>
        <v/>
      </c>
    </row>
    <row r="91">
      <c r="A91" s="12" t="n"/>
      <c r="B91" s="16" t="n"/>
      <c r="C91" s="18" t="n"/>
      <c r="D91" s="18" t="n"/>
      <c r="E91" s="16" t="n"/>
      <c r="F91" s="28" t="n"/>
      <c r="G91" s="40">
        <f>IFERROR(INDEX(Insumos!$E$5:$E$163,MATCH($D91&amp;" | "&amp;$E91,Insumos!$I$5:$I$163,0)),"")</f>
        <v/>
      </c>
      <c r="H91" s="64" t="n"/>
      <c r="I91" s="65">
        <f>IFERROR($H91/$F91,"")</f>
        <v/>
      </c>
      <c r="J91" s="35">
        <f>IF($E91="","",IF(COUNTIF(Insumos!$I$5:$I$163,$D91&amp;" | "&amp;$E91)=0,"REVISAR: area+insumo no existe en el maestro","OK"))</f>
        <v/>
      </c>
    </row>
    <row r="92">
      <c r="A92" s="12" t="n"/>
      <c r="B92" s="16" t="n"/>
      <c r="C92" s="18" t="n"/>
      <c r="D92" s="18" t="n"/>
      <c r="E92" s="16" t="n"/>
      <c r="F92" s="28" t="n"/>
      <c r="G92" s="40">
        <f>IFERROR(INDEX(Insumos!$E$5:$E$163,MATCH($D92&amp;" | "&amp;$E92,Insumos!$I$5:$I$163,0)),"")</f>
        <v/>
      </c>
      <c r="H92" s="64" t="n"/>
      <c r="I92" s="65">
        <f>IFERROR($H92/$F92,"")</f>
        <v/>
      </c>
      <c r="J92" s="35">
        <f>IF($E92="","",IF(COUNTIF(Insumos!$I$5:$I$163,$D92&amp;" | "&amp;$E92)=0,"REVISAR: area+insumo no existe en el maestro","OK"))</f>
        <v/>
      </c>
    </row>
    <row r="93">
      <c r="A93" s="12" t="n"/>
      <c r="B93" s="16" t="n"/>
      <c r="C93" s="18" t="n"/>
      <c r="D93" s="18" t="n"/>
      <c r="E93" s="16" t="n"/>
      <c r="F93" s="28" t="n"/>
      <c r="G93" s="40">
        <f>IFERROR(INDEX(Insumos!$E$5:$E$163,MATCH($D93&amp;" | "&amp;$E93,Insumos!$I$5:$I$163,0)),"")</f>
        <v/>
      </c>
      <c r="H93" s="64" t="n"/>
      <c r="I93" s="65">
        <f>IFERROR($H93/$F93,"")</f>
        <v/>
      </c>
      <c r="J93" s="35">
        <f>IF($E93="","",IF(COUNTIF(Insumos!$I$5:$I$163,$D93&amp;" | "&amp;$E93)=0,"REVISAR: area+insumo no existe en el maestro","OK"))</f>
        <v/>
      </c>
    </row>
    <row r="94">
      <c r="A94" s="12" t="n"/>
      <c r="B94" s="16" t="n"/>
      <c r="C94" s="18" t="n"/>
      <c r="D94" s="18" t="n"/>
      <c r="E94" s="16" t="n"/>
      <c r="F94" s="28" t="n"/>
      <c r="G94" s="40">
        <f>IFERROR(INDEX(Insumos!$E$5:$E$163,MATCH($D94&amp;" | "&amp;$E94,Insumos!$I$5:$I$163,0)),"")</f>
        <v/>
      </c>
      <c r="H94" s="64" t="n"/>
      <c r="I94" s="65">
        <f>IFERROR($H94/$F94,"")</f>
        <v/>
      </c>
      <c r="J94" s="35">
        <f>IF($E94="","",IF(COUNTIF(Insumos!$I$5:$I$163,$D94&amp;" | "&amp;$E94)=0,"REVISAR: area+insumo no existe en el maestro","OK"))</f>
        <v/>
      </c>
    </row>
    <row r="95">
      <c r="A95" s="12" t="n"/>
      <c r="B95" s="16" t="n"/>
      <c r="C95" s="18" t="n"/>
      <c r="D95" s="18" t="n"/>
      <c r="E95" s="16" t="n"/>
      <c r="F95" s="28" t="n"/>
      <c r="G95" s="40">
        <f>IFERROR(INDEX(Insumos!$E$5:$E$163,MATCH($D95&amp;" | "&amp;$E95,Insumos!$I$5:$I$163,0)),"")</f>
        <v/>
      </c>
      <c r="H95" s="64" t="n"/>
      <c r="I95" s="65">
        <f>IFERROR($H95/$F95,"")</f>
        <v/>
      </c>
      <c r="J95" s="35">
        <f>IF($E95="","",IF(COUNTIF(Insumos!$I$5:$I$163,$D95&amp;" | "&amp;$E95)=0,"REVISAR: area+insumo no existe en el maestro","OK"))</f>
        <v/>
      </c>
    </row>
    <row r="96">
      <c r="A96" s="12" t="n"/>
      <c r="B96" s="16" t="n"/>
      <c r="C96" s="18" t="n"/>
      <c r="D96" s="18" t="n"/>
      <c r="E96" s="16" t="n"/>
      <c r="F96" s="28" t="n"/>
      <c r="G96" s="40">
        <f>IFERROR(INDEX(Insumos!$E$5:$E$163,MATCH($D96&amp;" | "&amp;$E96,Insumos!$I$5:$I$163,0)),"")</f>
        <v/>
      </c>
      <c r="H96" s="64" t="n"/>
      <c r="I96" s="65">
        <f>IFERROR($H96/$F96,"")</f>
        <v/>
      </c>
      <c r="J96" s="35">
        <f>IF($E96="","",IF(COUNTIF(Insumos!$I$5:$I$163,$D96&amp;" | "&amp;$E96)=0,"REVISAR: area+insumo no existe en el maestro","OK"))</f>
        <v/>
      </c>
    </row>
    <row r="97">
      <c r="A97" s="12" t="n"/>
      <c r="B97" s="16" t="n"/>
      <c r="C97" s="18" t="n"/>
      <c r="D97" s="18" t="n"/>
      <c r="E97" s="16" t="n"/>
      <c r="F97" s="28" t="n"/>
      <c r="G97" s="40">
        <f>IFERROR(INDEX(Insumos!$E$5:$E$163,MATCH($D97&amp;" | "&amp;$E97,Insumos!$I$5:$I$163,0)),"")</f>
        <v/>
      </c>
      <c r="H97" s="64" t="n"/>
      <c r="I97" s="65">
        <f>IFERROR($H97/$F97,"")</f>
        <v/>
      </c>
      <c r="J97" s="35">
        <f>IF($E97="","",IF(COUNTIF(Insumos!$I$5:$I$163,$D97&amp;" | "&amp;$E97)=0,"REVISAR: area+insumo no existe en el maestro","OK"))</f>
        <v/>
      </c>
    </row>
    <row r="98">
      <c r="A98" s="12" t="n"/>
      <c r="B98" s="16" t="n"/>
      <c r="C98" s="18" t="n"/>
      <c r="D98" s="18" t="n"/>
      <c r="E98" s="16" t="n"/>
      <c r="F98" s="28" t="n"/>
      <c r="G98" s="40">
        <f>IFERROR(INDEX(Insumos!$E$5:$E$163,MATCH($D98&amp;" | "&amp;$E98,Insumos!$I$5:$I$163,0)),"")</f>
        <v/>
      </c>
      <c r="H98" s="64" t="n"/>
      <c r="I98" s="65">
        <f>IFERROR($H98/$F98,"")</f>
        <v/>
      </c>
      <c r="J98" s="35">
        <f>IF($E98="","",IF(COUNTIF(Insumos!$I$5:$I$163,$D98&amp;" | "&amp;$E98)=0,"REVISAR: area+insumo no existe en el maestro","OK"))</f>
        <v/>
      </c>
    </row>
    <row r="99">
      <c r="A99" s="12" t="n"/>
      <c r="B99" s="16" t="n"/>
      <c r="C99" s="18" t="n"/>
      <c r="D99" s="18" t="n"/>
      <c r="E99" s="16" t="n"/>
      <c r="F99" s="28" t="n"/>
      <c r="G99" s="40">
        <f>IFERROR(INDEX(Insumos!$E$5:$E$163,MATCH($D99&amp;" | "&amp;$E99,Insumos!$I$5:$I$163,0)),"")</f>
        <v/>
      </c>
      <c r="H99" s="64" t="n"/>
      <c r="I99" s="65">
        <f>IFERROR($H99/$F99,"")</f>
        <v/>
      </c>
      <c r="J99" s="35">
        <f>IF($E99="","",IF(COUNTIF(Insumos!$I$5:$I$163,$D99&amp;" | "&amp;$E99)=0,"REVISAR: area+insumo no existe en el maestro","OK"))</f>
        <v/>
      </c>
    </row>
    <row r="100">
      <c r="A100" s="12" t="n"/>
      <c r="B100" s="16" t="n"/>
      <c r="C100" s="18" t="n"/>
      <c r="D100" s="18" t="n"/>
      <c r="E100" s="16" t="n"/>
      <c r="F100" s="28" t="n"/>
      <c r="G100" s="40">
        <f>IFERROR(INDEX(Insumos!$E$5:$E$163,MATCH($D100&amp;" | "&amp;$E100,Insumos!$I$5:$I$163,0)),"")</f>
        <v/>
      </c>
      <c r="H100" s="64" t="n"/>
      <c r="I100" s="65">
        <f>IFERROR($H100/$F100,"")</f>
        <v/>
      </c>
      <c r="J100" s="35">
        <f>IF($E100="","",IF(COUNTIF(Insumos!$I$5:$I$163,$D100&amp;" | "&amp;$E100)=0,"REVISAR: area+insumo no existe en el maestro","OK"))</f>
        <v/>
      </c>
    </row>
    <row r="101">
      <c r="A101" s="12" t="n"/>
      <c r="B101" s="16" t="n"/>
      <c r="C101" s="18" t="n"/>
      <c r="D101" s="18" t="n"/>
      <c r="E101" s="16" t="n"/>
      <c r="F101" s="28" t="n"/>
      <c r="G101" s="40">
        <f>IFERROR(INDEX(Insumos!$E$5:$E$163,MATCH($D101&amp;" | "&amp;$E101,Insumos!$I$5:$I$163,0)),"")</f>
        <v/>
      </c>
      <c r="H101" s="64" t="n"/>
      <c r="I101" s="65">
        <f>IFERROR($H101/$F101,"")</f>
        <v/>
      </c>
      <c r="J101" s="35">
        <f>IF($E101="","",IF(COUNTIF(Insumos!$I$5:$I$163,$D101&amp;" | "&amp;$E101)=0,"REVISAR: area+insumo no existe en el maestro","OK"))</f>
        <v/>
      </c>
    </row>
    <row r="102">
      <c r="A102" s="12" t="n"/>
      <c r="B102" s="16" t="n"/>
      <c r="C102" s="18" t="n"/>
      <c r="D102" s="18" t="n"/>
      <c r="E102" s="16" t="n"/>
      <c r="F102" s="28" t="n"/>
      <c r="G102" s="40">
        <f>IFERROR(INDEX(Insumos!$E$5:$E$163,MATCH($D102&amp;" | "&amp;$E102,Insumos!$I$5:$I$163,0)),"")</f>
        <v/>
      </c>
      <c r="H102" s="64" t="n"/>
      <c r="I102" s="65">
        <f>IFERROR($H102/$F102,"")</f>
        <v/>
      </c>
      <c r="J102" s="35">
        <f>IF($E102="","",IF(COUNTIF(Insumos!$I$5:$I$163,$D102&amp;" | "&amp;$E102)=0,"REVISAR: area+insumo no existe en el maestro","OK"))</f>
        <v/>
      </c>
    </row>
    <row r="103">
      <c r="A103" s="12" t="n"/>
      <c r="B103" s="16" t="n"/>
      <c r="C103" s="18" t="n"/>
      <c r="D103" s="18" t="n"/>
      <c r="E103" s="16" t="n"/>
      <c r="F103" s="28" t="n"/>
      <c r="G103" s="40">
        <f>IFERROR(INDEX(Insumos!$E$5:$E$163,MATCH($D103&amp;" | "&amp;$E103,Insumos!$I$5:$I$163,0)),"")</f>
        <v/>
      </c>
      <c r="H103" s="64" t="n"/>
      <c r="I103" s="65">
        <f>IFERROR($H103/$F103,"")</f>
        <v/>
      </c>
      <c r="J103" s="35">
        <f>IF($E103="","",IF(COUNTIF(Insumos!$I$5:$I$163,$D103&amp;" | "&amp;$E103)=0,"REVISAR: area+insumo no existe en el maestro","OK"))</f>
        <v/>
      </c>
    </row>
    <row r="104">
      <c r="A104" s="12" t="n"/>
      <c r="B104" s="16" t="n"/>
      <c r="C104" s="18" t="n"/>
      <c r="D104" s="18" t="n"/>
      <c r="E104" s="16" t="n"/>
      <c r="F104" s="28" t="n"/>
      <c r="G104" s="40">
        <f>IFERROR(INDEX(Insumos!$E$5:$E$163,MATCH($D104&amp;" | "&amp;$E104,Insumos!$I$5:$I$163,0)),"")</f>
        <v/>
      </c>
      <c r="H104" s="64" t="n"/>
      <c r="I104" s="65">
        <f>IFERROR($H104/$F104,"")</f>
        <v/>
      </c>
      <c r="J104" s="35">
        <f>IF($E104="","",IF(COUNTIF(Insumos!$I$5:$I$163,$D104&amp;" | "&amp;$E104)=0,"REVISAR: area+insumo no existe en el maestro","OK"))</f>
        <v/>
      </c>
    </row>
    <row r="105">
      <c r="A105" s="12" t="n"/>
      <c r="B105" s="16" t="n"/>
      <c r="C105" s="18" t="n"/>
      <c r="D105" s="18" t="n"/>
      <c r="E105" s="16" t="n"/>
      <c r="F105" s="28" t="n"/>
      <c r="G105" s="40">
        <f>IFERROR(INDEX(Insumos!$E$5:$E$163,MATCH($D105&amp;" | "&amp;$E105,Insumos!$I$5:$I$163,0)),"")</f>
        <v/>
      </c>
      <c r="H105" s="64" t="n"/>
      <c r="I105" s="65">
        <f>IFERROR($H105/$F105,"")</f>
        <v/>
      </c>
      <c r="J105" s="35">
        <f>IF($E105="","",IF(COUNTIF(Insumos!$I$5:$I$163,$D105&amp;" | "&amp;$E105)=0,"REVISAR: area+insumo no existe en el maestro","OK"))</f>
        <v/>
      </c>
    </row>
    <row r="106">
      <c r="A106" s="12" t="n"/>
      <c r="B106" s="16" t="n"/>
      <c r="C106" s="18" t="n"/>
      <c r="D106" s="18" t="n"/>
      <c r="E106" s="16" t="n"/>
      <c r="F106" s="28" t="n"/>
      <c r="G106" s="40">
        <f>IFERROR(INDEX(Insumos!$E$5:$E$163,MATCH($D106&amp;" | "&amp;$E106,Insumos!$I$5:$I$163,0)),"")</f>
        <v/>
      </c>
      <c r="H106" s="64" t="n"/>
      <c r="I106" s="65">
        <f>IFERROR($H106/$F106,"")</f>
        <v/>
      </c>
      <c r="J106" s="35">
        <f>IF($E106="","",IF(COUNTIF(Insumos!$I$5:$I$163,$D106&amp;" | "&amp;$E106)=0,"REVISAR: area+insumo no existe en el maestro","OK"))</f>
        <v/>
      </c>
    </row>
    <row r="107">
      <c r="A107" s="12" t="n"/>
      <c r="B107" s="16" t="n"/>
      <c r="C107" s="18" t="n"/>
      <c r="D107" s="18" t="n"/>
      <c r="E107" s="16" t="n"/>
      <c r="F107" s="28" t="n"/>
      <c r="G107" s="40">
        <f>IFERROR(INDEX(Insumos!$E$5:$E$163,MATCH($D107&amp;" | "&amp;$E107,Insumos!$I$5:$I$163,0)),"")</f>
        <v/>
      </c>
      <c r="H107" s="64" t="n"/>
      <c r="I107" s="65">
        <f>IFERROR($H107/$F107,"")</f>
        <v/>
      </c>
      <c r="J107" s="35">
        <f>IF($E107="","",IF(COUNTIF(Insumos!$I$5:$I$163,$D107&amp;" | "&amp;$E107)=0,"REVISAR: area+insumo no existe en el maestro","OK"))</f>
        <v/>
      </c>
    </row>
    <row r="108">
      <c r="A108" s="12" t="n"/>
      <c r="B108" s="16" t="n"/>
      <c r="C108" s="18" t="n"/>
      <c r="D108" s="18" t="n"/>
      <c r="E108" s="16" t="n"/>
      <c r="F108" s="28" t="n"/>
      <c r="G108" s="40">
        <f>IFERROR(INDEX(Insumos!$E$5:$E$163,MATCH($D108&amp;" | "&amp;$E108,Insumos!$I$5:$I$163,0)),"")</f>
        <v/>
      </c>
      <c r="H108" s="64" t="n"/>
      <c r="I108" s="65">
        <f>IFERROR($H108/$F108,"")</f>
        <v/>
      </c>
      <c r="J108" s="35">
        <f>IF($E108="","",IF(COUNTIF(Insumos!$I$5:$I$163,$D108&amp;" | "&amp;$E108)=0,"REVISAR: area+insumo no existe en el maestro","OK"))</f>
        <v/>
      </c>
    </row>
    <row r="109">
      <c r="A109" s="12" t="n"/>
      <c r="B109" s="16" t="n"/>
      <c r="C109" s="18" t="n"/>
      <c r="D109" s="18" t="n"/>
      <c r="E109" s="16" t="n"/>
      <c r="F109" s="28" t="n"/>
      <c r="G109" s="40">
        <f>IFERROR(INDEX(Insumos!$E$5:$E$163,MATCH($D109&amp;" | "&amp;$E109,Insumos!$I$5:$I$163,0)),"")</f>
        <v/>
      </c>
      <c r="H109" s="64" t="n"/>
      <c r="I109" s="65">
        <f>IFERROR($H109/$F109,"")</f>
        <v/>
      </c>
      <c r="J109" s="35">
        <f>IF($E109="","",IF(COUNTIF(Insumos!$I$5:$I$163,$D109&amp;" | "&amp;$E109)=0,"REVISAR: area+insumo no existe en el maestro","OK"))</f>
        <v/>
      </c>
    </row>
    <row r="110">
      <c r="A110" s="12" t="n"/>
      <c r="B110" s="16" t="n"/>
      <c r="C110" s="18" t="n"/>
      <c r="D110" s="18" t="n"/>
      <c r="E110" s="16" t="n"/>
      <c r="F110" s="28" t="n"/>
      <c r="G110" s="40">
        <f>IFERROR(INDEX(Insumos!$E$5:$E$163,MATCH($D110&amp;" | "&amp;$E110,Insumos!$I$5:$I$163,0)),"")</f>
        <v/>
      </c>
      <c r="H110" s="64" t="n"/>
      <c r="I110" s="65">
        <f>IFERROR($H110/$F110,"")</f>
        <v/>
      </c>
      <c r="J110" s="35">
        <f>IF($E110="","",IF(COUNTIF(Insumos!$I$5:$I$163,$D110&amp;" | "&amp;$E110)=0,"REVISAR: area+insumo no existe en el maestro","OK"))</f>
        <v/>
      </c>
    </row>
    <row r="111">
      <c r="A111" s="12" t="n"/>
      <c r="B111" s="16" t="n"/>
      <c r="C111" s="18" t="n"/>
      <c r="D111" s="18" t="n"/>
      <c r="E111" s="16" t="n"/>
      <c r="F111" s="28" t="n"/>
      <c r="G111" s="40">
        <f>IFERROR(INDEX(Insumos!$E$5:$E$163,MATCH($D111&amp;" | "&amp;$E111,Insumos!$I$5:$I$163,0)),"")</f>
        <v/>
      </c>
      <c r="H111" s="64" t="n"/>
      <c r="I111" s="65">
        <f>IFERROR($H111/$F111,"")</f>
        <v/>
      </c>
      <c r="J111" s="35">
        <f>IF($E111="","",IF(COUNTIF(Insumos!$I$5:$I$163,$D111&amp;" | "&amp;$E111)=0,"REVISAR: area+insumo no existe en el maestro","OK"))</f>
        <v/>
      </c>
    </row>
    <row r="112">
      <c r="A112" s="12" t="n"/>
      <c r="B112" s="16" t="n"/>
      <c r="C112" s="18" t="n"/>
      <c r="D112" s="18" t="n"/>
      <c r="E112" s="16" t="n"/>
      <c r="F112" s="28" t="n"/>
      <c r="G112" s="40">
        <f>IFERROR(INDEX(Insumos!$E$5:$E$163,MATCH($D112&amp;" | "&amp;$E112,Insumos!$I$5:$I$163,0)),"")</f>
        <v/>
      </c>
      <c r="H112" s="64" t="n"/>
      <c r="I112" s="65">
        <f>IFERROR($H112/$F112,"")</f>
        <v/>
      </c>
      <c r="J112" s="35">
        <f>IF($E112="","",IF(COUNTIF(Insumos!$I$5:$I$163,$D112&amp;" | "&amp;$E112)=0,"REVISAR: area+insumo no existe en el maestro","OK"))</f>
        <v/>
      </c>
    </row>
    <row r="113">
      <c r="A113" s="12" t="n"/>
      <c r="B113" s="16" t="n"/>
      <c r="C113" s="18" t="n"/>
      <c r="D113" s="18" t="n"/>
      <c r="E113" s="16" t="n"/>
      <c r="F113" s="28" t="n"/>
      <c r="G113" s="40">
        <f>IFERROR(INDEX(Insumos!$E$5:$E$163,MATCH($D113&amp;" | "&amp;$E113,Insumos!$I$5:$I$163,0)),"")</f>
        <v/>
      </c>
      <c r="H113" s="64" t="n"/>
      <c r="I113" s="65">
        <f>IFERROR($H113/$F113,"")</f>
        <v/>
      </c>
      <c r="J113" s="35">
        <f>IF($E113="","",IF(COUNTIF(Insumos!$I$5:$I$163,$D113&amp;" | "&amp;$E113)=0,"REVISAR: area+insumo no existe en el maestro","OK"))</f>
        <v/>
      </c>
    </row>
    <row r="114">
      <c r="A114" s="12" t="n"/>
      <c r="B114" s="16" t="n"/>
      <c r="C114" s="18" t="n"/>
      <c r="D114" s="18" t="n"/>
      <c r="E114" s="16" t="n"/>
      <c r="F114" s="28" t="n"/>
      <c r="G114" s="40">
        <f>IFERROR(INDEX(Insumos!$E$5:$E$163,MATCH($D114&amp;" | "&amp;$E114,Insumos!$I$5:$I$163,0)),"")</f>
        <v/>
      </c>
      <c r="H114" s="64" t="n"/>
      <c r="I114" s="65">
        <f>IFERROR($H114/$F114,"")</f>
        <v/>
      </c>
      <c r="J114" s="35">
        <f>IF($E114="","",IF(COUNTIF(Insumos!$I$5:$I$163,$D114&amp;" | "&amp;$E114)=0,"REVISAR: area+insumo no existe en el maestro","OK"))</f>
        <v/>
      </c>
    </row>
    <row r="115">
      <c r="A115" s="12" t="n"/>
      <c r="B115" s="16" t="n"/>
      <c r="C115" s="18" t="n"/>
      <c r="D115" s="18" t="n"/>
      <c r="E115" s="16" t="n"/>
      <c r="F115" s="28" t="n"/>
      <c r="G115" s="40">
        <f>IFERROR(INDEX(Insumos!$E$5:$E$163,MATCH($D115&amp;" | "&amp;$E115,Insumos!$I$5:$I$163,0)),"")</f>
        <v/>
      </c>
      <c r="H115" s="64" t="n"/>
      <c r="I115" s="65">
        <f>IFERROR($H115/$F115,"")</f>
        <v/>
      </c>
      <c r="J115" s="35">
        <f>IF($E115="","",IF(COUNTIF(Insumos!$I$5:$I$163,$D115&amp;" | "&amp;$E115)=0,"REVISAR: area+insumo no existe en el maestro","OK"))</f>
        <v/>
      </c>
    </row>
    <row r="116">
      <c r="A116" s="12" t="n"/>
      <c r="B116" s="16" t="n"/>
      <c r="C116" s="18" t="n"/>
      <c r="D116" s="18" t="n"/>
      <c r="E116" s="16" t="n"/>
      <c r="F116" s="28" t="n"/>
      <c r="G116" s="40">
        <f>IFERROR(INDEX(Insumos!$E$5:$E$163,MATCH($D116&amp;" | "&amp;$E116,Insumos!$I$5:$I$163,0)),"")</f>
        <v/>
      </c>
      <c r="H116" s="64" t="n"/>
      <c r="I116" s="65">
        <f>IFERROR($H116/$F116,"")</f>
        <v/>
      </c>
      <c r="J116" s="35">
        <f>IF($E116="","",IF(COUNTIF(Insumos!$I$5:$I$163,$D116&amp;" | "&amp;$E116)=0,"REVISAR: area+insumo no existe en el maestro","OK"))</f>
        <v/>
      </c>
    </row>
    <row r="117">
      <c r="A117" s="12" t="n"/>
      <c r="B117" s="16" t="n"/>
      <c r="C117" s="18" t="n"/>
      <c r="D117" s="18" t="n"/>
      <c r="E117" s="16" t="n"/>
      <c r="F117" s="28" t="n"/>
      <c r="G117" s="40">
        <f>IFERROR(INDEX(Insumos!$E$5:$E$163,MATCH($D117&amp;" | "&amp;$E117,Insumos!$I$5:$I$163,0)),"")</f>
        <v/>
      </c>
      <c r="H117" s="64" t="n"/>
      <c r="I117" s="65">
        <f>IFERROR($H117/$F117,"")</f>
        <v/>
      </c>
      <c r="J117" s="35">
        <f>IF($E117="","",IF(COUNTIF(Insumos!$I$5:$I$163,$D117&amp;" | "&amp;$E117)=0,"REVISAR: area+insumo no existe en el maestro","OK"))</f>
        <v/>
      </c>
    </row>
    <row r="118">
      <c r="A118" s="12" t="n"/>
      <c r="B118" s="16" t="n"/>
      <c r="C118" s="18" t="n"/>
      <c r="D118" s="18" t="n"/>
      <c r="E118" s="16" t="n"/>
      <c r="F118" s="28" t="n"/>
      <c r="G118" s="40">
        <f>IFERROR(INDEX(Insumos!$E$5:$E$163,MATCH($D118&amp;" | "&amp;$E118,Insumos!$I$5:$I$163,0)),"")</f>
        <v/>
      </c>
      <c r="H118" s="64" t="n"/>
      <c r="I118" s="65">
        <f>IFERROR($H118/$F118,"")</f>
        <v/>
      </c>
      <c r="J118" s="35">
        <f>IF($E118="","",IF(COUNTIF(Insumos!$I$5:$I$163,$D118&amp;" | "&amp;$E118)=0,"REVISAR: area+insumo no existe en el maestro","OK"))</f>
        <v/>
      </c>
    </row>
    <row r="119">
      <c r="A119" s="12" t="n"/>
      <c r="B119" s="16" t="n"/>
      <c r="C119" s="18" t="n"/>
      <c r="D119" s="18" t="n"/>
      <c r="E119" s="16" t="n"/>
      <c r="F119" s="28" t="n"/>
      <c r="G119" s="40">
        <f>IFERROR(INDEX(Insumos!$E$5:$E$163,MATCH($D119&amp;" | "&amp;$E119,Insumos!$I$5:$I$163,0)),"")</f>
        <v/>
      </c>
      <c r="H119" s="64" t="n"/>
      <c r="I119" s="65">
        <f>IFERROR($H119/$F119,"")</f>
        <v/>
      </c>
      <c r="J119" s="35">
        <f>IF($E119="","",IF(COUNTIF(Insumos!$I$5:$I$163,$D119&amp;" | "&amp;$E119)=0,"REVISAR: area+insumo no existe en el maestro","OK"))</f>
        <v/>
      </c>
    </row>
    <row r="120">
      <c r="A120" s="12" t="n"/>
      <c r="B120" s="16" t="n"/>
      <c r="C120" s="18" t="n"/>
      <c r="D120" s="18" t="n"/>
      <c r="E120" s="16" t="n"/>
      <c r="F120" s="28" t="n"/>
      <c r="G120" s="40">
        <f>IFERROR(INDEX(Insumos!$E$5:$E$163,MATCH($D120&amp;" | "&amp;$E120,Insumos!$I$5:$I$163,0)),"")</f>
        <v/>
      </c>
      <c r="H120" s="64" t="n"/>
      <c r="I120" s="65">
        <f>IFERROR($H120/$F120,"")</f>
        <v/>
      </c>
      <c r="J120" s="35">
        <f>IF($E120="","",IF(COUNTIF(Insumos!$I$5:$I$163,$D120&amp;" | "&amp;$E120)=0,"REVISAR: area+insumo no existe en el maestro","OK"))</f>
        <v/>
      </c>
    </row>
    <row r="121">
      <c r="A121" s="12" t="n"/>
      <c r="B121" s="16" t="n"/>
      <c r="C121" s="18" t="n"/>
      <c r="D121" s="18" t="n"/>
      <c r="E121" s="16" t="n"/>
      <c r="F121" s="28" t="n"/>
      <c r="G121" s="40">
        <f>IFERROR(INDEX(Insumos!$E$5:$E$163,MATCH($D121&amp;" | "&amp;$E121,Insumos!$I$5:$I$163,0)),"")</f>
        <v/>
      </c>
      <c r="H121" s="64" t="n"/>
      <c r="I121" s="65">
        <f>IFERROR($H121/$F121,"")</f>
        <v/>
      </c>
      <c r="J121" s="35">
        <f>IF($E121="","",IF(COUNTIF(Insumos!$I$5:$I$163,$D121&amp;" | "&amp;$E121)=0,"REVISAR: area+insumo no existe en el maestro","OK"))</f>
        <v/>
      </c>
    </row>
    <row r="122">
      <c r="A122" s="12" t="n"/>
      <c r="B122" s="16" t="n"/>
      <c r="C122" s="18" t="n"/>
      <c r="D122" s="18" t="n"/>
      <c r="E122" s="16" t="n"/>
      <c r="F122" s="28" t="n"/>
      <c r="G122" s="40">
        <f>IFERROR(INDEX(Insumos!$E$5:$E$163,MATCH($D122&amp;" | "&amp;$E122,Insumos!$I$5:$I$163,0)),"")</f>
        <v/>
      </c>
      <c r="H122" s="64" t="n"/>
      <c r="I122" s="65">
        <f>IFERROR($H122/$F122,"")</f>
        <v/>
      </c>
      <c r="J122" s="35">
        <f>IF($E122="","",IF(COUNTIF(Insumos!$I$5:$I$163,$D122&amp;" | "&amp;$E122)=0,"REVISAR: area+insumo no existe en el maestro","OK"))</f>
        <v/>
      </c>
    </row>
    <row r="123">
      <c r="A123" s="12" t="n"/>
      <c r="B123" s="16" t="n"/>
      <c r="C123" s="18" t="n"/>
      <c r="D123" s="18" t="n"/>
      <c r="E123" s="16" t="n"/>
      <c r="F123" s="28" t="n"/>
      <c r="G123" s="40">
        <f>IFERROR(INDEX(Insumos!$E$5:$E$163,MATCH($D123&amp;" | "&amp;$E123,Insumos!$I$5:$I$163,0)),"")</f>
        <v/>
      </c>
      <c r="H123" s="64" t="n"/>
      <c r="I123" s="65">
        <f>IFERROR($H123/$F123,"")</f>
        <v/>
      </c>
      <c r="J123" s="35">
        <f>IF($E123="","",IF(COUNTIF(Insumos!$I$5:$I$163,$D123&amp;" | "&amp;$E123)=0,"REVISAR: area+insumo no existe en el maestro","OK"))</f>
        <v/>
      </c>
    </row>
    <row r="124">
      <c r="A124" s="12" t="n"/>
      <c r="B124" s="16" t="n"/>
      <c r="C124" s="18" t="n"/>
      <c r="D124" s="18" t="n"/>
      <c r="E124" s="16" t="n"/>
      <c r="F124" s="28" t="n"/>
      <c r="G124" s="40">
        <f>IFERROR(INDEX(Insumos!$E$5:$E$163,MATCH($D124&amp;" | "&amp;$E124,Insumos!$I$5:$I$163,0)),"")</f>
        <v/>
      </c>
      <c r="H124" s="64" t="n"/>
      <c r="I124" s="65">
        <f>IFERROR($H124/$F124,"")</f>
        <v/>
      </c>
      <c r="J124" s="35">
        <f>IF($E124="","",IF(COUNTIF(Insumos!$I$5:$I$163,$D124&amp;" | "&amp;$E124)=0,"REVISAR: area+insumo no existe en el maestro","OK"))</f>
        <v/>
      </c>
    </row>
    <row r="125">
      <c r="A125" s="12" t="n"/>
      <c r="B125" s="16" t="n"/>
      <c r="C125" s="18" t="n"/>
      <c r="D125" s="18" t="n"/>
      <c r="E125" s="16" t="n"/>
      <c r="F125" s="28" t="n"/>
      <c r="G125" s="40">
        <f>IFERROR(INDEX(Insumos!$E$5:$E$163,MATCH($D125&amp;" | "&amp;$E125,Insumos!$I$5:$I$163,0)),"")</f>
        <v/>
      </c>
      <c r="H125" s="64" t="n"/>
      <c r="I125" s="65">
        <f>IFERROR($H125/$F125,"")</f>
        <v/>
      </c>
      <c r="J125" s="35">
        <f>IF($E125="","",IF(COUNTIF(Insumos!$I$5:$I$163,$D125&amp;" | "&amp;$E125)=0,"REVISAR: area+insumo no existe en el maestro","OK"))</f>
        <v/>
      </c>
    </row>
    <row r="126">
      <c r="A126" s="12" t="n"/>
      <c r="B126" s="16" t="n"/>
      <c r="C126" s="18" t="n"/>
      <c r="D126" s="18" t="n"/>
      <c r="E126" s="16" t="n"/>
      <c r="F126" s="28" t="n"/>
      <c r="G126" s="40">
        <f>IFERROR(INDEX(Insumos!$E$5:$E$163,MATCH($D126&amp;" | "&amp;$E126,Insumos!$I$5:$I$163,0)),"")</f>
        <v/>
      </c>
      <c r="H126" s="64" t="n"/>
      <c r="I126" s="65">
        <f>IFERROR($H126/$F126,"")</f>
        <v/>
      </c>
      <c r="J126" s="35">
        <f>IF($E126="","",IF(COUNTIF(Insumos!$I$5:$I$163,$D126&amp;" | "&amp;$E126)=0,"REVISAR: area+insumo no existe en el maestro","OK"))</f>
        <v/>
      </c>
    </row>
    <row r="127">
      <c r="A127" s="12" t="n"/>
      <c r="B127" s="16" t="n"/>
      <c r="C127" s="18" t="n"/>
      <c r="D127" s="18" t="n"/>
      <c r="E127" s="16" t="n"/>
      <c r="F127" s="28" t="n"/>
      <c r="G127" s="40">
        <f>IFERROR(INDEX(Insumos!$E$5:$E$163,MATCH($D127&amp;" | "&amp;$E127,Insumos!$I$5:$I$163,0)),"")</f>
        <v/>
      </c>
      <c r="H127" s="64" t="n"/>
      <c r="I127" s="65">
        <f>IFERROR($H127/$F127,"")</f>
        <v/>
      </c>
      <c r="J127" s="35">
        <f>IF($E127="","",IF(COUNTIF(Insumos!$I$5:$I$163,$D127&amp;" | "&amp;$E127)=0,"REVISAR: area+insumo no existe en el maestro","OK"))</f>
        <v/>
      </c>
    </row>
    <row r="128">
      <c r="A128" s="12" t="n"/>
      <c r="B128" s="16" t="n"/>
      <c r="C128" s="18" t="n"/>
      <c r="D128" s="18" t="n"/>
      <c r="E128" s="16" t="n"/>
      <c r="F128" s="28" t="n"/>
      <c r="G128" s="40">
        <f>IFERROR(INDEX(Insumos!$E$5:$E$163,MATCH($D128&amp;" | "&amp;$E128,Insumos!$I$5:$I$163,0)),"")</f>
        <v/>
      </c>
      <c r="H128" s="64" t="n"/>
      <c r="I128" s="65">
        <f>IFERROR($H128/$F128,"")</f>
        <v/>
      </c>
      <c r="J128" s="35">
        <f>IF($E128="","",IF(COUNTIF(Insumos!$I$5:$I$163,$D128&amp;" | "&amp;$E128)=0,"REVISAR: area+insumo no existe en el maestro","OK"))</f>
        <v/>
      </c>
    </row>
    <row r="129">
      <c r="A129" s="12" t="n"/>
      <c r="B129" s="16" t="n"/>
      <c r="C129" s="18" t="n"/>
      <c r="D129" s="18" t="n"/>
      <c r="E129" s="16" t="n"/>
      <c r="F129" s="28" t="n"/>
      <c r="G129" s="40">
        <f>IFERROR(INDEX(Insumos!$E$5:$E$163,MATCH($D129&amp;" | "&amp;$E129,Insumos!$I$5:$I$163,0)),"")</f>
        <v/>
      </c>
      <c r="H129" s="64" t="n"/>
      <c r="I129" s="65">
        <f>IFERROR($H129/$F129,"")</f>
        <v/>
      </c>
      <c r="J129" s="35">
        <f>IF($E129="","",IF(COUNTIF(Insumos!$I$5:$I$163,$D129&amp;" | "&amp;$E129)=0,"REVISAR: area+insumo no existe en el maestro","OK"))</f>
        <v/>
      </c>
    </row>
    <row r="130">
      <c r="A130" s="12" t="n"/>
      <c r="B130" s="16" t="n"/>
      <c r="C130" s="18" t="n"/>
      <c r="D130" s="18" t="n"/>
      <c r="E130" s="16" t="n"/>
      <c r="F130" s="28" t="n"/>
      <c r="G130" s="40">
        <f>IFERROR(INDEX(Insumos!$E$5:$E$163,MATCH($D130&amp;" | "&amp;$E130,Insumos!$I$5:$I$163,0)),"")</f>
        <v/>
      </c>
      <c r="H130" s="64" t="n"/>
      <c r="I130" s="65">
        <f>IFERROR($H130/$F130,"")</f>
        <v/>
      </c>
      <c r="J130" s="35">
        <f>IF($E130="","",IF(COUNTIF(Insumos!$I$5:$I$163,$D130&amp;" | "&amp;$E130)=0,"REVISAR: area+insumo no existe en el maestro","OK"))</f>
        <v/>
      </c>
    </row>
    <row r="131">
      <c r="A131" s="12" t="n"/>
      <c r="B131" s="16" t="n"/>
      <c r="C131" s="18" t="n"/>
      <c r="D131" s="18" t="n"/>
      <c r="E131" s="16" t="n"/>
      <c r="F131" s="28" t="n"/>
      <c r="G131" s="40">
        <f>IFERROR(INDEX(Insumos!$E$5:$E$163,MATCH($D131&amp;" | "&amp;$E131,Insumos!$I$5:$I$163,0)),"")</f>
        <v/>
      </c>
      <c r="H131" s="64" t="n"/>
      <c r="I131" s="65">
        <f>IFERROR($H131/$F131,"")</f>
        <v/>
      </c>
      <c r="J131" s="35">
        <f>IF($E131="","",IF(COUNTIF(Insumos!$I$5:$I$163,$D131&amp;" | "&amp;$E131)=0,"REVISAR: area+insumo no existe en el maestro","OK"))</f>
        <v/>
      </c>
    </row>
    <row r="132">
      <c r="A132" s="12" t="n"/>
      <c r="B132" s="16" t="n"/>
      <c r="C132" s="18" t="n"/>
      <c r="D132" s="18" t="n"/>
      <c r="E132" s="16" t="n"/>
      <c r="F132" s="28" t="n"/>
      <c r="G132" s="40">
        <f>IFERROR(INDEX(Insumos!$E$5:$E$163,MATCH($D132&amp;" | "&amp;$E132,Insumos!$I$5:$I$163,0)),"")</f>
        <v/>
      </c>
      <c r="H132" s="64" t="n"/>
      <c r="I132" s="65">
        <f>IFERROR($H132/$F132,"")</f>
        <v/>
      </c>
      <c r="J132" s="35">
        <f>IF($E132="","",IF(COUNTIF(Insumos!$I$5:$I$163,$D132&amp;" | "&amp;$E132)=0,"REVISAR: area+insumo no existe en el maestro","OK"))</f>
        <v/>
      </c>
    </row>
    <row r="133">
      <c r="A133" s="12" t="n"/>
      <c r="B133" s="16" t="n"/>
      <c r="C133" s="18" t="n"/>
      <c r="D133" s="18" t="n"/>
      <c r="E133" s="16" t="n"/>
      <c r="F133" s="28" t="n"/>
      <c r="G133" s="40">
        <f>IFERROR(INDEX(Insumos!$E$5:$E$163,MATCH($D133&amp;" | "&amp;$E133,Insumos!$I$5:$I$163,0)),"")</f>
        <v/>
      </c>
      <c r="H133" s="64" t="n"/>
      <c r="I133" s="65">
        <f>IFERROR($H133/$F133,"")</f>
        <v/>
      </c>
      <c r="J133" s="35">
        <f>IF($E133="","",IF(COUNTIF(Insumos!$I$5:$I$163,$D133&amp;" | "&amp;$E133)=0,"REVISAR: area+insumo no existe en el maestro","OK"))</f>
        <v/>
      </c>
    </row>
    <row r="134">
      <c r="A134" s="12" t="n"/>
      <c r="B134" s="16" t="n"/>
      <c r="C134" s="18" t="n"/>
      <c r="D134" s="18" t="n"/>
      <c r="E134" s="16" t="n"/>
      <c r="F134" s="28" t="n"/>
      <c r="G134" s="40">
        <f>IFERROR(INDEX(Insumos!$E$5:$E$163,MATCH($D134&amp;" | "&amp;$E134,Insumos!$I$5:$I$163,0)),"")</f>
        <v/>
      </c>
      <c r="H134" s="64" t="n"/>
      <c r="I134" s="65">
        <f>IFERROR($H134/$F134,"")</f>
        <v/>
      </c>
      <c r="J134" s="35">
        <f>IF($E134="","",IF(COUNTIF(Insumos!$I$5:$I$163,$D134&amp;" | "&amp;$E134)=0,"REVISAR: area+insumo no existe en el maestro","OK"))</f>
        <v/>
      </c>
    </row>
    <row r="135">
      <c r="A135" s="12" t="n"/>
      <c r="B135" s="16" t="n"/>
      <c r="C135" s="18" t="n"/>
      <c r="D135" s="18" t="n"/>
      <c r="E135" s="16" t="n"/>
      <c r="F135" s="28" t="n"/>
      <c r="G135" s="40">
        <f>IFERROR(INDEX(Insumos!$E$5:$E$163,MATCH($D135&amp;" | "&amp;$E135,Insumos!$I$5:$I$163,0)),"")</f>
        <v/>
      </c>
      <c r="H135" s="64" t="n"/>
      <c r="I135" s="65">
        <f>IFERROR($H135/$F135,"")</f>
        <v/>
      </c>
      <c r="J135" s="35">
        <f>IF($E135="","",IF(COUNTIF(Insumos!$I$5:$I$163,$D135&amp;" | "&amp;$E135)=0,"REVISAR: area+insumo no existe en el maestro","OK"))</f>
        <v/>
      </c>
    </row>
    <row r="136">
      <c r="A136" s="12" t="n"/>
      <c r="B136" s="16" t="n"/>
      <c r="C136" s="18" t="n"/>
      <c r="D136" s="18" t="n"/>
      <c r="E136" s="16" t="n"/>
      <c r="F136" s="28" t="n"/>
      <c r="G136" s="40">
        <f>IFERROR(INDEX(Insumos!$E$5:$E$163,MATCH($D136&amp;" | "&amp;$E136,Insumos!$I$5:$I$163,0)),"")</f>
        <v/>
      </c>
      <c r="H136" s="64" t="n"/>
      <c r="I136" s="65">
        <f>IFERROR($H136/$F136,"")</f>
        <v/>
      </c>
      <c r="J136" s="35">
        <f>IF($E136="","",IF(COUNTIF(Insumos!$I$5:$I$163,$D136&amp;" | "&amp;$E136)=0,"REVISAR: area+insumo no existe en el maestro","OK"))</f>
        <v/>
      </c>
    </row>
    <row r="137">
      <c r="A137" s="12" t="n"/>
      <c r="B137" s="16" t="n"/>
      <c r="C137" s="18" t="n"/>
      <c r="D137" s="18" t="n"/>
      <c r="E137" s="16" t="n"/>
      <c r="F137" s="28" t="n"/>
      <c r="G137" s="40">
        <f>IFERROR(INDEX(Insumos!$E$5:$E$163,MATCH($D137&amp;" | "&amp;$E137,Insumos!$I$5:$I$163,0)),"")</f>
        <v/>
      </c>
      <c r="H137" s="64" t="n"/>
      <c r="I137" s="65">
        <f>IFERROR($H137/$F137,"")</f>
        <v/>
      </c>
      <c r="J137" s="35">
        <f>IF($E137="","",IF(COUNTIF(Insumos!$I$5:$I$163,$D137&amp;" | "&amp;$E137)=0,"REVISAR: area+insumo no existe en el maestro","OK"))</f>
        <v/>
      </c>
    </row>
    <row r="138">
      <c r="A138" s="12" t="n"/>
      <c r="B138" s="16" t="n"/>
      <c r="C138" s="18" t="n"/>
      <c r="D138" s="18" t="n"/>
      <c r="E138" s="16" t="n"/>
      <c r="F138" s="28" t="n"/>
      <c r="G138" s="40">
        <f>IFERROR(INDEX(Insumos!$E$5:$E$163,MATCH($D138&amp;" | "&amp;$E138,Insumos!$I$5:$I$163,0)),"")</f>
        <v/>
      </c>
      <c r="H138" s="64" t="n"/>
      <c r="I138" s="65">
        <f>IFERROR($H138/$F138,"")</f>
        <v/>
      </c>
      <c r="J138" s="35">
        <f>IF($E138="","",IF(COUNTIF(Insumos!$I$5:$I$163,$D138&amp;" | "&amp;$E138)=0,"REVISAR: area+insumo no existe en el maestro","OK"))</f>
        <v/>
      </c>
    </row>
    <row r="139">
      <c r="A139" s="12" t="n"/>
      <c r="B139" s="16" t="n"/>
      <c r="C139" s="18" t="n"/>
      <c r="D139" s="18" t="n"/>
      <c r="E139" s="16" t="n"/>
      <c r="F139" s="28" t="n"/>
      <c r="G139" s="40">
        <f>IFERROR(INDEX(Insumos!$E$5:$E$163,MATCH($D139&amp;" | "&amp;$E139,Insumos!$I$5:$I$163,0)),"")</f>
        <v/>
      </c>
      <c r="H139" s="64" t="n"/>
      <c r="I139" s="65">
        <f>IFERROR($H139/$F139,"")</f>
        <v/>
      </c>
      <c r="J139" s="35">
        <f>IF($E139="","",IF(COUNTIF(Insumos!$I$5:$I$163,$D139&amp;" | "&amp;$E139)=0,"REVISAR: area+insumo no existe en el maestro","OK"))</f>
        <v/>
      </c>
    </row>
    <row r="140">
      <c r="A140" s="12" t="n"/>
      <c r="B140" s="16" t="n"/>
      <c r="C140" s="18" t="n"/>
      <c r="D140" s="18" t="n"/>
      <c r="E140" s="16" t="n"/>
      <c r="F140" s="28" t="n"/>
      <c r="G140" s="40">
        <f>IFERROR(INDEX(Insumos!$E$5:$E$163,MATCH($D140&amp;" | "&amp;$E140,Insumos!$I$5:$I$163,0)),"")</f>
        <v/>
      </c>
      <c r="H140" s="64" t="n"/>
      <c r="I140" s="65">
        <f>IFERROR($H140/$F140,"")</f>
        <v/>
      </c>
      <c r="J140" s="35">
        <f>IF($E140="","",IF(COUNTIF(Insumos!$I$5:$I$163,$D140&amp;" | "&amp;$E140)=0,"REVISAR: area+insumo no existe en el maestro","OK"))</f>
        <v/>
      </c>
    </row>
    <row r="141">
      <c r="A141" s="12" t="n"/>
      <c r="B141" s="16" t="n"/>
      <c r="C141" s="18" t="n"/>
      <c r="D141" s="18" t="n"/>
      <c r="E141" s="16" t="n"/>
      <c r="F141" s="28" t="n"/>
      <c r="G141" s="40">
        <f>IFERROR(INDEX(Insumos!$E$5:$E$163,MATCH($D141&amp;" | "&amp;$E141,Insumos!$I$5:$I$163,0)),"")</f>
        <v/>
      </c>
      <c r="H141" s="64" t="n"/>
      <c r="I141" s="65">
        <f>IFERROR($H141/$F141,"")</f>
        <v/>
      </c>
      <c r="J141" s="35">
        <f>IF($E141="","",IF(COUNTIF(Insumos!$I$5:$I$163,$D141&amp;" | "&amp;$E141)=0,"REVISAR: area+insumo no existe en el maestro","OK"))</f>
        <v/>
      </c>
    </row>
    <row r="142">
      <c r="A142" s="12" t="n"/>
      <c r="B142" s="16" t="n"/>
      <c r="C142" s="18" t="n"/>
      <c r="D142" s="18" t="n"/>
      <c r="E142" s="16" t="n"/>
      <c r="F142" s="28" t="n"/>
      <c r="G142" s="40">
        <f>IFERROR(INDEX(Insumos!$E$5:$E$163,MATCH($D142&amp;" | "&amp;$E142,Insumos!$I$5:$I$163,0)),"")</f>
        <v/>
      </c>
      <c r="H142" s="64" t="n"/>
      <c r="I142" s="65">
        <f>IFERROR($H142/$F142,"")</f>
        <v/>
      </c>
      <c r="J142" s="35">
        <f>IF($E142="","",IF(COUNTIF(Insumos!$I$5:$I$163,$D142&amp;" | "&amp;$E142)=0,"REVISAR: area+insumo no existe en el maestro","OK"))</f>
        <v/>
      </c>
    </row>
    <row r="143">
      <c r="A143" s="12" t="n"/>
      <c r="B143" s="16" t="n"/>
      <c r="C143" s="18" t="n"/>
      <c r="D143" s="18" t="n"/>
      <c r="E143" s="16" t="n"/>
      <c r="F143" s="28" t="n"/>
      <c r="G143" s="40">
        <f>IFERROR(INDEX(Insumos!$E$5:$E$163,MATCH($D143&amp;" | "&amp;$E143,Insumos!$I$5:$I$163,0)),"")</f>
        <v/>
      </c>
      <c r="H143" s="64" t="n"/>
      <c r="I143" s="65">
        <f>IFERROR($H143/$F143,"")</f>
        <v/>
      </c>
      <c r="J143" s="35">
        <f>IF($E143="","",IF(COUNTIF(Insumos!$I$5:$I$163,$D143&amp;" | "&amp;$E143)=0,"REVISAR: area+insumo no existe en el maestro","OK"))</f>
        <v/>
      </c>
    </row>
    <row r="144">
      <c r="A144" s="12" t="n"/>
      <c r="B144" s="16" t="n"/>
      <c r="C144" s="18" t="n"/>
      <c r="D144" s="18" t="n"/>
      <c r="E144" s="16" t="n"/>
      <c r="F144" s="28" t="n"/>
      <c r="G144" s="40">
        <f>IFERROR(INDEX(Insumos!$E$5:$E$163,MATCH($D144&amp;" | "&amp;$E144,Insumos!$I$5:$I$163,0)),"")</f>
        <v/>
      </c>
      <c r="H144" s="64" t="n"/>
      <c r="I144" s="65">
        <f>IFERROR($H144/$F144,"")</f>
        <v/>
      </c>
      <c r="J144" s="35">
        <f>IF($E144="","",IF(COUNTIF(Insumos!$I$5:$I$163,$D144&amp;" | "&amp;$E144)=0,"REVISAR: area+insumo no existe en el maestro","OK"))</f>
        <v/>
      </c>
    </row>
    <row r="145">
      <c r="A145" s="12" t="n"/>
      <c r="B145" s="16" t="n"/>
      <c r="C145" s="18" t="n"/>
      <c r="D145" s="18" t="n"/>
      <c r="E145" s="16" t="n"/>
      <c r="F145" s="28" t="n"/>
      <c r="G145" s="40">
        <f>IFERROR(INDEX(Insumos!$E$5:$E$163,MATCH($D145&amp;" | "&amp;$E145,Insumos!$I$5:$I$163,0)),"")</f>
        <v/>
      </c>
      <c r="H145" s="64" t="n"/>
      <c r="I145" s="65">
        <f>IFERROR($H145/$F145,"")</f>
        <v/>
      </c>
      <c r="J145" s="35">
        <f>IF($E145="","",IF(COUNTIF(Insumos!$I$5:$I$163,$D145&amp;" | "&amp;$E145)=0,"REVISAR: area+insumo no existe en el maestro","OK"))</f>
        <v/>
      </c>
    </row>
    <row r="146">
      <c r="A146" s="12" t="n"/>
      <c r="B146" s="16" t="n"/>
      <c r="C146" s="18" t="n"/>
      <c r="D146" s="18" t="n"/>
      <c r="E146" s="16" t="n"/>
      <c r="F146" s="28" t="n"/>
      <c r="G146" s="40">
        <f>IFERROR(INDEX(Insumos!$E$5:$E$163,MATCH($D146&amp;" | "&amp;$E146,Insumos!$I$5:$I$163,0)),"")</f>
        <v/>
      </c>
      <c r="H146" s="64" t="n"/>
      <c r="I146" s="65">
        <f>IFERROR($H146/$F146,"")</f>
        <v/>
      </c>
      <c r="J146" s="35">
        <f>IF($E146="","",IF(COUNTIF(Insumos!$I$5:$I$163,$D146&amp;" | "&amp;$E146)=0,"REVISAR: area+insumo no existe en el maestro","OK"))</f>
        <v/>
      </c>
    </row>
    <row r="147">
      <c r="A147" s="12" t="n"/>
      <c r="B147" s="16" t="n"/>
      <c r="C147" s="18" t="n"/>
      <c r="D147" s="18" t="n"/>
      <c r="E147" s="16" t="n"/>
      <c r="F147" s="28" t="n"/>
      <c r="G147" s="40">
        <f>IFERROR(INDEX(Insumos!$E$5:$E$163,MATCH($D147&amp;" | "&amp;$E147,Insumos!$I$5:$I$163,0)),"")</f>
        <v/>
      </c>
      <c r="H147" s="64" t="n"/>
      <c r="I147" s="65">
        <f>IFERROR($H147/$F147,"")</f>
        <v/>
      </c>
      <c r="J147" s="35">
        <f>IF($E147="","",IF(COUNTIF(Insumos!$I$5:$I$163,$D147&amp;" | "&amp;$E147)=0,"REVISAR: area+insumo no existe en el maestro","OK"))</f>
        <v/>
      </c>
    </row>
    <row r="148">
      <c r="A148" s="12" t="n"/>
      <c r="B148" s="16" t="n"/>
      <c r="C148" s="18" t="n"/>
      <c r="D148" s="18" t="n"/>
      <c r="E148" s="16" t="n"/>
      <c r="F148" s="28" t="n"/>
      <c r="G148" s="40">
        <f>IFERROR(INDEX(Insumos!$E$5:$E$163,MATCH($D148&amp;" | "&amp;$E148,Insumos!$I$5:$I$163,0)),"")</f>
        <v/>
      </c>
      <c r="H148" s="64" t="n"/>
      <c r="I148" s="65">
        <f>IFERROR($H148/$F148,"")</f>
        <v/>
      </c>
      <c r="J148" s="35">
        <f>IF($E148="","",IF(COUNTIF(Insumos!$I$5:$I$163,$D148&amp;" | "&amp;$E148)=0,"REVISAR: area+insumo no existe en el maestro","OK"))</f>
        <v/>
      </c>
    </row>
    <row r="149">
      <c r="A149" s="12" t="n"/>
      <c r="B149" s="16" t="n"/>
      <c r="C149" s="18" t="n"/>
      <c r="D149" s="18" t="n"/>
      <c r="E149" s="16" t="n"/>
      <c r="F149" s="28" t="n"/>
      <c r="G149" s="40">
        <f>IFERROR(INDEX(Insumos!$E$5:$E$163,MATCH($D149&amp;" | "&amp;$E149,Insumos!$I$5:$I$163,0)),"")</f>
        <v/>
      </c>
      <c r="H149" s="64" t="n"/>
      <c r="I149" s="65">
        <f>IFERROR($H149/$F149,"")</f>
        <v/>
      </c>
      <c r="J149" s="35">
        <f>IF($E149="","",IF(COUNTIF(Insumos!$I$5:$I$163,$D149&amp;" | "&amp;$E149)=0,"REVISAR: area+insumo no existe en el maestro","OK"))</f>
        <v/>
      </c>
    </row>
    <row r="150">
      <c r="A150" s="12" t="n"/>
      <c r="B150" s="16" t="n"/>
      <c r="C150" s="18" t="n"/>
      <c r="D150" s="18" t="n"/>
      <c r="E150" s="16" t="n"/>
      <c r="F150" s="28" t="n"/>
      <c r="G150" s="40">
        <f>IFERROR(INDEX(Insumos!$E$5:$E$163,MATCH($D150&amp;" | "&amp;$E150,Insumos!$I$5:$I$163,0)),"")</f>
        <v/>
      </c>
      <c r="H150" s="64" t="n"/>
      <c r="I150" s="65">
        <f>IFERROR($H150/$F150,"")</f>
        <v/>
      </c>
      <c r="J150" s="35">
        <f>IF($E150="","",IF(COUNTIF(Insumos!$I$5:$I$163,$D150&amp;" | "&amp;$E150)=0,"REVISAR: area+insumo no existe en el maestro","OK"))</f>
        <v/>
      </c>
    </row>
    <row r="151">
      <c r="A151" s="12" t="n"/>
      <c r="B151" s="16" t="n"/>
      <c r="C151" s="18" t="n"/>
      <c r="D151" s="18" t="n"/>
      <c r="E151" s="16" t="n"/>
      <c r="F151" s="28" t="n"/>
      <c r="G151" s="40">
        <f>IFERROR(INDEX(Insumos!$E$5:$E$163,MATCH($D151&amp;" | "&amp;$E151,Insumos!$I$5:$I$163,0)),"")</f>
        <v/>
      </c>
      <c r="H151" s="64" t="n"/>
      <c r="I151" s="65">
        <f>IFERROR($H151/$F151,"")</f>
        <v/>
      </c>
      <c r="J151" s="35">
        <f>IF($E151="","",IF(COUNTIF(Insumos!$I$5:$I$163,$D151&amp;" | "&amp;$E151)=0,"REVISAR: area+insumo no existe en el maestro","OK"))</f>
        <v/>
      </c>
    </row>
    <row r="152">
      <c r="A152" s="12" t="n"/>
      <c r="B152" s="16" t="n"/>
      <c r="C152" s="18" t="n"/>
      <c r="D152" s="18" t="n"/>
      <c r="E152" s="16" t="n"/>
      <c r="F152" s="28" t="n"/>
      <c r="G152" s="40">
        <f>IFERROR(INDEX(Insumos!$E$5:$E$163,MATCH($D152&amp;" | "&amp;$E152,Insumos!$I$5:$I$163,0)),"")</f>
        <v/>
      </c>
      <c r="H152" s="64" t="n"/>
      <c r="I152" s="65">
        <f>IFERROR($H152/$F152,"")</f>
        <v/>
      </c>
      <c r="J152" s="35">
        <f>IF($E152="","",IF(COUNTIF(Insumos!$I$5:$I$163,$D152&amp;" | "&amp;$E152)=0,"REVISAR: area+insumo no existe en el maestro","OK"))</f>
        <v/>
      </c>
    </row>
    <row r="153">
      <c r="A153" s="12" t="n"/>
      <c r="B153" s="16" t="n"/>
      <c r="C153" s="18" t="n"/>
      <c r="D153" s="18" t="n"/>
      <c r="E153" s="16" t="n"/>
      <c r="F153" s="28" t="n"/>
      <c r="G153" s="40">
        <f>IFERROR(INDEX(Insumos!$E$5:$E$163,MATCH($D153&amp;" | "&amp;$E153,Insumos!$I$5:$I$163,0)),"")</f>
        <v/>
      </c>
      <c r="H153" s="64" t="n"/>
      <c r="I153" s="65">
        <f>IFERROR($H153/$F153,"")</f>
        <v/>
      </c>
      <c r="J153" s="35">
        <f>IF($E153="","",IF(COUNTIF(Insumos!$I$5:$I$163,$D153&amp;" | "&amp;$E153)=0,"REVISAR: area+insumo no existe en el maestro","OK"))</f>
        <v/>
      </c>
    </row>
    <row r="154">
      <c r="A154" s="12" t="n"/>
      <c r="B154" s="16" t="n"/>
      <c r="C154" s="18" t="n"/>
      <c r="D154" s="18" t="n"/>
      <c r="E154" s="16" t="n"/>
      <c r="F154" s="28" t="n"/>
      <c r="G154" s="40">
        <f>IFERROR(INDEX(Insumos!$E$5:$E$163,MATCH($D154&amp;" | "&amp;$E154,Insumos!$I$5:$I$163,0)),"")</f>
        <v/>
      </c>
      <c r="H154" s="64" t="n"/>
      <c r="I154" s="65">
        <f>IFERROR($H154/$F154,"")</f>
        <v/>
      </c>
      <c r="J154" s="35">
        <f>IF($E154="","",IF(COUNTIF(Insumos!$I$5:$I$163,$D154&amp;" | "&amp;$E154)=0,"REVISAR: area+insumo no existe en el maestro","OK"))</f>
        <v/>
      </c>
    </row>
    <row r="155">
      <c r="A155" s="12" t="n"/>
      <c r="B155" s="16" t="n"/>
      <c r="C155" s="18" t="n"/>
      <c r="D155" s="18" t="n"/>
      <c r="E155" s="16" t="n"/>
      <c r="F155" s="28" t="n"/>
      <c r="G155" s="40">
        <f>IFERROR(INDEX(Insumos!$E$5:$E$163,MATCH($D155&amp;" | "&amp;$E155,Insumos!$I$5:$I$163,0)),"")</f>
        <v/>
      </c>
      <c r="H155" s="64" t="n"/>
      <c r="I155" s="65">
        <f>IFERROR($H155/$F155,"")</f>
        <v/>
      </c>
      <c r="J155" s="35">
        <f>IF($E155="","",IF(COUNTIF(Insumos!$I$5:$I$163,$D155&amp;" | "&amp;$E155)=0,"REVISAR: area+insumo no existe en el maestro","OK"))</f>
        <v/>
      </c>
    </row>
    <row r="156">
      <c r="A156" s="12" t="n"/>
      <c r="B156" s="16" t="n"/>
      <c r="C156" s="18" t="n"/>
      <c r="D156" s="18" t="n"/>
      <c r="E156" s="16" t="n"/>
      <c r="F156" s="28" t="n"/>
      <c r="G156" s="40">
        <f>IFERROR(INDEX(Insumos!$E$5:$E$163,MATCH($D156&amp;" | "&amp;$E156,Insumos!$I$5:$I$163,0)),"")</f>
        <v/>
      </c>
      <c r="H156" s="64" t="n"/>
      <c r="I156" s="65">
        <f>IFERROR($H156/$F156,"")</f>
        <v/>
      </c>
      <c r="J156" s="35">
        <f>IF($E156="","",IF(COUNTIF(Insumos!$I$5:$I$163,$D156&amp;" | "&amp;$E156)=0,"REVISAR: area+insumo no existe en el maestro","OK"))</f>
        <v/>
      </c>
    </row>
    <row r="157">
      <c r="A157" s="12" t="n"/>
      <c r="B157" s="16" t="n"/>
      <c r="C157" s="18" t="n"/>
      <c r="D157" s="18" t="n"/>
      <c r="E157" s="16" t="n"/>
      <c r="F157" s="28" t="n"/>
      <c r="G157" s="40">
        <f>IFERROR(INDEX(Insumos!$E$5:$E$163,MATCH($D157&amp;" | "&amp;$E157,Insumos!$I$5:$I$163,0)),"")</f>
        <v/>
      </c>
      <c r="H157" s="64" t="n"/>
      <c r="I157" s="65">
        <f>IFERROR($H157/$F157,"")</f>
        <v/>
      </c>
      <c r="J157" s="35">
        <f>IF($E157="","",IF(COUNTIF(Insumos!$I$5:$I$163,$D157&amp;" | "&amp;$E157)=0,"REVISAR: area+insumo no existe en el maestro","OK"))</f>
        <v/>
      </c>
    </row>
    <row r="158">
      <c r="A158" s="12" t="n"/>
      <c r="B158" s="16" t="n"/>
      <c r="C158" s="18" t="n"/>
      <c r="D158" s="18" t="n"/>
      <c r="E158" s="16" t="n"/>
      <c r="F158" s="28" t="n"/>
      <c r="G158" s="40">
        <f>IFERROR(INDEX(Insumos!$E$5:$E$163,MATCH($D158&amp;" | "&amp;$E158,Insumos!$I$5:$I$163,0)),"")</f>
        <v/>
      </c>
      <c r="H158" s="64" t="n"/>
      <c r="I158" s="65">
        <f>IFERROR($H158/$F158,"")</f>
        <v/>
      </c>
      <c r="J158" s="35">
        <f>IF($E158="","",IF(COUNTIF(Insumos!$I$5:$I$163,$D158&amp;" | "&amp;$E158)=0,"REVISAR: area+insumo no existe en el maestro","OK"))</f>
        <v/>
      </c>
    </row>
    <row r="159">
      <c r="A159" s="12" t="n"/>
      <c r="B159" s="16" t="n"/>
      <c r="C159" s="18" t="n"/>
      <c r="D159" s="18" t="n"/>
      <c r="E159" s="16" t="n"/>
      <c r="F159" s="28" t="n"/>
      <c r="G159" s="40">
        <f>IFERROR(INDEX(Insumos!$E$5:$E$163,MATCH($D159&amp;" | "&amp;$E159,Insumos!$I$5:$I$163,0)),"")</f>
        <v/>
      </c>
      <c r="H159" s="64" t="n"/>
      <c r="I159" s="65">
        <f>IFERROR($H159/$F159,"")</f>
        <v/>
      </c>
      <c r="J159" s="35">
        <f>IF($E159="","",IF(COUNTIF(Insumos!$I$5:$I$163,$D159&amp;" | "&amp;$E159)=0,"REVISAR: area+insumo no existe en el maestro","OK"))</f>
        <v/>
      </c>
    </row>
    <row r="160">
      <c r="A160" s="12" t="n"/>
      <c r="B160" s="16" t="n"/>
      <c r="C160" s="18" t="n"/>
      <c r="D160" s="18" t="n"/>
      <c r="E160" s="16" t="n"/>
      <c r="F160" s="28" t="n"/>
      <c r="G160" s="40">
        <f>IFERROR(INDEX(Insumos!$E$5:$E$163,MATCH($D160&amp;" | "&amp;$E160,Insumos!$I$5:$I$163,0)),"")</f>
        <v/>
      </c>
      <c r="H160" s="64" t="n"/>
      <c r="I160" s="65">
        <f>IFERROR($H160/$F160,"")</f>
        <v/>
      </c>
      <c r="J160" s="35">
        <f>IF($E160="","",IF(COUNTIF(Insumos!$I$5:$I$163,$D160&amp;" | "&amp;$E160)=0,"REVISAR: area+insumo no existe en el maestro","OK"))</f>
        <v/>
      </c>
    </row>
    <row r="161">
      <c r="A161" s="12" t="n"/>
      <c r="B161" s="16" t="n"/>
      <c r="C161" s="18" t="n"/>
      <c r="D161" s="18" t="n"/>
      <c r="E161" s="16" t="n"/>
      <c r="F161" s="28" t="n"/>
      <c r="G161" s="40">
        <f>IFERROR(INDEX(Insumos!$E$5:$E$163,MATCH($D161&amp;" | "&amp;$E161,Insumos!$I$5:$I$163,0)),"")</f>
        <v/>
      </c>
      <c r="H161" s="64" t="n"/>
      <c r="I161" s="65">
        <f>IFERROR($H161/$F161,"")</f>
        <v/>
      </c>
      <c r="J161" s="35">
        <f>IF($E161="","",IF(COUNTIF(Insumos!$I$5:$I$163,$D161&amp;" | "&amp;$E161)=0,"REVISAR: area+insumo no existe en el maestro","OK"))</f>
        <v/>
      </c>
    </row>
    <row r="162">
      <c r="A162" s="12" t="n"/>
      <c r="B162" s="16" t="n"/>
      <c r="C162" s="18" t="n"/>
      <c r="D162" s="18" t="n"/>
      <c r="E162" s="16" t="n"/>
      <c r="F162" s="28" t="n"/>
      <c r="G162" s="40">
        <f>IFERROR(INDEX(Insumos!$E$5:$E$163,MATCH($D162&amp;" | "&amp;$E162,Insumos!$I$5:$I$163,0)),"")</f>
        <v/>
      </c>
      <c r="H162" s="64" t="n"/>
      <c r="I162" s="65">
        <f>IFERROR($H162/$F162,"")</f>
        <v/>
      </c>
      <c r="J162" s="35">
        <f>IF($E162="","",IF(COUNTIF(Insumos!$I$5:$I$163,$D162&amp;" | "&amp;$E162)=0,"REVISAR: area+insumo no existe en el maestro","OK"))</f>
        <v/>
      </c>
    </row>
    <row r="163">
      <c r="A163" s="12" t="n"/>
      <c r="B163" s="16" t="n"/>
      <c r="C163" s="18" t="n"/>
      <c r="D163" s="18" t="n"/>
      <c r="E163" s="16" t="n"/>
      <c r="F163" s="28" t="n"/>
      <c r="G163" s="40">
        <f>IFERROR(INDEX(Insumos!$E$5:$E$163,MATCH($D163&amp;" | "&amp;$E163,Insumos!$I$5:$I$163,0)),"")</f>
        <v/>
      </c>
      <c r="H163" s="64" t="n"/>
      <c r="I163" s="65">
        <f>IFERROR($H163/$F163,"")</f>
        <v/>
      </c>
      <c r="J163" s="35">
        <f>IF($E163="","",IF(COUNTIF(Insumos!$I$5:$I$163,$D163&amp;" | "&amp;$E163)=0,"REVISAR: area+insumo no existe en el maestro","OK"))</f>
        <v/>
      </c>
    </row>
    <row r="164">
      <c r="A164" s="12" t="n"/>
      <c r="B164" s="16" t="n"/>
      <c r="C164" s="18" t="n"/>
      <c r="D164" s="18" t="n"/>
      <c r="E164" s="16" t="n"/>
      <c r="F164" s="28" t="n"/>
      <c r="G164" s="40">
        <f>IFERROR(INDEX(Insumos!$E$5:$E$163,MATCH($D164&amp;" | "&amp;$E164,Insumos!$I$5:$I$163,0)),"")</f>
        <v/>
      </c>
      <c r="H164" s="64" t="n"/>
      <c r="I164" s="65">
        <f>IFERROR($H164/$F164,"")</f>
        <v/>
      </c>
      <c r="J164" s="35">
        <f>IF($E164="","",IF(COUNTIF(Insumos!$I$5:$I$163,$D164&amp;" | "&amp;$E164)=0,"REVISAR: area+insumo no existe en el maestro","OK"))</f>
        <v/>
      </c>
    </row>
    <row r="165">
      <c r="A165" s="12" t="n"/>
      <c r="B165" s="16" t="n"/>
      <c r="C165" s="18" t="n"/>
      <c r="D165" s="18" t="n"/>
      <c r="E165" s="16" t="n"/>
      <c r="F165" s="28" t="n"/>
      <c r="G165" s="40">
        <f>IFERROR(INDEX(Insumos!$E$5:$E$163,MATCH($D165&amp;" | "&amp;$E165,Insumos!$I$5:$I$163,0)),"")</f>
        <v/>
      </c>
      <c r="H165" s="64" t="n"/>
      <c r="I165" s="65">
        <f>IFERROR($H165/$F165,"")</f>
        <v/>
      </c>
      <c r="J165" s="35">
        <f>IF($E165="","",IF(COUNTIF(Insumos!$I$5:$I$163,$D165&amp;" | "&amp;$E165)=0,"REVISAR: area+insumo no existe en el maestro","OK"))</f>
        <v/>
      </c>
    </row>
    <row r="166">
      <c r="A166" s="12" t="n"/>
      <c r="B166" s="16" t="n"/>
      <c r="C166" s="18" t="n"/>
      <c r="D166" s="18" t="n"/>
      <c r="E166" s="16" t="n"/>
      <c r="F166" s="28" t="n"/>
      <c r="G166" s="40">
        <f>IFERROR(INDEX(Insumos!$E$5:$E$163,MATCH($D166&amp;" | "&amp;$E166,Insumos!$I$5:$I$163,0)),"")</f>
        <v/>
      </c>
      <c r="H166" s="64" t="n"/>
      <c r="I166" s="65">
        <f>IFERROR($H166/$F166,"")</f>
        <v/>
      </c>
      <c r="J166" s="35">
        <f>IF($E166="","",IF(COUNTIF(Insumos!$I$5:$I$163,$D166&amp;" | "&amp;$E166)=0,"REVISAR: area+insumo no existe en el maestro","OK"))</f>
        <v/>
      </c>
    </row>
    <row r="167">
      <c r="A167" s="12" t="n"/>
      <c r="B167" s="16" t="n"/>
      <c r="C167" s="18" t="n"/>
      <c r="D167" s="18" t="n"/>
      <c r="E167" s="16" t="n"/>
      <c r="F167" s="28" t="n"/>
      <c r="G167" s="40">
        <f>IFERROR(INDEX(Insumos!$E$5:$E$163,MATCH($D167&amp;" | "&amp;$E167,Insumos!$I$5:$I$163,0)),"")</f>
        <v/>
      </c>
      <c r="H167" s="64" t="n"/>
      <c r="I167" s="65">
        <f>IFERROR($H167/$F167,"")</f>
        <v/>
      </c>
      <c r="J167" s="35">
        <f>IF($E167="","",IF(COUNTIF(Insumos!$I$5:$I$163,$D167&amp;" | "&amp;$E167)=0,"REVISAR: area+insumo no existe en el maestro","OK"))</f>
        <v/>
      </c>
    </row>
    <row r="168">
      <c r="A168" s="12" t="n"/>
      <c r="B168" s="16" t="n"/>
      <c r="C168" s="18" t="n"/>
      <c r="D168" s="18" t="n"/>
      <c r="E168" s="16" t="n"/>
      <c r="F168" s="28" t="n"/>
      <c r="G168" s="40">
        <f>IFERROR(INDEX(Insumos!$E$5:$E$163,MATCH($D168&amp;" | "&amp;$E168,Insumos!$I$5:$I$163,0)),"")</f>
        <v/>
      </c>
      <c r="H168" s="64" t="n"/>
      <c r="I168" s="65">
        <f>IFERROR($H168/$F168,"")</f>
        <v/>
      </c>
      <c r="J168" s="35">
        <f>IF($E168="","",IF(COUNTIF(Insumos!$I$5:$I$163,$D168&amp;" | "&amp;$E168)=0,"REVISAR: area+insumo no existe en el maestro","OK"))</f>
        <v/>
      </c>
    </row>
    <row r="169">
      <c r="A169" s="12" t="n"/>
      <c r="B169" s="16" t="n"/>
      <c r="C169" s="18" t="n"/>
      <c r="D169" s="18" t="n"/>
      <c r="E169" s="16" t="n"/>
      <c r="F169" s="28" t="n"/>
      <c r="G169" s="40">
        <f>IFERROR(INDEX(Insumos!$E$5:$E$163,MATCH($D169&amp;" | "&amp;$E169,Insumos!$I$5:$I$163,0)),"")</f>
        <v/>
      </c>
      <c r="H169" s="64" t="n"/>
      <c r="I169" s="65">
        <f>IFERROR($H169/$F169,"")</f>
        <v/>
      </c>
      <c r="J169" s="35">
        <f>IF($E169="","",IF(COUNTIF(Insumos!$I$5:$I$163,$D169&amp;" | "&amp;$E169)=0,"REVISAR: area+insumo no existe en el maestro","OK"))</f>
        <v/>
      </c>
    </row>
    <row r="170">
      <c r="A170" s="12" t="n"/>
      <c r="B170" s="16" t="n"/>
      <c r="C170" s="18" t="n"/>
      <c r="D170" s="18" t="n"/>
      <c r="E170" s="16" t="n"/>
      <c r="F170" s="28" t="n"/>
      <c r="G170" s="40">
        <f>IFERROR(INDEX(Insumos!$E$5:$E$163,MATCH($D170&amp;" | "&amp;$E170,Insumos!$I$5:$I$163,0)),"")</f>
        <v/>
      </c>
      <c r="H170" s="64" t="n"/>
      <c r="I170" s="65">
        <f>IFERROR($H170/$F170,"")</f>
        <v/>
      </c>
      <c r="J170" s="35">
        <f>IF($E170="","",IF(COUNTIF(Insumos!$I$5:$I$163,$D170&amp;" | "&amp;$E170)=0,"REVISAR: area+insumo no existe en el maestro","OK"))</f>
        <v/>
      </c>
    </row>
    <row r="171">
      <c r="A171" s="12" t="n"/>
      <c r="B171" s="16" t="n"/>
      <c r="C171" s="18" t="n"/>
      <c r="D171" s="18" t="n"/>
      <c r="E171" s="16" t="n"/>
      <c r="F171" s="28" t="n"/>
      <c r="G171" s="40">
        <f>IFERROR(INDEX(Insumos!$E$5:$E$163,MATCH($D171&amp;" | "&amp;$E171,Insumos!$I$5:$I$163,0)),"")</f>
        <v/>
      </c>
      <c r="H171" s="64" t="n"/>
      <c r="I171" s="65">
        <f>IFERROR($H171/$F171,"")</f>
        <v/>
      </c>
      <c r="J171" s="35">
        <f>IF($E171="","",IF(COUNTIF(Insumos!$I$5:$I$163,$D171&amp;" | "&amp;$E171)=0,"REVISAR: area+insumo no existe en el maestro","OK"))</f>
        <v/>
      </c>
    </row>
    <row r="172">
      <c r="A172" s="12" t="n"/>
      <c r="B172" s="16" t="n"/>
      <c r="C172" s="18" t="n"/>
      <c r="D172" s="18" t="n"/>
      <c r="E172" s="16" t="n"/>
      <c r="F172" s="28" t="n"/>
      <c r="G172" s="40">
        <f>IFERROR(INDEX(Insumos!$E$5:$E$163,MATCH($D172&amp;" | "&amp;$E172,Insumos!$I$5:$I$163,0)),"")</f>
        <v/>
      </c>
      <c r="H172" s="64" t="n"/>
      <c r="I172" s="65">
        <f>IFERROR($H172/$F172,"")</f>
        <v/>
      </c>
      <c r="J172" s="35">
        <f>IF($E172="","",IF(COUNTIF(Insumos!$I$5:$I$163,$D172&amp;" | "&amp;$E172)=0,"REVISAR: area+insumo no existe en el maestro","OK"))</f>
        <v/>
      </c>
    </row>
    <row r="173">
      <c r="A173" s="12" t="n"/>
      <c r="B173" s="16" t="n"/>
      <c r="C173" s="18" t="n"/>
      <c r="D173" s="18" t="n"/>
      <c r="E173" s="16" t="n"/>
      <c r="F173" s="28" t="n"/>
      <c r="G173" s="40">
        <f>IFERROR(INDEX(Insumos!$E$5:$E$163,MATCH($D173&amp;" | "&amp;$E173,Insumos!$I$5:$I$163,0)),"")</f>
        <v/>
      </c>
      <c r="H173" s="64" t="n"/>
      <c r="I173" s="65">
        <f>IFERROR($H173/$F173,"")</f>
        <v/>
      </c>
      <c r="J173" s="35">
        <f>IF($E173="","",IF(COUNTIF(Insumos!$I$5:$I$163,$D173&amp;" | "&amp;$E173)=0,"REVISAR: area+insumo no existe en el maestro","OK"))</f>
        <v/>
      </c>
    </row>
    <row r="174">
      <c r="A174" s="12" t="n"/>
      <c r="B174" s="16" t="n"/>
      <c r="C174" s="18" t="n"/>
      <c r="D174" s="18" t="n"/>
      <c r="E174" s="16" t="n"/>
      <c r="F174" s="28" t="n"/>
      <c r="G174" s="40">
        <f>IFERROR(INDEX(Insumos!$E$5:$E$163,MATCH($D174&amp;" | "&amp;$E174,Insumos!$I$5:$I$163,0)),"")</f>
        <v/>
      </c>
      <c r="H174" s="64" t="n"/>
      <c r="I174" s="65">
        <f>IFERROR($H174/$F174,"")</f>
        <v/>
      </c>
      <c r="J174" s="35">
        <f>IF($E174="","",IF(COUNTIF(Insumos!$I$5:$I$163,$D174&amp;" | "&amp;$E174)=0,"REVISAR: area+insumo no existe en el maestro","OK"))</f>
        <v/>
      </c>
    </row>
    <row r="175">
      <c r="A175" s="12" t="n"/>
      <c r="B175" s="16" t="n"/>
      <c r="C175" s="18" t="n"/>
      <c r="D175" s="18" t="n"/>
      <c r="E175" s="16" t="n"/>
      <c r="F175" s="28" t="n"/>
      <c r="G175" s="40">
        <f>IFERROR(INDEX(Insumos!$E$5:$E$163,MATCH($D175&amp;" | "&amp;$E175,Insumos!$I$5:$I$163,0)),"")</f>
        <v/>
      </c>
      <c r="H175" s="64" t="n"/>
      <c r="I175" s="65">
        <f>IFERROR($H175/$F175,"")</f>
        <v/>
      </c>
      <c r="J175" s="35">
        <f>IF($E175="","",IF(COUNTIF(Insumos!$I$5:$I$163,$D175&amp;" | "&amp;$E175)=0,"REVISAR: area+insumo no existe en el maestro","OK"))</f>
        <v/>
      </c>
    </row>
    <row r="176">
      <c r="A176" s="12" t="n"/>
      <c r="B176" s="16" t="n"/>
      <c r="C176" s="18" t="n"/>
      <c r="D176" s="18" t="n"/>
      <c r="E176" s="16" t="n"/>
      <c r="F176" s="28" t="n"/>
      <c r="G176" s="40">
        <f>IFERROR(INDEX(Insumos!$E$5:$E$163,MATCH($D176&amp;" | "&amp;$E176,Insumos!$I$5:$I$163,0)),"")</f>
        <v/>
      </c>
      <c r="H176" s="64" t="n"/>
      <c r="I176" s="65">
        <f>IFERROR($H176/$F176,"")</f>
        <v/>
      </c>
      <c r="J176" s="35">
        <f>IF($E176="","",IF(COUNTIF(Insumos!$I$5:$I$163,$D176&amp;" | "&amp;$E176)=0,"REVISAR: area+insumo no existe en el maestro","OK"))</f>
        <v/>
      </c>
    </row>
    <row r="177">
      <c r="A177" s="12" t="n"/>
      <c r="B177" s="16" t="n"/>
      <c r="C177" s="18" t="n"/>
      <c r="D177" s="18" t="n"/>
      <c r="E177" s="16" t="n"/>
      <c r="F177" s="28" t="n"/>
      <c r="G177" s="40">
        <f>IFERROR(INDEX(Insumos!$E$5:$E$163,MATCH($D177&amp;" | "&amp;$E177,Insumos!$I$5:$I$163,0)),"")</f>
        <v/>
      </c>
      <c r="H177" s="64" t="n"/>
      <c r="I177" s="65">
        <f>IFERROR($H177/$F177,"")</f>
        <v/>
      </c>
      <c r="J177" s="35">
        <f>IF($E177="","",IF(COUNTIF(Insumos!$I$5:$I$163,$D177&amp;" | "&amp;$E177)=0,"REVISAR: area+insumo no existe en el maestro","OK"))</f>
        <v/>
      </c>
    </row>
    <row r="178">
      <c r="A178" s="12" t="n"/>
      <c r="B178" s="16" t="n"/>
      <c r="C178" s="18" t="n"/>
      <c r="D178" s="18" t="n"/>
      <c r="E178" s="16" t="n"/>
      <c r="F178" s="28" t="n"/>
      <c r="G178" s="40">
        <f>IFERROR(INDEX(Insumos!$E$5:$E$163,MATCH($D178&amp;" | "&amp;$E178,Insumos!$I$5:$I$163,0)),"")</f>
        <v/>
      </c>
      <c r="H178" s="64" t="n"/>
      <c r="I178" s="65">
        <f>IFERROR($H178/$F178,"")</f>
        <v/>
      </c>
      <c r="J178" s="35">
        <f>IF($E178="","",IF(COUNTIF(Insumos!$I$5:$I$163,$D178&amp;" | "&amp;$E178)=0,"REVISAR: area+insumo no existe en el maestro","OK"))</f>
        <v/>
      </c>
    </row>
    <row r="179">
      <c r="A179" s="12" t="n"/>
      <c r="B179" s="16" t="n"/>
      <c r="C179" s="18" t="n"/>
      <c r="D179" s="18" t="n"/>
      <c r="E179" s="16" t="n"/>
      <c r="F179" s="28" t="n"/>
      <c r="G179" s="40">
        <f>IFERROR(INDEX(Insumos!$E$5:$E$163,MATCH($D179&amp;" | "&amp;$E179,Insumos!$I$5:$I$163,0)),"")</f>
        <v/>
      </c>
      <c r="H179" s="64" t="n"/>
      <c r="I179" s="65">
        <f>IFERROR($H179/$F179,"")</f>
        <v/>
      </c>
      <c r="J179" s="35">
        <f>IF($E179="","",IF(COUNTIF(Insumos!$I$5:$I$163,$D179&amp;" | "&amp;$E179)=0,"REVISAR: area+insumo no existe en el maestro","OK"))</f>
        <v/>
      </c>
    </row>
    <row r="180">
      <c r="A180" s="12" t="n"/>
      <c r="B180" s="16" t="n"/>
      <c r="C180" s="18" t="n"/>
      <c r="D180" s="18" t="n"/>
      <c r="E180" s="16" t="n"/>
      <c r="F180" s="28" t="n"/>
      <c r="G180" s="40">
        <f>IFERROR(INDEX(Insumos!$E$5:$E$163,MATCH($D180&amp;" | "&amp;$E180,Insumos!$I$5:$I$163,0)),"")</f>
        <v/>
      </c>
      <c r="H180" s="64" t="n"/>
      <c r="I180" s="65">
        <f>IFERROR($H180/$F180,"")</f>
        <v/>
      </c>
      <c r="J180" s="35">
        <f>IF($E180="","",IF(COUNTIF(Insumos!$I$5:$I$163,$D180&amp;" | "&amp;$E180)=0,"REVISAR: area+insumo no existe en el maestro","OK"))</f>
        <v/>
      </c>
    </row>
    <row r="181">
      <c r="A181" s="12" t="n"/>
      <c r="B181" s="16" t="n"/>
      <c r="C181" s="18" t="n"/>
      <c r="D181" s="18" t="n"/>
      <c r="E181" s="16" t="n"/>
      <c r="F181" s="28" t="n"/>
      <c r="G181" s="40">
        <f>IFERROR(INDEX(Insumos!$E$5:$E$163,MATCH($D181&amp;" | "&amp;$E181,Insumos!$I$5:$I$163,0)),"")</f>
        <v/>
      </c>
      <c r="H181" s="64" t="n"/>
      <c r="I181" s="65">
        <f>IFERROR($H181/$F181,"")</f>
        <v/>
      </c>
      <c r="J181" s="35">
        <f>IF($E181="","",IF(COUNTIF(Insumos!$I$5:$I$163,$D181&amp;" | "&amp;$E181)=0,"REVISAR: area+insumo no existe en el maestro","OK"))</f>
        <v/>
      </c>
    </row>
    <row r="182">
      <c r="A182" s="12" t="n"/>
      <c r="B182" s="16" t="n"/>
      <c r="C182" s="18" t="n"/>
      <c r="D182" s="18" t="n"/>
      <c r="E182" s="16" t="n"/>
      <c r="F182" s="28" t="n"/>
      <c r="G182" s="40">
        <f>IFERROR(INDEX(Insumos!$E$5:$E$163,MATCH($D182&amp;" | "&amp;$E182,Insumos!$I$5:$I$163,0)),"")</f>
        <v/>
      </c>
      <c r="H182" s="64" t="n"/>
      <c r="I182" s="65">
        <f>IFERROR($H182/$F182,"")</f>
        <v/>
      </c>
      <c r="J182" s="35">
        <f>IF($E182="","",IF(COUNTIF(Insumos!$I$5:$I$163,$D182&amp;" | "&amp;$E182)=0,"REVISAR: area+insumo no existe en el maestro","OK"))</f>
        <v/>
      </c>
    </row>
    <row r="183">
      <c r="A183" s="12" t="n"/>
      <c r="B183" s="16" t="n"/>
      <c r="C183" s="18" t="n"/>
      <c r="D183" s="18" t="n"/>
      <c r="E183" s="16" t="n"/>
      <c r="F183" s="28" t="n"/>
      <c r="G183" s="40">
        <f>IFERROR(INDEX(Insumos!$E$5:$E$163,MATCH($D183&amp;" | "&amp;$E183,Insumos!$I$5:$I$163,0)),"")</f>
        <v/>
      </c>
      <c r="H183" s="64" t="n"/>
      <c r="I183" s="65">
        <f>IFERROR($H183/$F183,"")</f>
        <v/>
      </c>
      <c r="J183" s="35">
        <f>IF($E183="","",IF(COUNTIF(Insumos!$I$5:$I$163,$D183&amp;" | "&amp;$E183)=0,"REVISAR: area+insumo no existe en el maestro","OK"))</f>
        <v/>
      </c>
    </row>
    <row r="184">
      <c r="A184" s="12" t="n"/>
      <c r="B184" s="16" t="n"/>
      <c r="C184" s="18" t="n"/>
      <c r="D184" s="18" t="n"/>
      <c r="E184" s="16" t="n"/>
      <c r="F184" s="28" t="n"/>
      <c r="G184" s="40">
        <f>IFERROR(INDEX(Insumos!$E$5:$E$163,MATCH($D184&amp;" | "&amp;$E184,Insumos!$I$5:$I$163,0)),"")</f>
        <v/>
      </c>
      <c r="H184" s="64" t="n"/>
      <c r="I184" s="65">
        <f>IFERROR($H184/$F184,"")</f>
        <v/>
      </c>
      <c r="J184" s="35">
        <f>IF($E184="","",IF(COUNTIF(Insumos!$I$5:$I$163,$D184&amp;" | "&amp;$E184)=0,"REVISAR: area+insumo no existe en el maestro","OK"))</f>
        <v/>
      </c>
    </row>
    <row r="185">
      <c r="A185" s="12" t="n"/>
      <c r="B185" s="16" t="n"/>
      <c r="C185" s="18" t="n"/>
      <c r="D185" s="18" t="n"/>
      <c r="E185" s="16" t="n"/>
      <c r="F185" s="28" t="n"/>
      <c r="G185" s="40">
        <f>IFERROR(INDEX(Insumos!$E$5:$E$163,MATCH($D185&amp;" | "&amp;$E185,Insumos!$I$5:$I$163,0)),"")</f>
        <v/>
      </c>
      <c r="H185" s="64" t="n"/>
      <c r="I185" s="65">
        <f>IFERROR($H185/$F185,"")</f>
        <v/>
      </c>
      <c r="J185" s="35">
        <f>IF($E185="","",IF(COUNTIF(Insumos!$I$5:$I$163,$D185&amp;" | "&amp;$E185)=0,"REVISAR: area+insumo no existe en el maestro","OK"))</f>
        <v/>
      </c>
    </row>
    <row r="186">
      <c r="A186" s="12" t="n"/>
      <c r="B186" s="16" t="n"/>
      <c r="C186" s="18" t="n"/>
      <c r="D186" s="18" t="n"/>
      <c r="E186" s="16" t="n"/>
      <c r="F186" s="28" t="n"/>
      <c r="G186" s="40">
        <f>IFERROR(INDEX(Insumos!$E$5:$E$163,MATCH($D186&amp;" | "&amp;$E186,Insumos!$I$5:$I$163,0)),"")</f>
        <v/>
      </c>
      <c r="H186" s="64" t="n"/>
      <c r="I186" s="65">
        <f>IFERROR($H186/$F186,"")</f>
        <v/>
      </c>
      <c r="J186" s="35">
        <f>IF($E186="","",IF(COUNTIF(Insumos!$I$5:$I$163,$D186&amp;" | "&amp;$E186)=0,"REVISAR: area+insumo no existe en el maestro","OK"))</f>
        <v/>
      </c>
    </row>
    <row r="187">
      <c r="A187" s="12" t="n"/>
      <c r="B187" s="16" t="n"/>
      <c r="C187" s="18" t="n"/>
      <c r="D187" s="18" t="n"/>
      <c r="E187" s="16" t="n"/>
      <c r="F187" s="28" t="n"/>
      <c r="G187" s="40">
        <f>IFERROR(INDEX(Insumos!$E$5:$E$163,MATCH($D187&amp;" | "&amp;$E187,Insumos!$I$5:$I$163,0)),"")</f>
        <v/>
      </c>
      <c r="H187" s="64" t="n"/>
      <c r="I187" s="65">
        <f>IFERROR($H187/$F187,"")</f>
        <v/>
      </c>
      <c r="J187" s="35">
        <f>IF($E187="","",IF(COUNTIF(Insumos!$I$5:$I$163,$D187&amp;" | "&amp;$E187)=0,"REVISAR: area+insumo no existe en el maestro","OK"))</f>
        <v/>
      </c>
    </row>
    <row r="188">
      <c r="A188" s="12" t="n"/>
      <c r="B188" s="16" t="n"/>
      <c r="C188" s="18" t="n"/>
      <c r="D188" s="18" t="n"/>
      <c r="E188" s="16" t="n"/>
      <c r="F188" s="28" t="n"/>
      <c r="G188" s="40">
        <f>IFERROR(INDEX(Insumos!$E$5:$E$163,MATCH($D188&amp;" | "&amp;$E188,Insumos!$I$5:$I$163,0)),"")</f>
        <v/>
      </c>
      <c r="H188" s="64" t="n"/>
      <c r="I188" s="65">
        <f>IFERROR($H188/$F188,"")</f>
        <v/>
      </c>
      <c r="J188" s="35">
        <f>IF($E188="","",IF(COUNTIF(Insumos!$I$5:$I$163,$D188&amp;" | "&amp;$E188)=0,"REVISAR: area+insumo no existe en el maestro","OK"))</f>
        <v/>
      </c>
    </row>
    <row r="189">
      <c r="A189" s="12" t="n"/>
      <c r="B189" s="16" t="n"/>
      <c r="C189" s="18" t="n"/>
      <c r="D189" s="18" t="n"/>
      <c r="E189" s="16" t="n"/>
      <c r="F189" s="28" t="n"/>
      <c r="G189" s="40">
        <f>IFERROR(INDEX(Insumos!$E$5:$E$163,MATCH($D189&amp;" | "&amp;$E189,Insumos!$I$5:$I$163,0)),"")</f>
        <v/>
      </c>
      <c r="H189" s="64" t="n"/>
      <c r="I189" s="65">
        <f>IFERROR($H189/$F189,"")</f>
        <v/>
      </c>
      <c r="J189" s="35">
        <f>IF($E189="","",IF(COUNTIF(Insumos!$I$5:$I$163,$D189&amp;" | "&amp;$E189)=0,"REVISAR: area+insumo no existe en el maestro","OK"))</f>
        <v/>
      </c>
    </row>
    <row r="190">
      <c r="A190" s="12" t="n"/>
      <c r="B190" s="16" t="n"/>
      <c r="C190" s="18" t="n"/>
      <c r="D190" s="18" t="n"/>
      <c r="E190" s="16" t="n"/>
      <c r="F190" s="28" t="n"/>
      <c r="G190" s="40">
        <f>IFERROR(INDEX(Insumos!$E$5:$E$163,MATCH($D190&amp;" | "&amp;$E190,Insumos!$I$5:$I$163,0)),"")</f>
        <v/>
      </c>
      <c r="H190" s="64" t="n"/>
      <c r="I190" s="65">
        <f>IFERROR($H190/$F190,"")</f>
        <v/>
      </c>
      <c r="J190" s="35">
        <f>IF($E190="","",IF(COUNTIF(Insumos!$I$5:$I$163,$D190&amp;" | "&amp;$E190)=0,"REVISAR: area+insumo no existe en el maestro","OK"))</f>
        <v/>
      </c>
    </row>
    <row r="191">
      <c r="A191" s="12" t="n"/>
      <c r="B191" s="16" t="n"/>
      <c r="C191" s="18" t="n"/>
      <c r="D191" s="18" t="n"/>
      <c r="E191" s="16" t="n"/>
      <c r="F191" s="28" t="n"/>
      <c r="G191" s="40">
        <f>IFERROR(INDEX(Insumos!$E$5:$E$163,MATCH($D191&amp;" | "&amp;$E191,Insumos!$I$5:$I$163,0)),"")</f>
        <v/>
      </c>
      <c r="H191" s="64" t="n"/>
      <c r="I191" s="65">
        <f>IFERROR($H191/$F191,"")</f>
        <v/>
      </c>
      <c r="J191" s="35">
        <f>IF($E191="","",IF(COUNTIF(Insumos!$I$5:$I$163,$D191&amp;" | "&amp;$E191)=0,"REVISAR: area+insumo no existe en el maestro","OK"))</f>
        <v/>
      </c>
    </row>
    <row r="192">
      <c r="A192" s="12" t="n"/>
      <c r="B192" s="16" t="n"/>
      <c r="C192" s="18" t="n"/>
      <c r="D192" s="18" t="n"/>
      <c r="E192" s="16" t="n"/>
      <c r="F192" s="28" t="n"/>
      <c r="G192" s="40">
        <f>IFERROR(INDEX(Insumos!$E$5:$E$163,MATCH($D192&amp;" | "&amp;$E192,Insumos!$I$5:$I$163,0)),"")</f>
        <v/>
      </c>
      <c r="H192" s="64" t="n"/>
      <c r="I192" s="65">
        <f>IFERROR($H192/$F192,"")</f>
        <v/>
      </c>
      <c r="J192" s="35">
        <f>IF($E192="","",IF(COUNTIF(Insumos!$I$5:$I$163,$D192&amp;" | "&amp;$E192)=0,"REVISAR: area+insumo no existe en el maestro","OK"))</f>
        <v/>
      </c>
    </row>
    <row r="193">
      <c r="A193" s="12" t="n"/>
      <c r="B193" s="16" t="n"/>
      <c r="C193" s="18" t="n"/>
      <c r="D193" s="18" t="n"/>
      <c r="E193" s="16" t="n"/>
      <c r="F193" s="28" t="n"/>
      <c r="G193" s="40">
        <f>IFERROR(INDEX(Insumos!$E$5:$E$163,MATCH($D193&amp;" | "&amp;$E193,Insumos!$I$5:$I$163,0)),"")</f>
        <v/>
      </c>
      <c r="H193" s="64" t="n"/>
      <c r="I193" s="65">
        <f>IFERROR($H193/$F193,"")</f>
        <v/>
      </c>
      <c r="J193" s="35">
        <f>IF($E193="","",IF(COUNTIF(Insumos!$I$5:$I$163,$D193&amp;" | "&amp;$E193)=0,"REVISAR: area+insumo no existe en el maestro","OK"))</f>
        <v/>
      </c>
    </row>
    <row r="194">
      <c r="A194" s="12" t="n"/>
      <c r="B194" s="16" t="n"/>
      <c r="C194" s="18" t="n"/>
      <c r="D194" s="18" t="n"/>
      <c r="E194" s="16" t="n"/>
      <c r="F194" s="28" t="n"/>
      <c r="G194" s="40">
        <f>IFERROR(INDEX(Insumos!$E$5:$E$163,MATCH($D194&amp;" | "&amp;$E194,Insumos!$I$5:$I$163,0)),"")</f>
        <v/>
      </c>
      <c r="H194" s="64" t="n"/>
      <c r="I194" s="65">
        <f>IFERROR($H194/$F194,"")</f>
        <v/>
      </c>
      <c r="J194" s="35">
        <f>IF($E194="","",IF(COUNTIF(Insumos!$I$5:$I$163,$D194&amp;" | "&amp;$E194)=0,"REVISAR: area+insumo no existe en el maestro","OK"))</f>
        <v/>
      </c>
    </row>
    <row r="195">
      <c r="A195" s="12" t="n"/>
      <c r="B195" s="16" t="n"/>
      <c r="C195" s="18" t="n"/>
      <c r="D195" s="18" t="n"/>
      <c r="E195" s="16" t="n"/>
      <c r="F195" s="28" t="n"/>
      <c r="G195" s="40">
        <f>IFERROR(INDEX(Insumos!$E$5:$E$163,MATCH($D195&amp;" | "&amp;$E195,Insumos!$I$5:$I$163,0)),"")</f>
        <v/>
      </c>
      <c r="H195" s="64" t="n"/>
      <c r="I195" s="65">
        <f>IFERROR($H195/$F195,"")</f>
        <v/>
      </c>
      <c r="J195" s="35">
        <f>IF($E195="","",IF(COUNTIF(Insumos!$I$5:$I$163,$D195&amp;" | "&amp;$E195)=0,"REVISAR: area+insumo no existe en el maestro","OK"))</f>
        <v/>
      </c>
    </row>
    <row r="196">
      <c r="A196" s="12" t="n"/>
      <c r="B196" s="16" t="n"/>
      <c r="C196" s="18" t="n"/>
      <c r="D196" s="18" t="n"/>
      <c r="E196" s="16" t="n"/>
      <c r="F196" s="28" t="n"/>
      <c r="G196" s="40">
        <f>IFERROR(INDEX(Insumos!$E$5:$E$163,MATCH($D196&amp;" | "&amp;$E196,Insumos!$I$5:$I$163,0)),"")</f>
        <v/>
      </c>
      <c r="H196" s="64" t="n"/>
      <c r="I196" s="65">
        <f>IFERROR($H196/$F196,"")</f>
        <v/>
      </c>
      <c r="J196" s="35">
        <f>IF($E196="","",IF(COUNTIF(Insumos!$I$5:$I$163,$D196&amp;" | "&amp;$E196)=0,"REVISAR: area+insumo no existe en el maestro","OK"))</f>
        <v/>
      </c>
    </row>
    <row r="197">
      <c r="A197" s="12" t="n"/>
      <c r="B197" s="16" t="n"/>
      <c r="C197" s="18" t="n"/>
      <c r="D197" s="18" t="n"/>
      <c r="E197" s="16" t="n"/>
      <c r="F197" s="28" t="n"/>
      <c r="G197" s="40">
        <f>IFERROR(INDEX(Insumos!$E$5:$E$163,MATCH($D197&amp;" | "&amp;$E197,Insumos!$I$5:$I$163,0)),"")</f>
        <v/>
      </c>
      <c r="H197" s="64" t="n"/>
      <c r="I197" s="65">
        <f>IFERROR($H197/$F197,"")</f>
        <v/>
      </c>
      <c r="J197" s="35">
        <f>IF($E197="","",IF(COUNTIF(Insumos!$I$5:$I$163,$D197&amp;" | "&amp;$E197)=0,"REVISAR: area+insumo no existe en el maestro","OK"))</f>
        <v/>
      </c>
    </row>
    <row r="198">
      <c r="A198" s="12" t="n"/>
      <c r="B198" s="16" t="n"/>
      <c r="C198" s="18" t="n"/>
      <c r="D198" s="18" t="n"/>
      <c r="E198" s="16" t="n"/>
      <c r="F198" s="28" t="n"/>
      <c r="G198" s="40">
        <f>IFERROR(INDEX(Insumos!$E$5:$E$163,MATCH($D198&amp;" | "&amp;$E198,Insumos!$I$5:$I$163,0)),"")</f>
        <v/>
      </c>
      <c r="H198" s="64" t="n"/>
      <c r="I198" s="65">
        <f>IFERROR($H198/$F198,"")</f>
        <v/>
      </c>
      <c r="J198" s="35">
        <f>IF($E198="","",IF(COUNTIF(Insumos!$I$5:$I$163,$D198&amp;" | "&amp;$E198)=0,"REVISAR: area+insumo no existe en el maestro","OK"))</f>
        <v/>
      </c>
    </row>
    <row r="199">
      <c r="A199" s="12" t="n"/>
      <c r="B199" s="16" t="n"/>
      <c r="C199" s="18" t="n"/>
      <c r="D199" s="18" t="n"/>
      <c r="E199" s="16" t="n"/>
      <c r="F199" s="28" t="n"/>
      <c r="G199" s="40">
        <f>IFERROR(INDEX(Insumos!$E$5:$E$163,MATCH($D199&amp;" | "&amp;$E199,Insumos!$I$5:$I$163,0)),"")</f>
        <v/>
      </c>
      <c r="H199" s="64" t="n"/>
      <c r="I199" s="65">
        <f>IFERROR($H199/$F199,"")</f>
        <v/>
      </c>
      <c r="J199" s="35">
        <f>IF($E199="","",IF(COUNTIF(Insumos!$I$5:$I$163,$D199&amp;" | "&amp;$E199)=0,"REVISAR: area+insumo no existe en el maestro","OK"))</f>
        <v/>
      </c>
    </row>
    <row r="200">
      <c r="A200" s="12" t="n"/>
      <c r="B200" s="16" t="n"/>
      <c r="C200" s="18" t="n"/>
      <c r="D200" s="18" t="n"/>
      <c r="E200" s="16" t="n"/>
      <c r="F200" s="28" t="n"/>
      <c r="G200" s="40">
        <f>IFERROR(INDEX(Insumos!$E$5:$E$163,MATCH($D200&amp;" | "&amp;$E200,Insumos!$I$5:$I$163,0)),"")</f>
        <v/>
      </c>
      <c r="H200" s="64" t="n"/>
      <c r="I200" s="65">
        <f>IFERROR($H200/$F200,"")</f>
        <v/>
      </c>
      <c r="J200" s="35">
        <f>IF($E200="","",IF(COUNTIF(Insumos!$I$5:$I$163,$D200&amp;" | "&amp;$E200)=0,"REVISAR: area+insumo no existe en el maestro","OK"))</f>
        <v/>
      </c>
    </row>
    <row r="201">
      <c r="A201" s="12" t="n"/>
      <c r="B201" s="16" t="n"/>
      <c r="C201" s="18" t="n"/>
      <c r="D201" s="18" t="n"/>
      <c r="E201" s="16" t="n"/>
      <c r="F201" s="28" t="n"/>
      <c r="G201" s="40">
        <f>IFERROR(INDEX(Insumos!$E$5:$E$163,MATCH($D201&amp;" | "&amp;$E201,Insumos!$I$5:$I$163,0)),"")</f>
        <v/>
      </c>
      <c r="H201" s="64" t="n"/>
      <c r="I201" s="65">
        <f>IFERROR($H201/$F201,"")</f>
        <v/>
      </c>
      <c r="J201" s="35">
        <f>IF($E201="","",IF(COUNTIF(Insumos!$I$5:$I$163,$D201&amp;" | "&amp;$E201)=0,"REVISAR: area+insumo no existe en el maestro","OK"))</f>
        <v/>
      </c>
    </row>
    <row r="202">
      <c r="A202" s="12" t="n"/>
      <c r="B202" s="16" t="n"/>
      <c r="C202" s="18" t="n"/>
      <c r="D202" s="18" t="n"/>
      <c r="E202" s="16" t="n"/>
      <c r="F202" s="28" t="n"/>
      <c r="G202" s="40">
        <f>IFERROR(INDEX(Insumos!$E$5:$E$163,MATCH($D202&amp;" | "&amp;$E202,Insumos!$I$5:$I$163,0)),"")</f>
        <v/>
      </c>
      <c r="H202" s="64" t="n"/>
      <c r="I202" s="65">
        <f>IFERROR($H202/$F202,"")</f>
        <v/>
      </c>
      <c r="J202" s="35">
        <f>IF($E202="","",IF(COUNTIF(Insumos!$I$5:$I$163,$D202&amp;" | "&amp;$E202)=0,"REVISAR: area+insumo no existe en el maestro","OK"))</f>
        <v/>
      </c>
    </row>
    <row r="203">
      <c r="A203" s="12" t="n"/>
      <c r="B203" s="16" t="n"/>
      <c r="C203" s="18" t="n"/>
      <c r="D203" s="18" t="n"/>
      <c r="E203" s="16" t="n"/>
      <c r="F203" s="28" t="n"/>
      <c r="G203" s="40">
        <f>IFERROR(INDEX(Insumos!$E$5:$E$163,MATCH($D203&amp;" | "&amp;$E203,Insumos!$I$5:$I$163,0)),"")</f>
        <v/>
      </c>
      <c r="H203" s="64" t="n"/>
      <c r="I203" s="65">
        <f>IFERROR($H203/$F203,"")</f>
        <v/>
      </c>
      <c r="J203" s="35">
        <f>IF($E203="","",IF(COUNTIF(Insumos!$I$5:$I$163,$D203&amp;" | "&amp;$E203)=0,"REVISAR: area+insumo no existe en el maestro","OK"))</f>
        <v/>
      </c>
    </row>
    <row r="204">
      <c r="A204" s="12" t="n"/>
      <c r="B204" s="16" t="n"/>
      <c r="C204" s="18" t="n"/>
      <c r="D204" s="18" t="n"/>
      <c r="E204" s="16" t="n"/>
      <c r="F204" s="28" t="n"/>
      <c r="G204" s="40">
        <f>IFERROR(INDEX(Insumos!$E$5:$E$163,MATCH($D204&amp;" | "&amp;$E204,Insumos!$I$5:$I$163,0)),"")</f>
        <v/>
      </c>
      <c r="H204" s="64" t="n"/>
      <c r="I204" s="65">
        <f>IFERROR($H204/$F204,"")</f>
        <v/>
      </c>
      <c r="J204" s="35">
        <f>IF($E204="","",IF(COUNTIF(Insumos!$I$5:$I$163,$D204&amp;" | "&amp;$E204)=0,"REVISAR: area+insumo no existe en el maestro","OK"))</f>
        <v/>
      </c>
    </row>
    <row r="205">
      <c r="A205" s="12" t="n"/>
      <c r="B205" s="16" t="n"/>
      <c r="C205" s="18" t="n"/>
      <c r="D205" s="18" t="n"/>
      <c r="E205" s="16" t="n"/>
      <c r="F205" s="28" t="n"/>
      <c r="G205" s="40">
        <f>IFERROR(INDEX(Insumos!$E$5:$E$163,MATCH($D205&amp;" | "&amp;$E205,Insumos!$I$5:$I$163,0)),"")</f>
        <v/>
      </c>
      <c r="H205" s="64" t="n"/>
      <c r="I205" s="65">
        <f>IFERROR($H205/$F205,"")</f>
        <v/>
      </c>
      <c r="J205" s="35">
        <f>IF($E205="","",IF(COUNTIF(Insumos!$I$5:$I$163,$D205&amp;" | "&amp;$E205)=0,"REVISAR: area+insumo no existe en el maestro","OK"))</f>
        <v/>
      </c>
    </row>
    <row r="206">
      <c r="A206" s="12" t="n"/>
      <c r="B206" s="16" t="n"/>
      <c r="C206" s="18" t="n"/>
      <c r="D206" s="18" t="n"/>
      <c r="E206" s="16" t="n"/>
      <c r="F206" s="28" t="n"/>
      <c r="G206" s="40">
        <f>IFERROR(INDEX(Insumos!$E$5:$E$163,MATCH($D206&amp;" | "&amp;$E206,Insumos!$I$5:$I$163,0)),"")</f>
        <v/>
      </c>
      <c r="H206" s="64" t="n"/>
      <c r="I206" s="65">
        <f>IFERROR($H206/$F206,"")</f>
        <v/>
      </c>
      <c r="J206" s="35">
        <f>IF($E206="","",IF(COUNTIF(Insumos!$I$5:$I$163,$D206&amp;" | "&amp;$E206)=0,"REVISAR: area+insumo no existe en el maestro","OK"))</f>
        <v/>
      </c>
    </row>
    <row r="207">
      <c r="A207" s="12" t="n"/>
      <c r="B207" s="16" t="n"/>
      <c r="C207" s="18" t="n"/>
      <c r="D207" s="18" t="n"/>
      <c r="E207" s="16" t="n"/>
      <c r="F207" s="28" t="n"/>
      <c r="G207" s="40">
        <f>IFERROR(INDEX(Insumos!$E$5:$E$163,MATCH($D207&amp;" | "&amp;$E207,Insumos!$I$5:$I$163,0)),"")</f>
        <v/>
      </c>
      <c r="H207" s="64" t="n"/>
      <c r="I207" s="65">
        <f>IFERROR($H207/$F207,"")</f>
        <v/>
      </c>
      <c r="J207" s="35">
        <f>IF($E207="","",IF(COUNTIF(Insumos!$I$5:$I$163,$D207&amp;" | "&amp;$E207)=0,"REVISAR: area+insumo no existe en el maestro","OK"))</f>
        <v/>
      </c>
    </row>
    <row r="208">
      <c r="A208" s="12" t="n"/>
      <c r="B208" s="16" t="n"/>
      <c r="C208" s="18" t="n"/>
      <c r="D208" s="18" t="n"/>
      <c r="E208" s="16" t="n"/>
      <c r="F208" s="28" t="n"/>
      <c r="G208" s="40">
        <f>IFERROR(INDEX(Insumos!$E$5:$E$163,MATCH($D208&amp;" | "&amp;$E208,Insumos!$I$5:$I$163,0)),"")</f>
        <v/>
      </c>
      <c r="H208" s="64" t="n"/>
      <c r="I208" s="65">
        <f>IFERROR($H208/$F208,"")</f>
        <v/>
      </c>
      <c r="J208" s="35">
        <f>IF($E208="","",IF(COUNTIF(Insumos!$I$5:$I$163,$D208&amp;" | "&amp;$E208)=0,"REVISAR: area+insumo no existe en el maestro","OK"))</f>
        <v/>
      </c>
    </row>
    <row r="209">
      <c r="A209" s="12" t="n"/>
      <c r="B209" s="16" t="n"/>
      <c r="C209" s="18" t="n"/>
      <c r="D209" s="18" t="n"/>
      <c r="E209" s="16" t="n"/>
      <c r="F209" s="28" t="n"/>
      <c r="G209" s="40">
        <f>IFERROR(INDEX(Insumos!$E$5:$E$163,MATCH($D209&amp;" | "&amp;$E209,Insumos!$I$5:$I$163,0)),"")</f>
        <v/>
      </c>
      <c r="H209" s="64" t="n"/>
      <c r="I209" s="65">
        <f>IFERROR($H209/$F209,"")</f>
        <v/>
      </c>
      <c r="J209" s="35">
        <f>IF($E209="","",IF(COUNTIF(Insumos!$I$5:$I$163,$D209&amp;" | "&amp;$E209)=0,"REVISAR: area+insumo no existe en el maestro","OK"))</f>
        <v/>
      </c>
    </row>
    <row r="210">
      <c r="A210" s="12" t="n"/>
      <c r="B210" s="16" t="n"/>
      <c r="C210" s="18" t="n"/>
      <c r="D210" s="18" t="n"/>
      <c r="E210" s="16" t="n"/>
      <c r="F210" s="28" t="n"/>
      <c r="G210" s="40">
        <f>IFERROR(INDEX(Insumos!$E$5:$E$163,MATCH($D210&amp;" | "&amp;$E210,Insumos!$I$5:$I$163,0)),"")</f>
        <v/>
      </c>
      <c r="H210" s="64" t="n"/>
      <c r="I210" s="65">
        <f>IFERROR($H210/$F210,"")</f>
        <v/>
      </c>
      <c r="J210" s="35">
        <f>IF($E210="","",IF(COUNTIF(Insumos!$I$5:$I$163,$D210&amp;" | "&amp;$E210)=0,"REVISAR: area+insumo no existe en el maestro","OK"))</f>
        <v/>
      </c>
    </row>
    <row r="211">
      <c r="A211" s="12" t="n"/>
      <c r="B211" s="16" t="n"/>
      <c r="C211" s="18" t="n"/>
      <c r="D211" s="18" t="n"/>
      <c r="E211" s="16" t="n"/>
      <c r="F211" s="28" t="n"/>
      <c r="G211" s="40">
        <f>IFERROR(INDEX(Insumos!$E$5:$E$163,MATCH($D211&amp;" | "&amp;$E211,Insumos!$I$5:$I$163,0)),"")</f>
        <v/>
      </c>
      <c r="H211" s="64" t="n"/>
      <c r="I211" s="65">
        <f>IFERROR($H211/$F211,"")</f>
        <v/>
      </c>
      <c r="J211" s="35">
        <f>IF($E211="","",IF(COUNTIF(Insumos!$I$5:$I$163,$D211&amp;" | "&amp;$E211)=0,"REVISAR: area+insumo no existe en el maestro","OK"))</f>
        <v/>
      </c>
    </row>
    <row r="212">
      <c r="A212" s="12" t="n"/>
      <c r="B212" s="16" t="n"/>
      <c r="C212" s="18" t="n"/>
      <c r="D212" s="18" t="n"/>
      <c r="E212" s="16" t="n"/>
      <c r="F212" s="28" t="n"/>
      <c r="G212" s="40">
        <f>IFERROR(INDEX(Insumos!$E$5:$E$163,MATCH($D212&amp;" | "&amp;$E212,Insumos!$I$5:$I$163,0)),"")</f>
        <v/>
      </c>
      <c r="H212" s="64" t="n"/>
      <c r="I212" s="65">
        <f>IFERROR($H212/$F212,"")</f>
        <v/>
      </c>
      <c r="J212" s="35">
        <f>IF($E212="","",IF(COUNTIF(Insumos!$I$5:$I$163,$D212&amp;" | "&amp;$E212)=0,"REVISAR: area+insumo no existe en el maestro","OK"))</f>
        <v/>
      </c>
    </row>
    <row r="213">
      <c r="A213" s="12" t="n"/>
      <c r="B213" s="16" t="n"/>
      <c r="C213" s="18" t="n"/>
      <c r="D213" s="18" t="n"/>
      <c r="E213" s="16" t="n"/>
      <c r="F213" s="28" t="n"/>
      <c r="G213" s="40">
        <f>IFERROR(INDEX(Insumos!$E$5:$E$163,MATCH($D213&amp;" | "&amp;$E213,Insumos!$I$5:$I$163,0)),"")</f>
        <v/>
      </c>
      <c r="H213" s="64" t="n"/>
      <c r="I213" s="65">
        <f>IFERROR($H213/$F213,"")</f>
        <v/>
      </c>
      <c r="J213" s="35">
        <f>IF($E213="","",IF(COUNTIF(Insumos!$I$5:$I$163,$D213&amp;" | "&amp;$E213)=0,"REVISAR: area+insumo no existe en el maestro","OK"))</f>
        <v/>
      </c>
    </row>
    <row r="214">
      <c r="A214" s="12" t="n"/>
      <c r="B214" s="16" t="n"/>
      <c r="C214" s="18" t="n"/>
      <c r="D214" s="18" t="n"/>
      <c r="E214" s="16" t="n"/>
      <c r="F214" s="28" t="n"/>
      <c r="G214" s="40">
        <f>IFERROR(INDEX(Insumos!$E$5:$E$163,MATCH($D214&amp;" | "&amp;$E214,Insumos!$I$5:$I$163,0)),"")</f>
        <v/>
      </c>
      <c r="H214" s="64" t="n"/>
      <c r="I214" s="65">
        <f>IFERROR($H214/$F214,"")</f>
        <v/>
      </c>
      <c r="J214" s="35">
        <f>IF($E214="","",IF(COUNTIF(Insumos!$I$5:$I$163,$D214&amp;" | "&amp;$E214)=0,"REVISAR: area+insumo no existe en el maestro","OK"))</f>
        <v/>
      </c>
    </row>
    <row r="215">
      <c r="A215" s="12" t="n"/>
      <c r="B215" s="16" t="n"/>
      <c r="C215" s="18" t="n"/>
      <c r="D215" s="18" t="n"/>
      <c r="E215" s="16" t="n"/>
      <c r="F215" s="28" t="n"/>
      <c r="G215" s="40">
        <f>IFERROR(INDEX(Insumos!$E$5:$E$163,MATCH($D215&amp;" | "&amp;$E215,Insumos!$I$5:$I$163,0)),"")</f>
        <v/>
      </c>
      <c r="H215" s="64" t="n"/>
      <c r="I215" s="65">
        <f>IFERROR($H215/$F215,"")</f>
        <v/>
      </c>
      <c r="J215" s="35">
        <f>IF($E215="","",IF(COUNTIF(Insumos!$I$5:$I$163,$D215&amp;" | "&amp;$E215)=0,"REVISAR: area+insumo no existe en el maestro","OK"))</f>
        <v/>
      </c>
    </row>
    <row r="216">
      <c r="A216" s="12" t="n"/>
      <c r="B216" s="16" t="n"/>
      <c r="C216" s="18" t="n"/>
      <c r="D216" s="18" t="n"/>
      <c r="E216" s="16" t="n"/>
      <c r="F216" s="28" t="n"/>
      <c r="G216" s="40">
        <f>IFERROR(INDEX(Insumos!$E$5:$E$163,MATCH($D216&amp;" | "&amp;$E216,Insumos!$I$5:$I$163,0)),"")</f>
        <v/>
      </c>
      <c r="H216" s="64" t="n"/>
      <c r="I216" s="65">
        <f>IFERROR($H216/$F216,"")</f>
        <v/>
      </c>
      <c r="J216" s="35">
        <f>IF($E216="","",IF(COUNTIF(Insumos!$I$5:$I$163,$D216&amp;" | "&amp;$E216)=0,"REVISAR: area+insumo no existe en el maestro","OK"))</f>
        <v/>
      </c>
    </row>
    <row r="217">
      <c r="A217" s="12" t="n"/>
      <c r="B217" s="16" t="n"/>
      <c r="C217" s="18" t="n"/>
      <c r="D217" s="18" t="n"/>
      <c r="E217" s="16" t="n"/>
      <c r="F217" s="28" t="n"/>
      <c r="G217" s="40">
        <f>IFERROR(INDEX(Insumos!$E$5:$E$163,MATCH($D217&amp;" | "&amp;$E217,Insumos!$I$5:$I$163,0)),"")</f>
        <v/>
      </c>
      <c r="H217" s="64" t="n"/>
      <c r="I217" s="65">
        <f>IFERROR($H217/$F217,"")</f>
        <v/>
      </c>
      <c r="J217" s="35">
        <f>IF($E217="","",IF(COUNTIF(Insumos!$I$5:$I$163,$D217&amp;" | "&amp;$E217)=0,"REVISAR: area+insumo no existe en el maestro","OK"))</f>
        <v/>
      </c>
    </row>
    <row r="218">
      <c r="A218" s="12" t="n"/>
      <c r="B218" s="16" t="n"/>
      <c r="C218" s="18" t="n"/>
      <c r="D218" s="18" t="n"/>
      <c r="E218" s="16" t="n"/>
      <c r="F218" s="28" t="n"/>
      <c r="G218" s="40">
        <f>IFERROR(INDEX(Insumos!$E$5:$E$163,MATCH($D218&amp;" | "&amp;$E218,Insumos!$I$5:$I$163,0)),"")</f>
        <v/>
      </c>
      <c r="H218" s="64" t="n"/>
      <c r="I218" s="65">
        <f>IFERROR($H218/$F218,"")</f>
        <v/>
      </c>
      <c r="J218" s="35">
        <f>IF($E218="","",IF(COUNTIF(Insumos!$I$5:$I$163,$D218&amp;" | "&amp;$E218)=0,"REVISAR: area+insumo no existe en el maestro","OK"))</f>
        <v/>
      </c>
    </row>
    <row r="219">
      <c r="A219" s="12" t="n"/>
      <c r="B219" s="16" t="n"/>
      <c r="C219" s="18" t="n"/>
      <c r="D219" s="18" t="n"/>
      <c r="E219" s="16" t="n"/>
      <c r="F219" s="28" t="n"/>
      <c r="G219" s="40">
        <f>IFERROR(INDEX(Insumos!$E$5:$E$163,MATCH($D219&amp;" | "&amp;$E219,Insumos!$I$5:$I$163,0)),"")</f>
        <v/>
      </c>
      <c r="H219" s="64" t="n"/>
      <c r="I219" s="65">
        <f>IFERROR($H219/$F219,"")</f>
        <v/>
      </c>
      <c r="J219" s="35">
        <f>IF($E219="","",IF(COUNTIF(Insumos!$I$5:$I$163,$D219&amp;" | "&amp;$E219)=0,"REVISAR: area+insumo no existe en el maestro","OK"))</f>
        <v/>
      </c>
    </row>
    <row r="220">
      <c r="A220" s="12" t="n"/>
      <c r="B220" s="16" t="n"/>
      <c r="C220" s="18" t="n"/>
      <c r="D220" s="18" t="n"/>
      <c r="E220" s="16" t="n"/>
      <c r="F220" s="28" t="n"/>
      <c r="G220" s="40">
        <f>IFERROR(INDEX(Insumos!$E$5:$E$163,MATCH($D220&amp;" | "&amp;$E220,Insumos!$I$5:$I$163,0)),"")</f>
        <v/>
      </c>
      <c r="H220" s="64" t="n"/>
      <c r="I220" s="65">
        <f>IFERROR($H220/$F220,"")</f>
        <v/>
      </c>
      <c r="J220" s="35">
        <f>IF($E220="","",IF(COUNTIF(Insumos!$I$5:$I$163,$D220&amp;" | "&amp;$E220)=0,"REVISAR: area+insumo no existe en el maestro","OK"))</f>
        <v/>
      </c>
    </row>
    <row r="221">
      <c r="A221" s="12" t="n"/>
      <c r="B221" s="16" t="n"/>
      <c r="C221" s="18" t="n"/>
      <c r="D221" s="18" t="n"/>
      <c r="E221" s="16" t="n"/>
      <c r="F221" s="28" t="n"/>
      <c r="G221" s="40">
        <f>IFERROR(INDEX(Insumos!$E$5:$E$163,MATCH($D221&amp;" | "&amp;$E221,Insumos!$I$5:$I$163,0)),"")</f>
        <v/>
      </c>
      <c r="H221" s="64" t="n"/>
      <c r="I221" s="65">
        <f>IFERROR($H221/$F221,"")</f>
        <v/>
      </c>
      <c r="J221" s="35">
        <f>IF($E221="","",IF(COUNTIF(Insumos!$I$5:$I$163,$D221&amp;" | "&amp;$E221)=0,"REVISAR: area+insumo no existe en el maestro","OK"))</f>
        <v/>
      </c>
    </row>
    <row r="222">
      <c r="A222" s="12" t="n"/>
      <c r="B222" s="16" t="n"/>
      <c r="C222" s="18" t="n"/>
      <c r="D222" s="18" t="n"/>
      <c r="E222" s="16" t="n"/>
      <c r="F222" s="28" t="n"/>
      <c r="G222" s="40">
        <f>IFERROR(INDEX(Insumos!$E$5:$E$163,MATCH($D222&amp;" | "&amp;$E222,Insumos!$I$5:$I$163,0)),"")</f>
        <v/>
      </c>
      <c r="H222" s="64" t="n"/>
      <c r="I222" s="65">
        <f>IFERROR($H222/$F222,"")</f>
        <v/>
      </c>
      <c r="J222" s="35">
        <f>IF($E222="","",IF(COUNTIF(Insumos!$I$5:$I$163,$D222&amp;" | "&amp;$E222)=0,"REVISAR: area+insumo no existe en el maestro","OK"))</f>
        <v/>
      </c>
    </row>
    <row r="223">
      <c r="A223" s="12" t="n"/>
      <c r="B223" s="16" t="n"/>
      <c r="C223" s="18" t="n"/>
      <c r="D223" s="18" t="n"/>
      <c r="E223" s="16" t="n"/>
      <c r="F223" s="28" t="n"/>
      <c r="G223" s="40">
        <f>IFERROR(INDEX(Insumos!$E$5:$E$163,MATCH($D223&amp;" | "&amp;$E223,Insumos!$I$5:$I$163,0)),"")</f>
        <v/>
      </c>
      <c r="H223" s="64" t="n"/>
      <c r="I223" s="65">
        <f>IFERROR($H223/$F223,"")</f>
        <v/>
      </c>
      <c r="J223" s="35">
        <f>IF($E223="","",IF(COUNTIF(Insumos!$I$5:$I$163,$D223&amp;" | "&amp;$E223)=0,"REVISAR: area+insumo no existe en el maestro","OK"))</f>
        <v/>
      </c>
    </row>
    <row r="224">
      <c r="A224" s="12" t="n"/>
      <c r="B224" s="16" t="n"/>
      <c r="C224" s="18" t="n"/>
      <c r="D224" s="18" t="n"/>
      <c r="E224" s="16" t="n"/>
      <c r="F224" s="28" t="n"/>
      <c r="G224" s="40">
        <f>IFERROR(INDEX(Insumos!$E$5:$E$163,MATCH($D224&amp;" | "&amp;$E224,Insumos!$I$5:$I$163,0)),"")</f>
        <v/>
      </c>
      <c r="H224" s="64" t="n"/>
      <c r="I224" s="65">
        <f>IFERROR($H224/$F224,"")</f>
        <v/>
      </c>
      <c r="J224" s="35">
        <f>IF($E224="","",IF(COUNTIF(Insumos!$I$5:$I$163,$D224&amp;" | "&amp;$E224)=0,"REVISAR: area+insumo no existe en el maestro","OK"))</f>
        <v/>
      </c>
    </row>
    <row r="225">
      <c r="A225" s="12" t="n"/>
      <c r="B225" s="16" t="n"/>
      <c r="C225" s="18" t="n"/>
      <c r="D225" s="18" t="n"/>
      <c r="E225" s="16" t="n"/>
      <c r="F225" s="28" t="n"/>
      <c r="G225" s="40">
        <f>IFERROR(INDEX(Insumos!$E$5:$E$163,MATCH($D225&amp;" | "&amp;$E225,Insumos!$I$5:$I$163,0)),"")</f>
        <v/>
      </c>
      <c r="H225" s="64" t="n"/>
      <c r="I225" s="65">
        <f>IFERROR($H225/$F225,"")</f>
        <v/>
      </c>
      <c r="J225" s="35">
        <f>IF($E225="","",IF(COUNTIF(Insumos!$I$5:$I$163,$D225&amp;" | "&amp;$E225)=0,"REVISAR: area+insumo no existe en el maestro","OK"))</f>
        <v/>
      </c>
    </row>
    <row r="226">
      <c r="A226" s="12" t="n"/>
      <c r="B226" s="16" t="n"/>
      <c r="C226" s="18" t="n"/>
      <c r="D226" s="18" t="n"/>
      <c r="E226" s="16" t="n"/>
      <c r="F226" s="28" t="n"/>
      <c r="G226" s="40">
        <f>IFERROR(INDEX(Insumos!$E$5:$E$163,MATCH($D226&amp;" | "&amp;$E226,Insumos!$I$5:$I$163,0)),"")</f>
        <v/>
      </c>
      <c r="H226" s="64" t="n"/>
      <c r="I226" s="65">
        <f>IFERROR($H226/$F226,"")</f>
        <v/>
      </c>
      <c r="J226" s="35">
        <f>IF($E226="","",IF(COUNTIF(Insumos!$I$5:$I$163,$D226&amp;" | "&amp;$E226)=0,"REVISAR: area+insumo no existe en el maestro","OK"))</f>
        <v/>
      </c>
    </row>
    <row r="227">
      <c r="A227" s="12" t="n"/>
      <c r="B227" s="16" t="n"/>
      <c r="C227" s="18" t="n"/>
      <c r="D227" s="18" t="n"/>
      <c r="E227" s="16" t="n"/>
      <c r="F227" s="28" t="n"/>
      <c r="G227" s="40">
        <f>IFERROR(INDEX(Insumos!$E$5:$E$163,MATCH($D227&amp;" | "&amp;$E227,Insumos!$I$5:$I$163,0)),"")</f>
        <v/>
      </c>
      <c r="H227" s="64" t="n"/>
      <c r="I227" s="65">
        <f>IFERROR($H227/$F227,"")</f>
        <v/>
      </c>
      <c r="J227" s="35">
        <f>IF($E227="","",IF(COUNTIF(Insumos!$I$5:$I$163,$D227&amp;" | "&amp;$E227)=0,"REVISAR: area+insumo no existe en el maestro","OK"))</f>
        <v/>
      </c>
    </row>
    <row r="228">
      <c r="A228" s="12" t="n"/>
      <c r="B228" s="16" t="n"/>
      <c r="C228" s="18" t="n"/>
      <c r="D228" s="18" t="n"/>
      <c r="E228" s="16" t="n"/>
      <c r="F228" s="28" t="n"/>
      <c r="G228" s="40">
        <f>IFERROR(INDEX(Insumos!$E$5:$E$163,MATCH($D228&amp;" | "&amp;$E228,Insumos!$I$5:$I$163,0)),"")</f>
        <v/>
      </c>
      <c r="H228" s="64" t="n"/>
      <c r="I228" s="65">
        <f>IFERROR($H228/$F228,"")</f>
        <v/>
      </c>
      <c r="J228" s="35">
        <f>IF($E228="","",IF(COUNTIF(Insumos!$I$5:$I$163,$D228&amp;" | "&amp;$E228)=0,"REVISAR: area+insumo no existe en el maestro","OK"))</f>
        <v/>
      </c>
    </row>
    <row r="229">
      <c r="A229" s="12" t="n"/>
      <c r="B229" s="16" t="n"/>
      <c r="C229" s="18" t="n"/>
      <c r="D229" s="18" t="n"/>
      <c r="E229" s="16" t="n"/>
      <c r="F229" s="28" t="n"/>
      <c r="G229" s="40">
        <f>IFERROR(INDEX(Insumos!$E$5:$E$163,MATCH($D229&amp;" | "&amp;$E229,Insumos!$I$5:$I$163,0)),"")</f>
        <v/>
      </c>
      <c r="H229" s="64" t="n"/>
      <c r="I229" s="65">
        <f>IFERROR($H229/$F229,"")</f>
        <v/>
      </c>
      <c r="J229" s="35">
        <f>IF($E229="","",IF(COUNTIF(Insumos!$I$5:$I$163,$D229&amp;" | "&amp;$E229)=0,"REVISAR: area+insumo no existe en el maestro","OK"))</f>
        <v/>
      </c>
    </row>
    <row r="230">
      <c r="A230" s="12" t="n"/>
      <c r="B230" s="16" t="n"/>
      <c r="C230" s="18" t="n"/>
      <c r="D230" s="18" t="n"/>
      <c r="E230" s="16" t="n"/>
      <c r="F230" s="28" t="n"/>
      <c r="G230" s="40">
        <f>IFERROR(INDEX(Insumos!$E$5:$E$163,MATCH($D230&amp;" | "&amp;$E230,Insumos!$I$5:$I$163,0)),"")</f>
        <v/>
      </c>
      <c r="H230" s="64" t="n"/>
      <c r="I230" s="65">
        <f>IFERROR($H230/$F230,"")</f>
        <v/>
      </c>
      <c r="J230" s="35">
        <f>IF($E230="","",IF(COUNTIF(Insumos!$I$5:$I$163,$D230&amp;" | "&amp;$E230)=0,"REVISAR: area+insumo no existe en el maestro","OK"))</f>
        <v/>
      </c>
    </row>
    <row r="231">
      <c r="A231" s="12" t="n"/>
      <c r="B231" s="16" t="n"/>
      <c r="C231" s="18" t="n"/>
      <c r="D231" s="18" t="n"/>
      <c r="E231" s="16" t="n"/>
      <c r="F231" s="28" t="n"/>
      <c r="G231" s="40">
        <f>IFERROR(INDEX(Insumos!$E$5:$E$163,MATCH($D231&amp;" | "&amp;$E231,Insumos!$I$5:$I$163,0)),"")</f>
        <v/>
      </c>
      <c r="H231" s="64" t="n"/>
      <c r="I231" s="65">
        <f>IFERROR($H231/$F231,"")</f>
        <v/>
      </c>
      <c r="J231" s="35">
        <f>IF($E231="","",IF(COUNTIF(Insumos!$I$5:$I$163,$D231&amp;" | "&amp;$E231)=0,"REVISAR: area+insumo no existe en el maestro","OK"))</f>
        <v/>
      </c>
    </row>
    <row r="232">
      <c r="A232" s="12" t="n"/>
      <c r="B232" s="16" t="n"/>
      <c r="C232" s="18" t="n"/>
      <c r="D232" s="18" t="n"/>
      <c r="E232" s="16" t="n"/>
      <c r="F232" s="28" t="n"/>
      <c r="G232" s="40">
        <f>IFERROR(INDEX(Insumos!$E$5:$E$163,MATCH($D232&amp;" | "&amp;$E232,Insumos!$I$5:$I$163,0)),"")</f>
        <v/>
      </c>
      <c r="H232" s="64" t="n"/>
      <c r="I232" s="65">
        <f>IFERROR($H232/$F232,"")</f>
        <v/>
      </c>
      <c r="J232" s="35">
        <f>IF($E232="","",IF(COUNTIF(Insumos!$I$5:$I$163,$D232&amp;" | "&amp;$E232)=0,"REVISAR: area+insumo no existe en el maestro","OK"))</f>
        <v/>
      </c>
    </row>
    <row r="233">
      <c r="A233" s="12" t="n"/>
      <c r="B233" s="16" t="n"/>
      <c r="C233" s="18" t="n"/>
      <c r="D233" s="18" t="n"/>
      <c r="E233" s="16" t="n"/>
      <c r="F233" s="28" t="n"/>
      <c r="G233" s="40">
        <f>IFERROR(INDEX(Insumos!$E$5:$E$163,MATCH($D233&amp;" | "&amp;$E233,Insumos!$I$5:$I$163,0)),"")</f>
        <v/>
      </c>
      <c r="H233" s="64" t="n"/>
      <c r="I233" s="65">
        <f>IFERROR($H233/$F233,"")</f>
        <v/>
      </c>
      <c r="J233" s="35">
        <f>IF($E233="","",IF(COUNTIF(Insumos!$I$5:$I$163,$D233&amp;" | "&amp;$E233)=0,"REVISAR: area+insumo no existe en el maestro","OK"))</f>
        <v/>
      </c>
    </row>
    <row r="234">
      <c r="A234" s="12" t="n"/>
      <c r="B234" s="16" t="n"/>
      <c r="C234" s="18" t="n"/>
      <c r="D234" s="18" t="n"/>
      <c r="E234" s="16" t="n"/>
      <c r="F234" s="28" t="n"/>
      <c r="G234" s="40">
        <f>IFERROR(INDEX(Insumos!$E$5:$E$163,MATCH($D234&amp;" | "&amp;$E234,Insumos!$I$5:$I$163,0)),"")</f>
        <v/>
      </c>
      <c r="H234" s="64" t="n"/>
      <c r="I234" s="65">
        <f>IFERROR($H234/$F234,"")</f>
        <v/>
      </c>
      <c r="J234" s="35">
        <f>IF($E234="","",IF(COUNTIF(Insumos!$I$5:$I$163,$D234&amp;" | "&amp;$E234)=0,"REVISAR: area+insumo no existe en el maestro","OK"))</f>
        <v/>
      </c>
    </row>
    <row r="235">
      <c r="A235" s="12" t="n"/>
      <c r="B235" s="16" t="n"/>
      <c r="C235" s="18" t="n"/>
      <c r="D235" s="18" t="n"/>
      <c r="E235" s="16" t="n"/>
      <c r="F235" s="28" t="n"/>
      <c r="G235" s="40">
        <f>IFERROR(INDEX(Insumos!$E$5:$E$163,MATCH($D235&amp;" | "&amp;$E235,Insumos!$I$5:$I$163,0)),"")</f>
        <v/>
      </c>
      <c r="H235" s="64" t="n"/>
      <c r="I235" s="65">
        <f>IFERROR($H235/$F235,"")</f>
        <v/>
      </c>
      <c r="J235" s="35">
        <f>IF($E235="","",IF(COUNTIF(Insumos!$I$5:$I$163,$D235&amp;" | "&amp;$E235)=0,"REVISAR: area+insumo no existe en el maestro","OK"))</f>
        <v/>
      </c>
    </row>
    <row r="236">
      <c r="A236" s="12" t="n"/>
      <c r="B236" s="16" t="n"/>
      <c r="C236" s="18" t="n"/>
      <c r="D236" s="18" t="n"/>
      <c r="E236" s="16" t="n"/>
      <c r="F236" s="28" t="n"/>
      <c r="G236" s="40">
        <f>IFERROR(INDEX(Insumos!$E$5:$E$163,MATCH($D236&amp;" | "&amp;$E236,Insumos!$I$5:$I$163,0)),"")</f>
        <v/>
      </c>
      <c r="H236" s="64" t="n"/>
      <c r="I236" s="65">
        <f>IFERROR($H236/$F236,"")</f>
        <v/>
      </c>
      <c r="J236" s="35">
        <f>IF($E236="","",IF(COUNTIF(Insumos!$I$5:$I$163,$D236&amp;" | "&amp;$E236)=0,"REVISAR: area+insumo no existe en el maestro","OK"))</f>
        <v/>
      </c>
    </row>
    <row r="237">
      <c r="A237" s="12" t="n"/>
      <c r="B237" s="16" t="n"/>
      <c r="C237" s="18" t="n"/>
      <c r="D237" s="18" t="n"/>
      <c r="E237" s="16" t="n"/>
      <c r="F237" s="28" t="n"/>
      <c r="G237" s="40">
        <f>IFERROR(INDEX(Insumos!$E$5:$E$163,MATCH($D237&amp;" | "&amp;$E237,Insumos!$I$5:$I$163,0)),"")</f>
        <v/>
      </c>
      <c r="H237" s="64" t="n"/>
      <c r="I237" s="65">
        <f>IFERROR($H237/$F237,"")</f>
        <v/>
      </c>
      <c r="J237" s="35">
        <f>IF($E237="","",IF(COUNTIF(Insumos!$I$5:$I$163,$D237&amp;" | "&amp;$E237)=0,"REVISAR: area+insumo no existe en el maestro","OK"))</f>
        <v/>
      </c>
    </row>
    <row r="238">
      <c r="A238" s="12" t="n"/>
      <c r="B238" s="16" t="n"/>
      <c r="C238" s="18" t="n"/>
      <c r="D238" s="18" t="n"/>
      <c r="E238" s="16" t="n"/>
      <c r="F238" s="28" t="n"/>
      <c r="G238" s="40">
        <f>IFERROR(INDEX(Insumos!$E$5:$E$163,MATCH($D238&amp;" | "&amp;$E238,Insumos!$I$5:$I$163,0)),"")</f>
        <v/>
      </c>
      <c r="H238" s="64" t="n"/>
      <c r="I238" s="65">
        <f>IFERROR($H238/$F238,"")</f>
        <v/>
      </c>
      <c r="J238" s="35">
        <f>IF($E238="","",IF(COUNTIF(Insumos!$I$5:$I$163,$D238&amp;" | "&amp;$E238)=0,"REVISAR: area+insumo no existe en el maestro","OK"))</f>
        <v/>
      </c>
    </row>
    <row r="239">
      <c r="A239" s="12" t="n"/>
      <c r="B239" s="16" t="n"/>
      <c r="C239" s="18" t="n"/>
      <c r="D239" s="18" t="n"/>
      <c r="E239" s="16" t="n"/>
      <c r="F239" s="28" t="n"/>
      <c r="G239" s="40">
        <f>IFERROR(INDEX(Insumos!$E$5:$E$163,MATCH($D239&amp;" | "&amp;$E239,Insumos!$I$5:$I$163,0)),"")</f>
        <v/>
      </c>
      <c r="H239" s="64" t="n"/>
      <c r="I239" s="65">
        <f>IFERROR($H239/$F239,"")</f>
        <v/>
      </c>
      <c r="J239" s="35">
        <f>IF($E239="","",IF(COUNTIF(Insumos!$I$5:$I$163,$D239&amp;" | "&amp;$E239)=0,"REVISAR: area+insumo no existe en el maestro","OK"))</f>
        <v/>
      </c>
    </row>
    <row r="240">
      <c r="A240" s="12" t="n"/>
      <c r="B240" s="16" t="n"/>
      <c r="C240" s="18" t="n"/>
      <c r="D240" s="18" t="n"/>
      <c r="E240" s="16" t="n"/>
      <c r="F240" s="28" t="n"/>
      <c r="G240" s="40">
        <f>IFERROR(INDEX(Insumos!$E$5:$E$163,MATCH($D240&amp;" | "&amp;$E240,Insumos!$I$5:$I$163,0)),"")</f>
        <v/>
      </c>
      <c r="H240" s="64" t="n"/>
      <c r="I240" s="65">
        <f>IFERROR($H240/$F240,"")</f>
        <v/>
      </c>
      <c r="J240" s="35">
        <f>IF($E240="","",IF(COUNTIF(Insumos!$I$5:$I$163,$D240&amp;" | "&amp;$E240)=0,"REVISAR: area+insumo no existe en el maestro","OK"))</f>
        <v/>
      </c>
    </row>
    <row r="241">
      <c r="A241" s="12" t="n"/>
      <c r="B241" s="16" t="n"/>
      <c r="C241" s="18" t="n"/>
      <c r="D241" s="18" t="n"/>
      <c r="E241" s="16" t="n"/>
      <c r="F241" s="28" t="n"/>
      <c r="G241" s="40">
        <f>IFERROR(INDEX(Insumos!$E$5:$E$163,MATCH($D241&amp;" | "&amp;$E241,Insumos!$I$5:$I$163,0)),"")</f>
        <v/>
      </c>
      <c r="H241" s="64" t="n"/>
      <c r="I241" s="65">
        <f>IFERROR($H241/$F241,"")</f>
        <v/>
      </c>
      <c r="J241" s="35">
        <f>IF($E241="","",IF(COUNTIF(Insumos!$I$5:$I$163,$D241&amp;" | "&amp;$E241)=0,"REVISAR: area+insumo no existe en el maestro","OK"))</f>
        <v/>
      </c>
    </row>
    <row r="242">
      <c r="A242" s="12" t="n"/>
      <c r="B242" s="16" t="n"/>
      <c r="C242" s="18" t="n"/>
      <c r="D242" s="18" t="n"/>
      <c r="E242" s="16" t="n"/>
      <c r="F242" s="28" t="n"/>
      <c r="G242" s="40">
        <f>IFERROR(INDEX(Insumos!$E$5:$E$163,MATCH($D242&amp;" | "&amp;$E242,Insumos!$I$5:$I$163,0)),"")</f>
        <v/>
      </c>
      <c r="H242" s="64" t="n"/>
      <c r="I242" s="65">
        <f>IFERROR($H242/$F242,"")</f>
        <v/>
      </c>
      <c r="J242" s="35">
        <f>IF($E242="","",IF(COUNTIF(Insumos!$I$5:$I$163,$D242&amp;" | "&amp;$E242)=0,"REVISAR: area+insumo no existe en el maestro","OK"))</f>
        <v/>
      </c>
    </row>
    <row r="243">
      <c r="A243" s="12" t="n"/>
      <c r="B243" s="16" t="n"/>
      <c r="C243" s="18" t="n"/>
      <c r="D243" s="18" t="n"/>
      <c r="E243" s="16" t="n"/>
      <c r="F243" s="28" t="n"/>
      <c r="G243" s="40">
        <f>IFERROR(INDEX(Insumos!$E$5:$E$163,MATCH($D243&amp;" | "&amp;$E243,Insumos!$I$5:$I$163,0)),"")</f>
        <v/>
      </c>
      <c r="H243" s="64" t="n"/>
      <c r="I243" s="65">
        <f>IFERROR($H243/$F243,"")</f>
        <v/>
      </c>
      <c r="J243" s="35">
        <f>IF($E243="","",IF(COUNTIF(Insumos!$I$5:$I$163,$D243&amp;" | "&amp;$E243)=0,"REVISAR: area+insumo no existe en el maestro","OK"))</f>
        <v/>
      </c>
    </row>
    <row r="244">
      <c r="A244" s="12" t="n"/>
      <c r="B244" s="16" t="n"/>
      <c r="C244" s="18" t="n"/>
      <c r="D244" s="18" t="n"/>
      <c r="E244" s="16" t="n"/>
      <c r="F244" s="28" t="n"/>
      <c r="G244" s="40">
        <f>IFERROR(INDEX(Insumos!$E$5:$E$163,MATCH($D244&amp;" | "&amp;$E244,Insumos!$I$5:$I$163,0)),"")</f>
        <v/>
      </c>
      <c r="H244" s="64" t="n"/>
      <c r="I244" s="65">
        <f>IFERROR($H244/$F244,"")</f>
        <v/>
      </c>
      <c r="J244" s="35">
        <f>IF($E244="","",IF(COUNTIF(Insumos!$I$5:$I$163,$D244&amp;" | "&amp;$E244)=0,"REVISAR: area+insumo no existe en el maestro","OK"))</f>
        <v/>
      </c>
    </row>
    <row r="245">
      <c r="A245" s="12" t="n"/>
      <c r="B245" s="16" t="n"/>
      <c r="C245" s="18" t="n"/>
      <c r="D245" s="18" t="n"/>
      <c r="E245" s="16" t="n"/>
      <c r="F245" s="28" t="n"/>
      <c r="G245" s="40">
        <f>IFERROR(INDEX(Insumos!$E$5:$E$163,MATCH($D245&amp;" | "&amp;$E245,Insumos!$I$5:$I$163,0)),"")</f>
        <v/>
      </c>
      <c r="H245" s="64" t="n"/>
      <c r="I245" s="65">
        <f>IFERROR($H245/$F245,"")</f>
        <v/>
      </c>
      <c r="J245" s="35">
        <f>IF($E245="","",IF(COUNTIF(Insumos!$I$5:$I$163,$D245&amp;" | "&amp;$E245)=0,"REVISAR: area+insumo no existe en el maestro","OK"))</f>
        <v/>
      </c>
    </row>
    <row r="246">
      <c r="A246" s="12" t="n"/>
      <c r="B246" s="16" t="n"/>
      <c r="C246" s="18" t="n"/>
      <c r="D246" s="18" t="n"/>
      <c r="E246" s="16" t="n"/>
      <c r="F246" s="28" t="n"/>
      <c r="G246" s="40">
        <f>IFERROR(INDEX(Insumos!$E$5:$E$163,MATCH($D246&amp;" | "&amp;$E246,Insumos!$I$5:$I$163,0)),"")</f>
        <v/>
      </c>
      <c r="H246" s="64" t="n"/>
      <c r="I246" s="65">
        <f>IFERROR($H246/$F246,"")</f>
        <v/>
      </c>
      <c r="J246" s="35">
        <f>IF($E246="","",IF(COUNTIF(Insumos!$I$5:$I$163,$D246&amp;" | "&amp;$E246)=0,"REVISAR: area+insumo no existe en el maestro","OK"))</f>
        <v/>
      </c>
    </row>
    <row r="247">
      <c r="A247" s="12" t="n"/>
      <c r="B247" s="16" t="n"/>
      <c r="C247" s="18" t="n"/>
      <c r="D247" s="18" t="n"/>
      <c r="E247" s="16" t="n"/>
      <c r="F247" s="28" t="n"/>
      <c r="G247" s="40">
        <f>IFERROR(INDEX(Insumos!$E$5:$E$163,MATCH($D247&amp;" | "&amp;$E247,Insumos!$I$5:$I$163,0)),"")</f>
        <v/>
      </c>
      <c r="H247" s="64" t="n"/>
      <c r="I247" s="65">
        <f>IFERROR($H247/$F247,"")</f>
        <v/>
      </c>
      <c r="J247" s="35">
        <f>IF($E247="","",IF(COUNTIF(Insumos!$I$5:$I$163,$D247&amp;" | "&amp;$E247)=0,"REVISAR: area+insumo no existe en el maestro","OK"))</f>
        <v/>
      </c>
    </row>
    <row r="248">
      <c r="A248" s="12" t="n"/>
      <c r="B248" s="16" t="n"/>
      <c r="C248" s="18" t="n"/>
      <c r="D248" s="18" t="n"/>
      <c r="E248" s="16" t="n"/>
      <c r="F248" s="28" t="n"/>
      <c r="G248" s="40">
        <f>IFERROR(INDEX(Insumos!$E$5:$E$163,MATCH($D248&amp;" | "&amp;$E248,Insumos!$I$5:$I$163,0)),"")</f>
        <v/>
      </c>
      <c r="H248" s="64" t="n"/>
      <c r="I248" s="65">
        <f>IFERROR($H248/$F248,"")</f>
        <v/>
      </c>
      <c r="J248" s="35">
        <f>IF($E248="","",IF(COUNTIF(Insumos!$I$5:$I$163,$D248&amp;" | "&amp;$E248)=0,"REVISAR: area+insumo no existe en el maestro","OK"))</f>
        <v/>
      </c>
    </row>
    <row r="249">
      <c r="A249" s="12" t="n"/>
      <c r="B249" s="16" t="n"/>
      <c r="C249" s="18" t="n"/>
      <c r="D249" s="18" t="n"/>
      <c r="E249" s="16" t="n"/>
      <c r="F249" s="28" t="n"/>
      <c r="G249" s="40">
        <f>IFERROR(INDEX(Insumos!$E$5:$E$163,MATCH($D249&amp;" | "&amp;$E249,Insumos!$I$5:$I$163,0)),"")</f>
        <v/>
      </c>
      <c r="H249" s="64" t="n"/>
      <c r="I249" s="65">
        <f>IFERROR($H249/$F249,"")</f>
        <v/>
      </c>
      <c r="J249" s="35">
        <f>IF($E249="","",IF(COUNTIF(Insumos!$I$5:$I$163,$D249&amp;" | "&amp;$E249)=0,"REVISAR: area+insumo no existe en el maestro","OK"))</f>
        <v/>
      </c>
    </row>
    <row r="250">
      <c r="A250" s="12" t="n"/>
      <c r="B250" s="16" t="n"/>
      <c r="C250" s="18" t="n"/>
      <c r="D250" s="18" t="n"/>
      <c r="E250" s="16" t="n"/>
      <c r="F250" s="28" t="n"/>
      <c r="G250" s="40">
        <f>IFERROR(INDEX(Insumos!$E$5:$E$163,MATCH($D250&amp;" | "&amp;$E250,Insumos!$I$5:$I$163,0)),"")</f>
        <v/>
      </c>
      <c r="H250" s="64" t="n"/>
      <c r="I250" s="65">
        <f>IFERROR($H250/$F250,"")</f>
        <v/>
      </c>
      <c r="J250" s="35">
        <f>IF($E250="","",IF(COUNTIF(Insumos!$I$5:$I$163,$D250&amp;" | "&amp;$E250)=0,"REVISAR: area+insumo no existe en el maestro","OK"))</f>
        <v/>
      </c>
    </row>
    <row r="251">
      <c r="A251" s="12" t="n"/>
      <c r="B251" s="16" t="n"/>
      <c r="C251" s="18" t="n"/>
      <c r="D251" s="18" t="n"/>
      <c r="E251" s="16" t="n"/>
      <c r="F251" s="28" t="n"/>
      <c r="G251" s="40">
        <f>IFERROR(INDEX(Insumos!$E$5:$E$163,MATCH($D251&amp;" | "&amp;$E251,Insumos!$I$5:$I$163,0)),"")</f>
        <v/>
      </c>
      <c r="H251" s="64" t="n"/>
      <c r="I251" s="65">
        <f>IFERROR($H251/$F251,"")</f>
        <v/>
      </c>
      <c r="J251" s="35">
        <f>IF($E251="","",IF(COUNTIF(Insumos!$I$5:$I$163,$D251&amp;" | "&amp;$E251)=0,"REVISAR: area+insumo no existe en el maestro","OK"))</f>
        <v/>
      </c>
    </row>
    <row r="252">
      <c r="A252" s="12" t="n"/>
      <c r="B252" s="16" t="n"/>
      <c r="C252" s="18" t="n"/>
      <c r="D252" s="18" t="n"/>
      <c r="E252" s="16" t="n"/>
      <c r="F252" s="28" t="n"/>
      <c r="G252" s="40">
        <f>IFERROR(INDEX(Insumos!$E$5:$E$163,MATCH($D252&amp;" | "&amp;$E252,Insumos!$I$5:$I$163,0)),"")</f>
        <v/>
      </c>
      <c r="H252" s="64" t="n"/>
      <c r="I252" s="65">
        <f>IFERROR($H252/$F252,"")</f>
        <v/>
      </c>
      <c r="J252" s="35">
        <f>IF($E252="","",IF(COUNTIF(Insumos!$I$5:$I$163,$D252&amp;" | "&amp;$E252)=0,"REVISAR: area+insumo no existe en el maestro","OK"))</f>
        <v/>
      </c>
    </row>
    <row r="253">
      <c r="A253" s="12" t="n"/>
      <c r="B253" s="16" t="n"/>
      <c r="C253" s="18" t="n"/>
      <c r="D253" s="18" t="n"/>
      <c r="E253" s="16" t="n"/>
      <c r="F253" s="28" t="n"/>
      <c r="G253" s="40">
        <f>IFERROR(INDEX(Insumos!$E$5:$E$163,MATCH($D253&amp;" | "&amp;$E253,Insumos!$I$5:$I$163,0)),"")</f>
        <v/>
      </c>
      <c r="H253" s="64" t="n"/>
      <c r="I253" s="65">
        <f>IFERROR($H253/$F253,"")</f>
        <v/>
      </c>
      <c r="J253" s="35">
        <f>IF($E253="","",IF(COUNTIF(Insumos!$I$5:$I$163,$D253&amp;" | "&amp;$E253)=0,"REVISAR: area+insumo no existe en el maestro","OK"))</f>
        <v/>
      </c>
    </row>
    <row r="254">
      <c r="A254" s="12" t="n"/>
      <c r="B254" s="16" t="n"/>
      <c r="C254" s="18" t="n"/>
      <c r="D254" s="18" t="n"/>
      <c r="E254" s="16" t="n"/>
      <c r="F254" s="28" t="n"/>
      <c r="G254" s="40">
        <f>IFERROR(INDEX(Insumos!$E$5:$E$163,MATCH($D254&amp;" | "&amp;$E254,Insumos!$I$5:$I$163,0)),"")</f>
        <v/>
      </c>
      <c r="H254" s="64" t="n"/>
      <c r="I254" s="65">
        <f>IFERROR($H254/$F254,"")</f>
        <v/>
      </c>
      <c r="J254" s="35">
        <f>IF($E254="","",IF(COUNTIF(Insumos!$I$5:$I$163,$D254&amp;" | "&amp;$E254)=0,"REVISAR: area+insumo no existe en el maestro","OK"))</f>
        <v/>
      </c>
    </row>
    <row r="255">
      <c r="A255" s="12" t="n"/>
      <c r="B255" s="16" t="n"/>
      <c r="C255" s="18" t="n"/>
      <c r="D255" s="18" t="n"/>
      <c r="E255" s="16" t="n"/>
      <c r="F255" s="28" t="n"/>
      <c r="G255" s="40">
        <f>IFERROR(INDEX(Insumos!$E$5:$E$163,MATCH($D255&amp;" | "&amp;$E255,Insumos!$I$5:$I$163,0)),"")</f>
        <v/>
      </c>
      <c r="H255" s="64" t="n"/>
      <c r="I255" s="65">
        <f>IFERROR($H255/$F255,"")</f>
        <v/>
      </c>
      <c r="J255" s="35">
        <f>IF($E255="","",IF(COUNTIF(Insumos!$I$5:$I$163,$D255&amp;" | "&amp;$E255)=0,"REVISAR: area+insumo no existe en el maestro","OK"))</f>
        <v/>
      </c>
    </row>
    <row r="257">
      <c r="E257" s="66" t="inlineStr">
        <is>
          <t>TOTAL COMPRADO EN LA SEMANA</t>
        </is>
      </c>
      <c r="H257" s="67">
        <f>SUM($H$6:$H$255)</f>
        <v/>
      </c>
    </row>
  </sheetData>
  <autoFilter ref="A4:J255"/>
  <mergeCells count="3">
    <mergeCell ref="A1:J1"/>
    <mergeCell ref="A3:J3"/>
    <mergeCell ref="A2:J2"/>
  </mergeCells>
  <conditionalFormatting sqref="J6:J255">
    <cfRule type="cellIs" priority="1" operator="equal" dxfId="1">
      <formula>"OK"</formula>
    </cfRule>
    <cfRule type="expression" priority="2" dxfId="2">
      <formula>LEFT($J6,7)="REVISAR"</formula>
    </cfRule>
  </conditionalFormatting>
  <dataValidations count="2">
    <dataValidation sqref="D6:D255" showDropDown="0" showInputMessage="0" showErrorMessage="0" allowBlank="1" type="list">
      <formula1>Listas!$A$2:$A$7</formula1>
    </dataValidation>
    <dataValidation sqref="E6:E255" showDropDown="0" showInputMessage="0" showErrorMessage="0" allowBlank="1" type="list">
      <formula1>Listas!$B$2:$B$120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46" customWidth="1" min="4" max="4"/>
    <col width="26" customWidth="1" min="5" max="5"/>
  </cols>
  <sheetData>
    <row r="1" ht="30" customHeight="1">
      <c r="A1" s="1" t="inlineStr">
        <is>
          <t>CARGA 8a · VENTAS POR PRODUCTO SEGUN FUDO</t>
        </is>
      </c>
    </row>
    <row r="2" ht="18" customHeight="1">
      <c r="A2" s="2" t="inlineStr">
        <is>
          <t>Pegue el export de Fudo en las columnas A y B. Despues indique a que AREA y a que PRODUCTO de Candela corresponde cada linea.</t>
        </is>
      </c>
    </row>
    <row r="3" ht="18" customHeight="1">
      <c r="A3" s="3" t="inlineStr">
        <is>
          <t>Si un producto de Fudo no se mapea, no entra en la conciliacion. La fila 5 es un EJEMPLO: borrela.</t>
        </is>
      </c>
    </row>
    <row r="4" ht="34" customHeight="1">
      <c r="A4" s="6" t="inlineStr">
        <is>
          <t>PRODUCTO SEGUN FUDO
(pegar del export)</t>
        </is>
      </c>
      <c r="B4" s="6" t="inlineStr">
        <is>
          <t>UNIDADES
VENDIDAS</t>
        </is>
      </c>
      <c r="C4" s="6" t="inlineStr">
        <is>
          <t>AREA DE CANDELA</t>
        </is>
      </c>
      <c r="D4" s="6" t="inlineStr">
        <is>
          <t>PRODUCTO DE CANDELA</t>
        </is>
      </c>
      <c r="E4" s="6" t="inlineStr">
        <is>
          <t>CONTROL AUTOMATICO</t>
        </is>
      </c>
    </row>
    <row r="5">
      <c r="A5" s="48" t="inlineStr">
        <is>
          <t>Medialuna de manteca</t>
        </is>
      </c>
      <c r="B5" s="68" t="n">
        <v>640</v>
      </c>
      <c r="C5" s="49" t="inlineStr">
        <is>
          <t>Facturería</t>
        </is>
      </c>
      <c r="D5" s="48" t="inlineStr">
        <is>
          <t>Medialunas</t>
        </is>
      </c>
      <c r="E5" s="51" t="inlineStr">
        <is>
          <t>EJEMPLO - borrar esta fila</t>
        </is>
      </c>
    </row>
    <row r="6">
      <c r="A6" s="16" t="n"/>
      <c r="B6" s="28" t="n"/>
      <c r="C6" s="18" t="n"/>
      <c r="D6" s="16" t="n"/>
      <c r="E6" s="35">
        <f>IF($A6="","",IF($D6="","FALTA MAPEAR","OK"))</f>
        <v/>
      </c>
    </row>
    <row r="7">
      <c r="A7" s="16" t="n"/>
      <c r="B7" s="28" t="n"/>
      <c r="C7" s="18" t="n"/>
      <c r="D7" s="16" t="n"/>
      <c r="E7" s="35">
        <f>IF($A7="","",IF($D7="","FALTA MAPEAR","OK"))</f>
        <v/>
      </c>
    </row>
    <row r="8">
      <c r="A8" s="16" t="n"/>
      <c r="B8" s="28" t="n"/>
      <c r="C8" s="18" t="n"/>
      <c r="D8" s="16" t="n"/>
      <c r="E8" s="35">
        <f>IF($A8="","",IF($D8="","FALTA MAPEAR","OK"))</f>
        <v/>
      </c>
    </row>
    <row r="9">
      <c r="A9" s="16" t="n"/>
      <c r="B9" s="28" t="n"/>
      <c r="C9" s="18" t="n"/>
      <c r="D9" s="16" t="n"/>
      <c r="E9" s="35">
        <f>IF($A9="","",IF($D9="","FALTA MAPEAR","OK"))</f>
        <v/>
      </c>
    </row>
    <row r="10">
      <c r="A10" s="16" t="n"/>
      <c r="B10" s="28" t="n"/>
      <c r="C10" s="18" t="n"/>
      <c r="D10" s="16" t="n"/>
      <c r="E10" s="35">
        <f>IF($A10="","",IF($D10="","FALTA MAPEAR","OK"))</f>
        <v/>
      </c>
    </row>
    <row r="11">
      <c r="A11" s="16" t="n"/>
      <c r="B11" s="28" t="n"/>
      <c r="C11" s="18" t="n"/>
      <c r="D11" s="16" t="n"/>
      <c r="E11" s="35">
        <f>IF($A11="","",IF($D11="","FALTA MAPEAR","OK"))</f>
        <v/>
      </c>
    </row>
    <row r="12">
      <c r="A12" s="16" t="n"/>
      <c r="B12" s="28" t="n"/>
      <c r="C12" s="18" t="n"/>
      <c r="D12" s="16" t="n"/>
      <c r="E12" s="35">
        <f>IF($A12="","",IF($D12="","FALTA MAPEAR","OK"))</f>
        <v/>
      </c>
    </row>
    <row r="13">
      <c r="A13" s="16" t="n"/>
      <c r="B13" s="28" t="n"/>
      <c r="C13" s="18" t="n"/>
      <c r="D13" s="16" t="n"/>
      <c r="E13" s="35">
        <f>IF($A13="","",IF($D13="","FALTA MAPEAR","OK"))</f>
        <v/>
      </c>
    </row>
    <row r="14">
      <c r="A14" s="16" t="n"/>
      <c r="B14" s="28" t="n"/>
      <c r="C14" s="18" t="n"/>
      <c r="D14" s="16" t="n"/>
      <c r="E14" s="35">
        <f>IF($A14="","",IF($D14="","FALTA MAPEAR","OK"))</f>
        <v/>
      </c>
    </row>
    <row r="15">
      <c r="A15" s="16" t="n"/>
      <c r="B15" s="28" t="n"/>
      <c r="C15" s="18" t="n"/>
      <c r="D15" s="16" t="n"/>
      <c r="E15" s="35">
        <f>IF($A15="","",IF($D15="","FALTA MAPEAR","OK"))</f>
        <v/>
      </c>
    </row>
    <row r="16">
      <c r="A16" s="16" t="n"/>
      <c r="B16" s="28" t="n"/>
      <c r="C16" s="18" t="n"/>
      <c r="D16" s="16" t="n"/>
      <c r="E16" s="35">
        <f>IF($A16="","",IF($D16="","FALTA MAPEAR","OK"))</f>
        <v/>
      </c>
    </row>
    <row r="17">
      <c r="A17" s="16" t="n"/>
      <c r="B17" s="28" t="n"/>
      <c r="C17" s="18" t="n"/>
      <c r="D17" s="16" t="n"/>
      <c r="E17" s="35">
        <f>IF($A17="","",IF($D17="","FALTA MAPEAR","OK"))</f>
        <v/>
      </c>
    </row>
    <row r="18">
      <c r="A18" s="16" t="n"/>
      <c r="B18" s="28" t="n"/>
      <c r="C18" s="18" t="n"/>
      <c r="D18" s="16" t="n"/>
      <c r="E18" s="35">
        <f>IF($A18="","",IF($D18="","FALTA MAPEAR","OK"))</f>
        <v/>
      </c>
    </row>
    <row r="19">
      <c r="A19" s="16" t="n"/>
      <c r="B19" s="28" t="n"/>
      <c r="C19" s="18" t="n"/>
      <c r="D19" s="16" t="n"/>
      <c r="E19" s="35">
        <f>IF($A19="","",IF($D19="","FALTA MAPEAR","OK"))</f>
        <v/>
      </c>
    </row>
    <row r="20">
      <c r="A20" s="16" t="n"/>
      <c r="B20" s="28" t="n"/>
      <c r="C20" s="18" t="n"/>
      <c r="D20" s="16" t="n"/>
      <c r="E20" s="35">
        <f>IF($A20="","",IF($D20="","FALTA MAPEAR","OK"))</f>
        <v/>
      </c>
    </row>
    <row r="21">
      <c r="A21" s="16" t="n"/>
      <c r="B21" s="28" t="n"/>
      <c r="C21" s="18" t="n"/>
      <c r="D21" s="16" t="n"/>
      <c r="E21" s="35">
        <f>IF($A21="","",IF($D21="","FALTA MAPEAR","OK"))</f>
        <v/>
      </c>
    </row>
    <row r="22">
      <c r="A22" s="16" t="n"/>
      <c r="B22" s="28" t="n"/>
      <c r="C22" s="18" t="n"/>
      <c r="D22" s="16" t="n"/>
      <c r="E22" s="35">
        <f>IF($A22="","",IF($D22="","FALTA MAPEAR","OK"))</f>
        <v/>
      </c>
    </row>
    <row r="23">
      <c r="A23" s="16" t="n"/>
      <c r="B23" s="28" t="n"/>
      <c r="C23" s="18" t="n"/>
      <c r="D23" s="16" t="n"/>
      <c r="E23" s="35">
        <f>IF($A23="","",IF($D23="","FALTA MAPEAR","OK"))</f>
        <v/>
      </c>
    </row>
    <row r="24">
      <c r="A24" s="16" t="n"/>
      <c r="B24" s="28" t="n"/>
      <c r="C24" s="18" t="n"/>
      <c r="D24" s="16" t="n"/>
      <c r="E24" s="35">
        <f>IF($A24="","",IF($D24="","FALTA MAPEAR","OK"))</f>
        <v/>
      </c>
    </row>
    <row r="25">
      <c r="A25" s="16" t="n"/>
      <c r="B25" s="28" t="n"/>
      <c r="C25" s="18" t="n"/>
      <c r="D25" s="16" t="n"/>
      <c r="E25" s="35">
        <f>IF($A25="","",IF($D25="","FALTA MAPEAR","OK"))</f>
        <v/>
      </c>
    </row>
    <row r="26">
      <c r="A26" s="16" t="n"/>
      <c r="B26" s="28" t="n"/>
      <c r="C26" s="18" t="n"/>
      <c r="D26" s="16" t="n"/>
      <c r="E26" s="35">
        <f>IF($A26="","",IF($D26="","FALTA MAPEAR","OK"))</f>
        <v/>
      </c>
    </row>
    <row r="27">
      <c r="A27" s="16" t="n"/>
      <c r="B27" s="28" t="n"/>
      <c r="C27" s="18" t="n"/>
      <c r="D27" s="16" t="n"/>
      <c r="E27" s="35">
        <f>IF($A27="","",IF($D27="","FALTA MAPEAR","OK"))</f>
        <v/>
      </c>
    </row>
    <row r="28">
      <c r="A28" s="16" t="n"/>
      <c r="B28" s="28" t="n"/>
      <c r="C28" s="18" t="n"/>
      <c r="D28" s="16" t="n"/>
      <c r="E28" s="35">
        <f>IF($A28="","",IF($D28="","FALTA MAPEAR","OK"))</f>
        <v/>
      </c>
    </row>
    <row r="29">
      <c r="A29" s="16" t="n"/>
      <c r="B29" s="28" t="n"/>
      <c r="C29" s="18" t="n"/>
      <c r="D29" s="16" t="n"/>
      <c r="E29" s="35">
        <f>IF($A29="","",IF($D29="","FALTA MAPEAR","OK"))</f>
        <v/>
      </c>
    </row>
    <row r="30">
      <c r="A30" s="16" t="n"/>
      <c r="B30" s="28" t="n"/>
      <c r="C30" s="18" t="n"/>
      <c r="D30" s="16" t="n"/>
      <c r="E30" s="35">
        <f>IF($A30="","",IF($D30="","FALTA MAPEAR","OK"))</f>
        <v/>
      </c>
    </row>
    <row r="31">
      <c r="A31" s="16" t="n"/>
      <c r="B31" s="28" t="n"/>
      <c r="C31" s="18" t="n"/>
      <c r="D31" s="16" t="n"/>
      <c r="E31" s="35">
        <f>IF($A31="","",IF($D31="","FALTA MAPEAR","OK"))</f>
        <v/>
      </c>
    </row>
    <row r="32">
      <c r="A32" s="16" t="n"/>
      <c r="B32" s="28" t="n"/>
      <c r="C32" s="18" t="n"/>
      <c r="D32" s="16" t="n"/>
      <c r="E32" s="35">
        <f>IF($A32="","",IF($D32="","FALTA MAPEAR","OK"))</f>
        <v/>
      </c>
    </row>
    <row r="33">
      <c r="A33" s="16" t="n"/>
      <c r="B33" s="28" t="n"/>
      <c r="C33" s="18" t="n"/>
      <c r="D33" s="16" t="n"/>
      <c r="E33" s="35">
        <f>IF($A33="","",IF($D33="","FALTA MAPEAR","OK"))</f>
        <v/>
      </c>
    </row>
    <row r="34">
      <c r="A34" s="16" t="n"/>
      <c r="B34" s="28" t="n"/>
      <c r="C34" s="18" t="n"/>
      <c r="D34" s="16" t="n"/>
      <c r="E34" s="35">
        <f>IF($A34="","",IF($D34="","FALTA MAPEAR","OK"))</f>
        <v/>
      </c>
    </row>
    <row r="35">
      <c r="A35" s="16" t="n"/>
      <c r="B35" s="28" t="n"/>
      <c r="C35" s="18" t="n"/>
      <c r="D35" s="16" t="n"/>
      <c r="E35" s="35">
        <f>IF($A35="","",IF($D35="","FALTA MAPEAR","OK"))</f>
        <v/>
      </c>
    </row>
    <row r="36">
      <c r="A36" s="16" t="n"/>
      <c r="B36" s="28" t="n"/>
      <c r="C36" s="18" t="n"/>
      <c r="D36" s="16" t="n"/>
      <c r="E36" s="35">
        <f>IF($A36="","",IF($D36="","FALTA MAPEAR","OK"))</f>
        <v/>
      </c>
    </row>
    <row r="37">
      <c r="A37" s="16" t="n"/>
      <c r="B37" s="28" t="n"/>
      <c r="C37" s="18" t="n"/>
      <c r="D37" s="16" t="n"/>
      <c r="E37" s="35">
        <f>IF($A37="","",IF($D37="","FALTA MAPEAR","OK"))</f>
        <v/>
      </c>
    </row>
    <row r="38">
      <c r="A38" s="16" t="n"/>
      <c r="B38" s="28" t="n"/>
      <c r="C38" s="18" t="n"/>
      <c r="D38" s="16" t="n"/>
      <c r="E38" s="35">
        <f>IF($A38="","",IF($D38="","FALTA MAPEAR","OK"))</f>
        <v/>
      </c>
    </row>
    <row r="39">
      <c r="A39" s="16" t="n"/>
      <c r="B39" s="28" t="n"/>
      <c r="C39" s="18" t="n"/>
      <c r="D39" s="16" t="n"/>
      <c r="E39" s="35">
        <f>IF($A39="","",IF($D39="","FALTA MAPEAR","OK"))</f>
        <v/>
      </c>
    </row>
    <row r="40">
      <c r="A40" s="16" t="n"/>
      <c r="B40" s="28" t="n"/>
      <c r="C40" s="18" t="n"/>
      <c r="D40" s="16" t="n"/>
      <c r="E40" s="35">
        <f>IF($A40="","",IF($D40="","FALTA MAPEAR","OK"))</f>
        <v/>
      </c>
    </row>
    <row r="41">
      <c r="A41" s="16" t="n"/>
      <c r="B41" s="28" t="n"/>
      <c r="C41" s="18" t="n"/>
      <c r="D41" s="16" t="n"/>
      <c r="E41" s="35">
        <f>IF($A41="","",IF($D41="","FALTA MAPEAR","OK"))</f>
        <v/>
      </c>
    </row>
    <row r="42">
      <c r="A42" s="16" t="n"/>
      <c r="B42" s="28" t="n"/>
      <c r="C42" s="18" t="n"/>
      <c r="D42" s="16" t="n"/>
      <c r="E42" s="35">
        <f>IF($A42="","",IF($D42="","FALTA MAPEAR","OK"))</f>
        <v/>
      </c>
    </row>
    <row r="43">
      <c r="A43" s="16" t="n"/>
      <c r="B43" s="28" t="n"/>
      <c r="C43" s="18" t="n"/>
      <c r="D43" s="16" t="n"/>
      <c r="E43" s="35">
        <f>IF($A43="","",IF($D43="","FALTA MAPEAR","OK"))</f>
        <v/>
      </c>
    </row>
    <row r="44">
      <c r="A44" s="16" t="n"/>
      <c r="B44" s="28" t="n"/>
      <c r="C44" s="18" t="n"/>
      <c r="D44" s="16" t="n"/>
      <c r="E44" s="35">
        <f>IF($A44="","",IF($D44="","FALTA MAPEAR","OK"))</f>
        <v/>
      </c>
    </row>
    <row r="45">
      <c r="A45" s="16" t="n"/>
      <c r="B45" s="28" t="n"/>
      <c r="C45" s="18" t="n"/>
      <c r="D45" s="16" t="n"/>
      <c r="E45" s="35">
        <f>IF($A45="","",IF($D45="","FALTA MAPEAR","OK"))</f>
        <v/>
      </c>
    </row>
    <row r="46">
      <c r="A46" s="16" t="n"/>
      <c r="B46" s="28" t="n"/>
      <c r="C46" s="18" t="n"/>
      <c r="D46" s="16" t="n"/>
      <c r="E46" s="35">
        <f>IF($A46="","",IF($D46="","FALTA MAPEAR","OK"))</f>
        <v/>
      </c>
    </row>
    <row r="47">
      <c r="A47" s="16" t="n"/>
      <c r="B47" s="28" t="n"/>
      <c r="C47" s="18" t="n"/>
      <c r="D47" s="16" t="n"/>
      <c r="E47" s="35">
        <f>IF($A47="","",IF($D47="","FALTA MAPEAR","OK"))</f>
        <v/>
      </c>
    </row>
    <row r="48">
      <c r="A48" s="16" t="n"/>
      <c r="B48" s="28" t="n"/>
      <c r="C48" s="18" t="n"/>
      <c r="D48" s="16" t="n"/>
      <c r="E48" s="35">
        <f>IF($A48="","",IF($D48="","FALTA MAPEAR","OK"))</f>
        <v/>
      </c>
    </row>
    <row r="49">
      <c r="A49" s="16" t="n"/>
      <c r="B49" s="28" t="n"/>
      <c r="C49" s="18" t="n"/>
      <c r="D49" s="16" t="n"/>
      <c r="E49" s="35">
        <f>IF($A49="","",IF($D49="","FALTA MAPEAR","OK"))</f>
        <v/>
      </c>
    </row>
    <row r="50">
      <c r="A50" s="16" t="n"/>
      <c r="B50" s="28" t="n"/>
      <c r="C50" s="18" t="n"/>
      <c r="D50" s="16" t="n"/>
      <c r="E50" s="35">
        <f>IF($A50="","",IF($D50="","FALTA MAPEAR","OK"))</f>
        <v/>
      </c>
    </row>
    <row r="51">
      <c r="A51" s="16" t="n"/>
      <c r="B51" s="28" t="n"/>
      <c r="C51" s="18" t="n"/>
      <c r="D51" s="16" t="n"/>
      <c r="E51" s="35">
        <f>IF($A51="","",IF($D51="","FALTA MAPEAR","OK"))</f>
        <v/>
      </c>
    </row>
    <row r="52">
      <c r="A52" s="16" t="n"/>
      <c r="B52" s="28" t="n"/>
      <c r="C52" s="18" t="n"/>
      <c r="D52" s="16" t="n"/>
      <c r="E52" s="35">
        <f>IF($A52="","",IF($D52="","FALTA MAPEAR","OK"))</f>
        <v/>
      </c>
    </row>
    <row r="53">
      <c r="A53" s="16" t="n"/>
      <c r="B53" s="28" t="n"/>
      <c r="C53" s="18" t="n"/>
      <c r="D53" s="16" t="n"/>
      <c r="E53" s="35">
        <f>IF($A53="","",IF($D53="","FALTA MAPEAR","OK"))</f>
        <v/>
      </c>
    </row>
    <row r="54">
      <c r="A54" s="16" t="n"/>
      <c r="B54" s="28" t="n"/>
      <c r="C54" s="18" t="n"/>
      <c r="D54" s="16" t="n"/>
      <c r="E54" s="35">
        <f>IF($A54="","",IF($D54="","FALTA MAPEAR","OK"))</f>
        <v/>
      </c>
    </row>
    <row r="55">
      <c r="A55" s="16" t="n"/>
      <c r="B55" s="28" t="n"/>
      <c r="C55" s="18" t="n"/>
      <c r="D55" s="16" t="n"/>
      <c r="E55" s="35">
        <f>IF($A55="","",IF($D55="","FALTA MAPEAR","OK"))</f>
        <v/>
      </c>
    </row>
    <row r="56">
      <c r="A56" s="16" t="n"/>
      <c r="B56" s="28" t="n"/>
      <c r="C56" s="18" t="n"/>
      <c r="D56" s="16" t="n"/>
      <c r="E56" s="35">
        <f>IF($A56="","",IF($D56="","FALTA MAPEAR","OK"))</f>
        <v/>
      </c>
    </row>
    <row r="57">
      <c r="A57" s="16" t="n"/>
      <c r="B57" s="28" t="n"/>
      <c r="C57" s="18" t="n"/>
      <c r="D57" s="16" t="n"/>
      <c r="E57" s="35">
        <f>IF($A57="","",IF($D57="","FALTA MAPEAR","OK"))</f>
        <v/>
      </c>
    </row>
    <row r="58">
      <c r="A58" s="16" t="n"/>
      <c r="B58" s="28" t="n"/>
      <c r="C58" s="18" t="n"/>
      <c r="D58" s="16" t="n"/>
      <c r="E58" s="35">
        <f>IF($A58="","",IF($D58="","FALTA MAPEAR","OK"))</f>
        <v/>
      </c>
    </row>
    <row r="59">
      <c r="A59" s="16" t="n"/>
      <c r="B59" s="28" t="n"/>
      <c r="C59" s="18" t="n"/>
      <c r="D59" s="16" t="n"/>
      <c r="E59" s="35">
        <f>IF($A59="","",IF($D59="","FALTA MAPEAR","OK"))</f>
        <v/>
      </c>
    </row>
    <row r="60">
      <c r="A60" s="16" t="n"/>
      <c r="B60" s="28" t="n"/>
      <c r="C60" s="18" t="n"/>
      <c r="D60" s="16" t="n"/>
      <c r="E60" s="35">
        <f>IF($A60="","",IF($D60="","FALTA MAPEAR","OK"))</f>
        <v/>
      </c>
    </row>
    <row r="61">
      <c r="A61" s="16" t="n"/>
      <c r="B61" s="28" t="n"/>
      <c r="C61" s="18" t="n"/>
      <c r="D61" s="16" t="n"/>
      <c r="E61" s="35">
        <f>IF($A61="","",IF($D61="","FALTA MAPEAR","OK"))</f>
        <v/>
      </c>
    </row>
    <row r="62">
      <c r="A62" s="16" t="n"/>
      <c r="B62" s="28" t="n"/>
      <c r="C62" s="18" t="n"/>
      <c r="D62" s="16" t="n"/>
      <c r="E62" s="35">
        <f>IF($A62="","",IF($D62="","FALTA MAPEAR","OK"))</f>
        <v/>
      </c>
    </row>
    <row r="63">
      <c r="A63" s="16" t="n"/>
      <c r="B63" s="28" t="n"/>
      <c r="C63" s="18" t="n"/>
      <c r="D63" s="16" t="n"/>
      <c r="E63" s="35">
        <f>IF($A63="","",IF($D63="","FALTA MAPEAR","OK"))</f>
        <v/>
      </c>
    </row>
    <row r="64">
      <c r="A64" s="16" t="n"/>
      <c r="B64" s="28" t="n"/>
      <c r="C64" s="18" t="n"/>
      <c r="D64" s="16" t="n"/>
      <c r="E64" s="35">
        <f>IF($A64="","",IF($D64="","FALTA MAPEAR","OK"))</f>
        <v/>
      </c>
    </row>
    <row r="65">
      <c r="A65" s="16" t="n"/>
      <c r="B65" s="28" t="n"/>
      <c r="C65" s="18" t="n"/>
      <c r="D65" s="16" t="n"/>
      <c r="E65" s="35">
        <f>IF($A65="","",IF($D65="","FALTA MAPEAR","OK"))</f>
        <v/>
      </c>
    </row>
    <row r="66">
      <c r="A66" s="16" t="n"/>
      <c r="B66" s="28" t="n"/>
      <c r="C66" s="18" t="n"/>
      <c r="D66" s="16" t="n"/>
      <c r="E66" s="35">
        <f>IF($A66="","",IF($D66="","FALTA MAPEAR","OK"))</f>
        <v/>
      </c>
    </row>
    <row r="67">
      <c r="A67" s="16" t="n"/>
      <c r="B67" s="28" t="n"/>
      <c r="C67" s="18" t="n"/>
      <c r="D67" s="16" t="n"/>
      <c r="E67" s="35">
        <f>IF($A67="","",IF($D67="","FALTA MAPEAR","OK"))</f>
        <v/>
      </c>
    </row>
    <row r="68">
      <c r="A68" s="16" t="n"/>
      <c r="B68" s="28" t="n"/>
      <c r="C68" s="18" t="n"/>
      <c r="D68" s="16" t="n"/>
      <c r="E68" s="35">
        <f>IF($A68="","",IF($D68="","FALTA MAPEAR","OK"))</f>
        <v/>
      </c>
    </row>
    <row r="69">
      <c r="A69" s="16" t="n"/>
      <c r="B69" s="28" t="n"/>
      <c r="C69" s="18" t="n"/>
      <c r="D69" s="16" t="n"/>
      <c r="E69" s="35">
        <f>IF($A69="","",IF($D69="","FALTA MAPEAR","OK"))</f>
        <v/>
      </c>
    </row>
    <row r="70">
      <c r="A70" s="16" t="n"/>
      <c r="B70" s="28" t="n"/>
      <c r="C70" s="18" t="n"/>
      <c r="D70" s="16" t="n"/>
      <c r="E70" s="35">
        <f>IF($A70="","",IF($D70="","FALTA MAPEAR","OK"))</f>
        <v/>
      </c>
    </row>
    <row r="71">
      <c r="A71" s="16" t="n"/>
      <c r="B71" s="28" t="n"/>
      <c r="C71" s="18" t="n"/>
      <c r="D71" s="16" t="n"/>
      <c r="E71" s="35">
        <f>IF($A71="","",IF($D71="","FALTA MAPEAR","OK"))</f>
        <v/>
      </c>
    </row>
    <row r="72">
      <c r="A72" s="16" t="n"/>
      <c r="B72" s="28" t="n"/>
      <c r="C72" s="18" t="n"/>
      <c r="D72" s="16" t="n"/>
      <c r="E72" s="35">
        <f>IF($A72="","",IF($D72="","FALTA MAPEAR","OK"))</f>
        <v/>
      </c>
    </row>
    <row r="73">
      <c r="A73" s="16" t="n"/>
      <c r="B73" s="28" t="n"/>
      <c r="C73" s="18" t="n"/>
      <c r="D73" s="16" t="n"/>
      <c r="E73" s="35">
        <f>IF($A73="","",IF($D73="","FALTA MAPEAR","OK"))</f>
        <v/>
      </c>
    </row>
    <row r="74">
      <c r="A74" s="16" t="n"/>
      <c r="B74" s="28" t="n"/>
      <c r="C74" s="18" t="n"/>
      <c r="D74" s="16" t="n"/>
      <c r="E74" s="35">
        <f>IF($A74="","",IF($D74="","FALTA MAPEAR","OK"))</f>
        <v/>
      </c>
    </row>
    <row r="75">
      <c r="A75" s="16" t="n"/>
      <c r="B75" s="28" t="n"/>
      <c r="C75" s="18" t="n"/>
      <c r="D75" s="16" t="n"/>
      <c r="E75" s="35">
        <f>IF($A75="","",IF($D75="","FALTA MAPEAR","OK"))</f>
        <v/>
      </c>
    </row>
    <row r="76">
      <c r="A76" s="16" t="n"/>
      <c r="B76" s="28" t="n"/>
      <c r="C76" s="18" t="n"/>
      <c r="D76" s="16" t="n"/>
      <c r="E76" s="35">
        <f>IF($A76="","",IF($D76="","FALTA MAPEAR","OK"))</f>
        <v/>
      </c>
    </row>
    <row r="77">
      <c r="A77" s="16" t="n"/>
      <c r="B77" s="28" t="n"/>
      <c r="C77" s="18" t="n"/>
      <c r="D77" s="16" t="n"/>
      <c r="E77" s="35">
        <f>IF($A77="","",IF($D77="","FALTA MAPEAR","OK"))</f>
        <v/>
      </c>
    </row>
    <row r="78">
      <c r="A78" s="16" t="n"/>
      <c r="B78" s="28" t="n"/>
      <c r="C78" s="18" t="n"/>
      <c r="D78" s="16" t="n"/>
      <c r="E78" s="35">
        <f>IF($A78="","",IF($D78="","FALTA MAPEAR","OK"))</f>
        <v/>
      </c>
    </row>
    <row r="79">
      <c r="A79" s="16" t="n"/>
      <c r="B79" s="28" t="n"/>
      <c r="C79" s="18" t="n"/>
      <c r="D79" s="16" t="n"/>
      <c r="E79" s="35">
        <f>IF($A79="","",IF($D79="","FALTA MAPEAR","OK"))</f>
        <v/>
      </c>
    </row>
    <row r="80">
      <c r="A80" s="16" t="n"/>
      <c r="B80" s="28" t="n"/>
      <c r="C80" s="18" t="n"/>
      <c r="D80" s="16" t="n"/>
      <c r="E80" s="35">
        <f>IF($A80="","",IF($D80="","FALTA MAPEAR","OK"))</f>
        <v/>
      </c>
    </row>
    <row r="81">
      <c r="A81" s="16" t="n"/>
      <c r="B81" s="28" t="n"/>
      <c r="C81" s="18" t="n"/>
      <c r="D81" s="16" t="n"/>
      <c r="E81" s="35">
        <f>IF($A81="","",IF($D81="","FALTA MAPEAR","OK"))</f>
        <v/>
      </c>
    </row>
    <row r="82">
      <c r="A82" s="16" t="n"/>
      <c r="B82" s="28" t="n"/>
      <c r="C82" s="18" t="n"/>
      <c r="D82" s="16" t="n"/>
      <c r="E82" s="35">
        <f>IF($A82="","",IF($D82="","FALTA MAPEAR","OK"))</f>
        <v/>
      </c>
    </row>
    <row r="83">
      <c r="A83" s="16" t="n"/>
      <c r="B83" s="28" t="n"/>
      <c r="C83" s="18" t="n"/>
      <c r="D83" s="16" t="n"/>
      <c r="E83" s="35">
        <f>IF($A83="","",IF($D83="","FALTA MAPEAR","OK"))</f>
        <v/>
      </c>
    </row>
    <row r="84">
      <c r="A84" s="16" t="n"/>
      <c r="B84" s="28" t="n"/>
      <c r="C84" s="18" t="n"/>
      <c r="D84" s="16" t="n"/>
      <c r="E84" s="35">
        <f>IF($A84="","",IF($D84="","FALTA MAPEAR","OK"))</f>
        <v/>
      </c>
    </row>
    <row r="85">
      <c r="A85" s="16" t="n"/>
      <c r="B85" s="28" t="n"/>
      <c r="C85" s="18" t="n"/>
      <c r="D85" s="16" t="n"/>
      <c r="E85" s="35">
        <f>IF($A85="","",IF($D85="","FALTA MAPEAR","OK"))</f>
        <v/>
      </c>
    </row>
    <row r="86">
      <c r="A86" s="16" t="n"/>
      <c r="B86" s="28" t="n"/>
      <c r="C86" s="18" t="n"/>
      <c r="D86" s="16" t="n"/>
      <c r="E86" s="35">
        <f>IF($A86="","",IF($D86="","FALTA MAPEAR","OK"))</f>
        <v/>
      </c>
    </row>
    <row r="87">
      <c r="A87" s="16" t="n"/>
      <c r="B87" s="28" t="n"/>
      <c r="C87" s="18" t="n"/>
      <c r="D87" s="16" t="n"/>
      <c r="E87" s="35">
        <f>IF($A87="","",IF($D87="","FALTA MAPEAR","OK"))</f>
        <v/>
      </c>
    </row>
    <row r="88">
      <c r="A88" s="16" t="n"/>
      <c r="B88" s="28" t="n"/>
      <c r="C88" s="18" t="n"/>
      <c r="D88" s="16" t="n"/>
      <c r="E88" s="35">
        <f>IF($A88="","",IF($D88="","FALTA MAPEAR","OK"))</f>
        <v/>
      </c>
    </row>
    <row r="89">
      <c r="A89" s="16" t="n"/>
      <c r="B89" s="28" t="n"/>
      <c r="C89" s="18" t="n"/>
      <c r="D89" s="16" t="n"/>
      <c r="E89" s="35">
        <f>IF($A89="","",IF($D89="","FALTA MAPEAR","OK"))</f>
        <v/>
      </c>
    </row>
    <row r="90">
      <c r="A90" s="16" t="n"/>
      <c r="B90" s="28" t="n"/>
      <c r="C90" s="18" t="n"/>
      <c r="D90" s="16" t="n"/>
      <c r="E90" s="35">
        <f>IF($A90="","",IF($D90="","FALTA MAPEAR","OK"))</f>
        <v/>
      </c>
    </row>
    <row r="91">
      <c r="A91" s="16" t="n"/>
      <c r="B91" s="28" t="n"/>
      <c r="C91" s="18" t="n"/>
      <c r="D91" s="16" t="n"/>
      <c r="E91" s="35">
        <f>IF($A91="","",IF($D91="","FALTA MAPEAR","OK"))</f>
        <v/>
      </c>
    </row>
    <row r="92">
      <c r="A92" s="16" t="n"/>
      <c r="B92" s="28" t="n"/>
      <c r="C92" s="18" t="n"/>
      <c r="D92" s="16" t="n"/>
      <c r="E92" s="35">
        <f>IF($A92="","",IF($D92="","FALTA MAPEAR","OK"))</f>
        <v/>
      </c>
    </row>
    <row r="93">
      <c r="A93" s="16" t="n"/>
      <c r="B93" s="28" t="n"/>
      <c r="C93" s="18" t="n"/>
      <c r="D93" s="16" t="n"/>
      <c r="E93" s="35">
        <f>IF($A93="","",IF($D93="","FALTA MAPEAR","OK"))</f>
        <v/>
      </c>
    </row>
    <row r="94">
      <c r="A94" s="16" t="n"/>
      <c r="B94" s="28" t="n"/>
      <c r="C94" s="18" t="n"/>
      <c r="D94" s="16" t="n"/>
      <c r="E94" s="35">
        <f>IF($A94="","",IF($D94="","FALTA MAPEAR","OK"))</f>
        <v/>
      </c>
    </row>
    <row r="95">
      <c r="A95" s="16" t="n"/>
      <c r="B95" s="28" t="n"/>
      <c r="C95" s="18" t="n"/>
      <c r="D95" s="16" t="n"/>
      <c r="E95" s="35">
        <f>IF($A95="","",IF($D95="","FALTA MAPEAR","OK"))</f>
        <v/>
      </c>
    </row>
    <row r="96">
      <c r="A96" s="16" t="n"/>
      <c r="B96" s="28" t="n"/>
      <c r="C96" s="18" t="n"/>
      <c r="D96" s="16" t="n"/>
      <c r="E96" s="35">
        <f>IF($A96="","",IF($D96="","FALTA MAPEAR","OK"))</f>
        <v/>
      </c>
    </row>
    <row r="97">
      <c r="A97" s="16" t="n"/>
      <c r="B97" s="28" t="n"/>
      <c r="C97" s="18" t="n"/>
      <c r="D97" s="16" t="n"/>
      <c r="E97" s="35">
        <f>IF($A97="","",IF($D97="","FALTA MAPEAR","OK"))</f>
        <v/>
      </c>
    </row>
    <row r="98">
      <c r="A98" s="16" t="n"/>
      <c r="B98" s="28" t="n"/>
      <c r="C98" s="18" t="n"/>
      <c r="D98" s="16" t="n"/>
      <c r="E98" s="35">
        <f>IF($A98="","",IF($D98="","FALTA MAPEAR","OK"))</f>
        <v/>
      </c>
    </row>
    <row r="99">
      <c r="A99" s="16" t="n"/>
      <c r="B99" s="28" t="n"/>
      <c r="C99" s="18" t="n"/>
      <c r="D99" s="16" t="n"/>
      <c r="E99" s="35">
        <f>IF($A99="","",IF($D99="","FALTA MAPEAR","OK"))</f>
        <v/>
      </c>
    </row>
    <row r="100">
      <c r="A100" s="16" t="n"/>
      <c r="B100" s="28" t="n"/>
      <c r="C100" s="18" t="n"/>
      <c r="D100" s="16" t="n"/>
      <c r="E100" s="35">
        <f>IF($A100="","",IF($D100="","FALTA MAPEAR","OK"))</f>
        <v/>
      </c>
    </row>
    <row r="101">
      <c r="A101" s="16" t="n"/>
      <c r="B101" s="28" t="n"/>
      <c r="C101" s="18" t="n"/>
      <c r="D101" s="16" t="n"/>
      <c r="E101" s="35">
        <f>IF($A101="","",IF($D101="","FALTA MAPEAR","OK"))</f>
        <v/>
      </c>
    </row>
    <row r="102">
      <c r="A102" s="16" t="n"/>
      <c r="B102" s="28" t="n"/>
      <c r="C102" s="18" t="n"/>
      <c r="D102" s="16" t="n"/>
      <c r="E102" s="35">
        <f>IF($A102="","",IF($D102="","FALTA MAPEAR","OK"))</f>
        <v/>
      </c>
    </row>
    <row r="103">
      <c r="A103" s="16" t="n"/>
      <c r="B103" s="28" t="n"/>
      <c r="C103" s="18" t="n"/>
      <c r="D103" s="16" t="n"/>
      <c r="E103" s="35">
        <f>IF($A103="","",IF($D103="","FALTA MAPEAR","OK"))</f>
        <v/>
      </c>
    </row>
    <row r="104">
      <c r="A104" s="16" t="n"/>
      <c r="B104" s="28" t="n"/>
      <c r="C104" s="18" t="n"/>
      <c r="D104" s="16" t="n"/>
      <c r="E104" s="35">
        <f>IF($A104="","",IF($D104="","FALTA MAPEAR","OK"))</f>
        <v/>
      </c>
    </row>
    <row r="105">
      <c r="A105" s="16" t="n"/>
      <c r="B105" s="28" t="n"/>
      <c r="C105" s="18" t="n"/>
      <c r="D105" s="16" t="n"/>
      <c r="E105" s="35">
        <f>IF($A105="","",IF($D105="","FALTA MAPEAR","OK"))</f>
        <v/>
      </c>
    </row>
    <row r="106">
      <c r="A106" s="16" t="n"/>
      <c r="B106" s="28" t="n"/>
      <c r="C106" s="18" t="n"/>
      <c r="D106" s="16" t="n"/>
      <c r="E106" s="35">
        <f>IF($A106="","",IF($D106="","FALTA MAPEAR","OK"))</f>
        <v/>
      </c>
    </row>
    <row r="107">
      <c r="A107" s="16" t="n"/>
      <c r="B107" s="28" t="n"/>
      <c r="C107" s="18" t="n"/>
      <c r="D107" s="16" t="n"/>
      <c r="E107" s="35">
        <f>IF($A107="","",IF($D107="","FALTA MAPEAR","OK"))</f>
        <v/>
      </c>
    </row>
    <row r="108">
      <c r="A108" s="16" t="n"/>
      <c r="B108" s="28" t="n"/>
      <c r="C108" s="18" t="n"/>
      <c r="D108" s="16" t="n"/>
      <c r="E108" s="35">
        <f>IF($A108="","",IF($D108="","FALTA MAPEAR","OK"))</f>
        <v/>
      </c>
    </row>
    <row r="109">
      <c r="A109" s="16" t="n"/>
      <c r="B109" s="28" t="n"/>
      <c r="C109" s="18" t="n"/>
      <c r="D109" s="16" t="n"/>
      <c r="E109" s="35">
        <f>IF($A109="","",IF($D109="","FALTA MAPEAR","OK"))</f>
        <v/>
      </c>
    </row>
    <row r="110">
      <c r="A110" s="16" t="n"/>
      <c r="B110" s="28" t="n"/>
      <c r="C110" s="18" t="n"/>
      <c r="D110" s="16" t="n"/>
      <c r="E110" s="35">
        <f>IF($A110="","",IF($D110="","FALTA MAPEAR","OK"))</f>
        <v/>
      </c>
    </row>
    <row r="111">
      <c r="A111" s="16" t="n"/>
      <c r="B111" s="28" t="n"/>
      <c r="C111" s="18" t="n"/>
      <c r="D111" s="16" t="n"/>
      <c r="E111" s="35">
        <f>IF($A111="","",IF($D111="","FALTA MAPEAR","OK"))</f>
        <v/>
      </c>
    </row>
    <row r="112">
      <c r="A112" s="16" t="n"/>
      <c r="B112" s="28" t="n"/>
      <c r="C112" s="18" t="n"/>
      <c r="D112" s="16" t="n"/>
      <c r="E112" s="35">
        <f>IF($A112="","",IF($D112="","FALTA MAPEAR","OK"))</f>
        <v/>
      </c>
    </row>
    <row r="113">
      <c r="A113" s="16" t="n"/>
      <c r="B113" s="28" t="n"/>
      <c r="C113" s="18" t="n"/>
      <c r="D113" s="16" t="n"/>
      <c r="E113" s="35">
        <f>IF($A113="","",IF($D113="","FALTA MAPEAR","OK"))</f>
        <v/>
      </c>
    </row>
    <row r="114">
      <c r="A114" s="16" t="n"/>
      <c r="B114" s="28" t="n"/>
      <c r="C114" s="18" t="n"/>
      <c r="D114" s="16" t="n"/>
      <c r="E114" s="35">
        <f>IF($A114="","",IF($D114="","FALTA MAPEAR","OK"))</f>
        <v/>
      </c>
    </row>
    <row r="115">
      <c r="A115" s="16" t="n"/>
      <c r="B115" s="28" t="n"/>
      <c r="C115" s="18" t="n"/>
      <c r="D115" s="16" t="n"/>
      <c r="E115" s="35">
        <f>IF($A115="","",IF($D115="","FALTA MAPEAR","OK"))</f>
        <v/>
      </c>
    </row>
    <row r="116">
      <c r="A116" s="16" t="n"/>
      <c r="B116" s="28" t="n"/>
      <c r="C116" s="18" t="n"/>
      <c r="D116" s="16" t="n"/>
      <c r="E116" s="35">
        <f>IF($A116="","",IF($D116="","FALTA MAPEAR","OK"))</f>
        <v/>
      </c>
    </row>
    <row r="117">
      <c r="A117" s="16" t="n"/>
      <c r="B117" s="28" t="n"/>
      <c r="C117" s="18" t="n"/>
      <c r="D117" s="16" t="n"/>
      <c r="E117" s="35">
        <f>IF($A117="","",IF($D117="","FALTA MAPEAR","OK"))</f>
        <v/>
      </c>
    </row>
    <row r="118">
      <c r="A118" s="16" t="n"/>
      <c r="B118" s="28" t="n"/>
      <c r="C118" s="18" t="n"/>
      <c r="D118" s="16" t="n"/>
      <c r="E118" s="35">
        <f>IF($A118="","",IF($D118="","FALTA MAPEAR","OK"))</f>
        <v/>
      </c>
    </row>
    <row r="119">
      <c r="A119" s="16" t="n"/>
      <c r="B119" s="28" t="n"/>
      <c r="C119" s="18" t="n"/>
      <c r="D119" s="16" t="n"/>
      <c r="E119" s="35">
        <f>IF($A119="","",IF($D119="","FALTA MAPEAR","OK"))</f>
        <v/>
      </c>
    </row>
    <row r="120">
      <c r="A120" s="16" t="n"/>
      <c r="B120" s="28" t="n"/>
      <c r="C120" s="18" t="n"/>
      <c r="D120" s="16" t="n"/>
      <c r="E120" s="35">
        <f>IF($A120="","",IF($D120="","FALTA MAPEAR","OK"))</f>
        <v/>
      </c>
    </row>
    <row r="121">
      <c r="A121" s="16" t="n"/>
      <c r="B121" s="28" t="n"/>
      <c r="C121" s="18" t="n"/>
      <c r="D121" s="16" t="n"/>
      <c r="E121" s="35">
        <f>IF($A121="","",IF($D121="","FALTA MAPEAR","OK"))</f>
        <v/>
      </c>
    </row>
    <row r="122">
      <c r="A122" s="16" t="n"/>
      <c r="B122" s="28" t="n"/>
      <c r="C122" s="18" t="n"/>
      <c r="D122" s="16" t="n"/>
      <c r="E122" s="35">
        <f>IF($A122="","",IF($D122="","FALTA MAPEAR","OK"))</f>
        <v/>
      </c>
    </row>
    <row r="123">
      <c r="A123" s="16" t="n"/>
      <c r="B123" s="28" t="n"/>
      <c r="C123" s="18" t="n"/>
      <c r="D123" s="16" t="n"/>
      <c r="E123" s="35">
        <f>IF($A123="","",IF($D123="","FALTA MAPEAR","OK"))</f>
        <v/>
      </c>
    </row>
    <row r="124">
      <c r="A124" s="16" t="n"/>
      <c r="B124" s="28" t="n"/>
      <c r="C124" s="18" t="n"/>
      <c r="D124" s="16" t="n"/>
      <c r="E124" s="35">
        <f>IF($A124="","",IF($D124="","FALTA MAPEAR","OK"))</f>
        <v/>
      </c>
    </row>
    <row r="125">
      <c r="A125" s="16" t="n"/>
      <c r="B125" s="28" t="n"/>
      <c r="C125" s="18" t="n"/>
      <c r="D125" s="16" t="n"/>
      <c r="E125" s="35">
        <f>IF($A125="","",IF($D125="","FALTA MAPEAR","OK"))</f>
        <v/>
      </c>
    </row>
    <row r="126">
      <c r="A126" s="16" t="n"/>
      <c r="B126" s="28" t="n"/>
      <c r="C126" s="18" t="n"/>
      <c r="D126" s="16" t="n"/>
      <c r="E126" s="35">
        <f>IF($A126="","",IF($D126="","FALTA MAPEAR","OK"))</f>
        <v/>
      </c>
    </row>
    <row r="127">
      <c r="A127" s="16" t="n"/>
      <c r="B127" s="28" t="n"/>
      <c r="C127" s="18" t="n"/>
      <c r="D127" s="16" t="n"/>
      <c r="E127" s="35">
        <f>IF($A127="","",IF($D127="","FALTA MAPEAR","OK"))</f>
        <v/>
      </c>
    </row>
    <row r="128">
      <c r="A128" s="16" t="n"/>
      <c r="B128" s="28" t="n"/>
      <c r="C128" s="18" t="n"/>
      <c r="D128" s="16" t="n"/>
      <c r="E128" s="35">
        <f>IF($A128="","",IF($D128="","FALTA MAPEAR","OK"))</f>
        <v/>
      </c>
    </row>
    <row r="129">
      <c r="A129" s="16" t="n"/>
      <c r="B129" s="28" t="n"/>
      <c r="C129" s="18" t="n"/>
      <c r="D129" s="16" t="n"/>
      <c r="E129" s="35">
        <f>IF($A129="","",IF($D129="","FALTA MAPEAR","OK"))</f>
        <v/>
      </c>
    </row>
    <row r="130">
      <c r="A130" s="16" t="n"/>
      <c r="B130" s="28" t="n"/>
      <c r="C130" s="18" t="n"/>
      <c r="D130" s="16" t="n"/>
      <c r="E130" s="35">
        <f>IF($A130="","",IF($D130="","FALTA MAPEAR","OK"))</f>
        <v/>
      </c>
    </row>
    <row r="131">
      <c r="A131" s="16" t="n"/>
      <c r="B131" s="28" t="n"/>
      <c r="C131" s="18" t="n"/>
      <c r="D131" s="16" t="n"/>
      <c r="E131" s="35">
        <f>IF($A131="","",IF($D131="","FALTA MAPEAR","OK"))</f>
        <v/>
      </c>
    </row>
    <row r="132">
      <c r="A132" s="16" t="n"/>
      <c r="B132" s="28" t="n"/>
      <c r="C132" s="18" t="n"/>
      <c r="D132" s="16" t="n"/>
      <c r="E132" s="35">
        <f>IF($A132="","",IF($D132="","FALTA MAPEAR","OK"))</f>
        <v/>
      </c>
    </row>
    <row r="133">
      <c r="A133" s="16" t="n"/>
      <c r="B133" s="28" t="n"/>
      <c r="C133" s="18" t="n"/>
      <c r="D133" s="16" t="n"/>
      <c r="E133" s="35">
        <f>IF($A133="","",IF($D133="","FALTA MAPEAR","OK"))</f>
        <v/>
      </c>
    </row>
    <row r="134">
      <c r="A134" s="16" t="n"/>
      <c r="B134" s="28" t="n"/>
      <c r="C134" s="18" t="n"/>
      <c r="D134" s="16" t="n"/>
      <c r="E134" s="35">
        <f>IF($A134="","",IF($D134="","FALTA MAPEAR","OK"))</f>
        <v/>
      </c>
    </row>
    <row r="135">
      <c r="A135" s="16" t="n"/>
      <c r="B135" s="28" t="n"/>
      <c r="C135" s="18" t="n"/>
      <c r="D135" s="16" t="n"/>
      <c r="E135" s="35">
        <f>IF($A135="","",IF($D135="","FALTA MAPEAR","OK"))</f>
        <v/>
      </c>
    </row>
    <row r="136">
      <c r="A136" s="16" t="n"/>
      <c r="B136" s="28" t="n"/>
      <c r="C136" s="18" t="n"/>
      <c r="D136" s="16" t="n"/>
      <c r="E136" s="35">
        <f>IF($A136="","",IF($D136="","FALTA MAPEAR","OK"))</f>
        <v/>
      </c>
    </row>
    <row r="137">
      <c r="A137" s="16" t="n"/>
      <c r="B137" s="28" t="n"/>
      <c r="C137" s="18" t="n"/>
      <c r="D137" s="16" t="n"/>
      <c r="E137" s="35">
        <f>IF($A137="","",IF($D137="","FALTA MAPEAR","OK"))</f>
        <v/>
      </c>
    </row>
    <row r="138">
      <c r="A138" s="16" t="n"/>
      <c r="B138" s="28" t="n"/>
      <c r="C138" s="18" t="n"/>
      <c r="D138" s="16" t="n"/>
      <c r="E138" s="35">
        <f>IF($A138="","",IF($D138="","FALTA MAPEAR","OK"))</f>
        <v/>
      </c>
    </row>
    <row r="139">
      <c r="A139" s="16" t="n"/>
      <c r="B139" s="28" t="n"/>
      <c r="C139" s="18" t="n"/>
      <c r="D139" s="16" t="n"/>
      <c r="E139" s="35">
        <f>IF($A139="","",IF($D139="","FALTA MAPEAR","OK"))</f>
        <v/>
      </c>
    </row>
    <row r="140">
      <c r="A140" s="16" t="n"/>
      <c r="B140" s="28" t="n"/>
      <c r="C140" s="18" t="n"/>
      <c r="D140" s="16" t="n"/>
      <c r="E140" s="35">
        <f>IF($A140="","",IF($D140="","FALTA MAPEAR","OK"))</f>
        <v/>
      </c>
    </row>
    <row r="141">
      <c r="A141" s="16" t="n"/>
      <c r="B141" s="28" t="n"/>
      <c r="C141" s="18" t="n"/>
      <c r="D141" s="16" t="n"/>
      <c r="E141" s="35">
        <f>IF($A141="","",IF($D141="","FALTA MAPEAR","OK"))</f>
        <v/>
      </c>
    </row>
    <row r="142">
      <c r="A142" s="16" t="n"/>
      <c r="B142" s="28" t="n"/>
      <c r="C142" s="18" t="n"/>
      <c r="D142" s="16" t="n"/>
      <c r="E142" s="35">
        <f>IF($A142="","",IF($D142="","FALTA MAPEAR","OK"))</f>
        <v/>
      </c>
    </row>
    <row r="143">
      <c r="A143" s="16" t="n"/>
      <c r="B143" s="28" t="n"/>
      <c r="C143" s="18" t="n"/>
      <c r="D143" s="16" t="n"/>
      <c r="E143" s="35">
        <f>IF($A143="","",IF($D143="","FALTA MAPEAR","OK"))</f>
        <v/>
      </c>
    </row>
    <row r="144">
      <c r="A144" s="16" t="n"/>
      <c r="B144" s="28" t="n"/>
      <c r="C144" s="18" t="n"/>
      <c r="D144" s="16" t="n"/>
      <c r="E144" s="35">
        <f>IF($A144="","",IF($D144="","FALTA MAPEAR","OK"))</f>
        <v/>
      </c>
    </row>
    <row r="145">
      <c r="A145" s="16" t="n"/>
      <c r="B145" s="28" t="n"/>
      <c r="C145" s="18" t="n"/>
      <c r="D145" s="16" t="n"/>
      <c r="E145" s="35">
        <f>IF($A145="","",IF($D145="","FALTA MAPEAR","OK"))</f>
        <v/>
      </c>
    </row>
    <row r="146">
      <c r="A146" s="16" t="n"/>
      <c r="B146" s="28" t="n"/>
      <c r="C146" s="18" t="n"/>
      <c r="D146" s="16" t="n"/>
      <c r="E146" s="35">
        <f>IF($A146="","",IF($D146="","FALTA MAPEAR","OK"))</f>
        <v/>
      </c>
    </row>
    <row r="147">
      <c r="A147" s="16" t="n"/>
      <c r="B147" s="28" t="n"/>
      <c r="C147" s="18" t="n"/>
      <c r="D147" s="16" t="n"/>
      <c r="E147" s="35">
        <f>IF($A147="","",IF($D147="","FALTA MAPEAR","OK"))</f>
        <v/>
      </c>
    </row>
    <row r="148">
      <c r="A148" s="16" t="n"/>
      <c r="B148" s="28" t="n"/>
      <c r="C148" s="18" t="n"/>
      <c r="D148" s="16" t="n"/>
      <c r="E148" s="35">
        <f>IF($A148="","",IF($D148="","FALTA MAPEAR","OK"))</f>
        <v/>
      </c>
    </row>
    <row r="149">
      <c r="A149" s="16" t="n"/>
      <c r="B149" s="28" t="n"/>
      <c r="C149" s="18" t="n"/>
      <c r="D149" s="16" t="n"/>
      <c r="E149" s="35">
        <f>IF($A149="","",IF($D149="","FALTA MAPEAR","OK"))</f>
        <v/>
      </c>
    </row>
    <row r="150">
      <c r="A150" s="16" t="n"/>
      <c r="B150" s="28" t="n"/>
      <c r="C150" s="18" t="n"/>
      <c r="D150" s="16" t="n"/>
      <c r="E150" s="35">
        <f>IF($A150="","",IF($D150="","FALTA MAPEAR","OK"))</f>
        <v/>
      </c>
    </row>
    <row r="151">
      <c r="A151" s="16" t="n"/>
      <c r="B151" s="28" t="n"/>
      <c r="C151" s="18" t="n"/>
      <c r="D151" s="16" t="n"/>
      <c r="E151" s="35">
        <f>IF($A151="","",IF($D151="","FALTA MAPEAR","OK"))</f>
        <v/>
      </c>
    </row>
    <row r="152">
      <c r="A152" s="16" t="n"/>
      <c r="B152" s="28" t="n"/>
      <c r="C152" s="18" t="n"/>
      <c r="D152" s="16" t="n"/>
      <c r="E152" s="35">
        <f>IF($A152="","",IF($D152="","FALTA MAPEAR","OK"))</f>
        <v/>
      </c>
    </row>
    <row r="153">
      <c r="A153" s="16" t="n"/>
      <c r="B153" s="28" t="n"/>
      <c r="C153" s="18" t="n"/>
      <c r="D153" s="16" t="n"/>
      <c r="E153" s="35">
        <f>IF($A153="","",IF($D153="","FALTA MAPEAR","OK"))</f>
        <v/>
      </c>
    </row>
    <row r="154">
      <c r="A154" s="16" t="n"/>
      <c r="B154" s="28" t="n"/>
      <c r="C154" s="18" t="n"/>
      <c r="D154" s="16" t="n"/>
      <c r="E154" s="35">
        <f>IF($A154="","",IF($D154="","FALTA MAPEAR","OK"))</f>
        <v/>
      </c>
    </row>
    <row r="155">
      <c r="A155" s="16" t="n"/>
      <c r="B155" s="28" t="n"/>
      <c r="C155" s="18" t="n"/>
      <c r="D155" s="16" t="n"/>
      <c r="E155" s="35">
        <f>IF($A155="","",IF($D155="","FALTA MAPEAR","OK"))</f>
        <v/>
      </c>
    </row>
    <row r="156">
      <c r="A156" s="16" t="n"/>
      <c r="B156" s="28" t="n"/>
      <c r="C156" s="18" t="n"/>
      <c r="D156" s="16" t="n"/>
      <c r="E156" s="35">
        <f>IF($A156="","",IF($D156="","FALTA MAPEAR","OK"))</f>
        <v/>
      </c>
    </row>
    <row r="157">
      <c r="A157" s="16" t="n"/>
      <c r="B157" s="28" t="n"/>
      <c r="C157" s="18" t="n"/>
      <c r="D157" s="16" t="n"/>
      <c r="E157" s="35">
        <f>IF($A157="","",IF($D157="","FALTA MAPEAR","OK"))</f>
        <v/>
      </c>
    </row>
    <row r="158">
      <c r="A158" s="16" t="n"/>
      <c r="B158" s="28" t="n"/>
      <c r="C158" s="18" t="n"/>
      <c r="D158" s="16" t="n"/>
      <c r="E158" s="35">
        <f>IF($A158="","",IF($D158="","FALTA MAPEAR","OK"))</f>
        <v/>
      </c>
    </row>
    <row r="159">
      <c r="A159" s="16" t="n"/>
      <c r="B159" s="28" t="n"/>
      <c r="C159" s="18" t="n"/>
      <c r="D159" s="16" t="n"/>
      <c r="E159" s="35">
        <f>IF($A159="","",IF($D159="","FALTA MAPEAR","OK"))</f>
        <v/>
      </c>
    </row>
    <row r="160">
      <c r="A160" s="16" t="n"/>
      <c r="B160" s="28" t="n"/>
      <c r="C160" s="18" t="n"/>
      <c r="D160" s="16" t="n"/>
      <c r="E160" s="35">
        <f>IF($A160="","",IF($D160="","FALTA MAPEAR","OK"))</f>
        <v/>
      </c>
    </row>
    <row r="161">
      <c r="A161" s="16" t="n"/>
      <c r="B161" s="28" t="n"/>
      <c r="C161" s="18" t="n"/>
      <c r="D161" s="16" t="n"/>
      <c r="E161" s="35">
        <f>IF($A161="","",IF($D161="","FALTA MAPEAR","OK"))</f>
        <v/>
      </c>
    </row>
    <row r="162">
      <c r="A162" s="16" t="n"/>
      <c r="B162" s="28" t="n"/>
      <c r="C162" s="18" t="n"/>
      <c r="D162" s="16" t="n"/>
      <c r="E162" s="35">
        <f>IF($A162="","",IF($D162="","FALTA MAPEAR","OK"))</f>
        <v/>
      </c>
    </row>
    <row r="163">
      <c r="A163" s="16" t="n"/>
      <c r="B163" s="28" t="n"/>
      <c r="C163" s="18" t="n"/>
      <c r="D163" s="16" t="n"/>
      <c r="E163" s="35">
        <f>IF($A163="","",IF($D163="","FALTA MAPEAR","OK"))</f>
        <v/>
      </c>
    </row>
    <row r="164">
      <c r="A164" s="16" t="n"/>
      <c r="B164" s="28" t="n"/>
      <c r="C164" s="18" t="n"/>
      <c r="D164" s="16" t="n"/>
      <c r="E164" s="35">
        <f>IF($A164="","",IF($D164="","FALTA MAPEAR","OK"))</f>
        <v/>
      </c>
    </row>
    <row r="165">
      <c r="A165" s="16" t="n"/>
      <c r="B165" s="28" t="n"/>
      <c r="C165" s="18" t="n"/>
      <c r="D165" s="16" t="n"/>
      <c r="E165" s="35">
        <f>IF($A165="","",IF($D165="","FALTA MAPEAR","OK"))</f>
        <v/>
      </c>
    </row>
    <row r="166">
      <c r="A166" s="16" t="n"/>
      <c r="B166" s="28" t="n"/>
      <c r="C166" s="18" t="n"/>
      <c r="D166" s="16" t="n"/>
      <c r="E166" s="35">
        <f>IF($A166="","",IF($D166="","FALTA MAPEAR","OK"))</f>
        <v/>
      </c>
    </row>
    <row r="167">
      <c r="A167" s="16" t="n"/>
      <c r="B167" s="28" t="n"/>
      <c r="C167" s="18" t="n"/>
      <c r="D167" s="16" t="n"/>
      <c r="E167" s="35">
        <f>IF($A167="","",IF($D167="","FALTA MAPEAR","OK"))</f>
        <v/>
      </c>
    </row>
    <row r="168">
      <c r="A168" s="16" t="n"/>
      <c r="B168" s="28" t="n"/>
      <c r="C168" s="18" t="n"/>
      <c r="D168" s="16" t="n"/>
      <c r="E168" s="35">
        <f>IF($A168="","",IF($D168="","FALTA MAPEAR","OK"))</f>
        <v/>
      </c>
    </row>
    <row r="169">
      <c r="A169" s="16" t="n"/>
      <c r="B169" s="28" t="n"/>
      <c r="C169" s="18" t="n"/>
      <c r="D169" s="16" t="n"/>
      <c r="E169" s="35">
        <f>IF($A169="","",IF($D169="","FALTA MAPEAR","OK"))</f>
        <v/>
      </c>
    </row>
    <row r="170">
      <c r="A170" s="16" t="n"/>
      <c r="B170" s="28" t="n"/>
      <c r="C170" s="18" t="n"/>
      <c r="D170" s="16" t="n"/>
      <c r="E170" s="35">
        <f>IF($A170="","",IF($D170="","FALTA MAPEAR","OK"))</f>
        <v/>
      </c>
    </row>
    <row r="171">
      <c r="A171" s="16" t="n"/>
      <c r="B171" s="28" t="n"/>
      <c r="C171" s="18" t="n"/>
      <c r="D171" s="16" t="n"/>
      <c r="E171" s="35">
        <f>IF($A171="","",IF($D171="","FALTA MAPEAR","OK"))</f>
        <v/>
      </c>
    </row>
    <row r="172">
      <c r="A172" s="16" t="n"/>
      <c r="B172" s="28" t="n"/>
      <c r="C172" s="18" t="n"/>
      <c r="D172" s="16" t="n"/>
      <c r="E172" s="35">
        <f>IF($A172="","",IF($D172="","FALTA MAPEAR","OK"))</f>
        <v/>
      </c>
    </row>
    <row r="173">
      <c r="A173" s="16" t="n"/>
      <c r="B173" s="28" t="n"/>
      <c r="C173" s="18" t="n"/>
      <c r="D173" s="16" t="n"/>
      <c r="E173" s="35">
        <f>IF($A173="","",IF($D173="","FALTA MAPEAR","OK"))</f>
        <v/>
      </c>
    </row>
    <row r="174">
      <c r="A174" s="16" t="n"/>
      <c r="B174" s="28" t="n"/>
      <c r="C174" s="18" t="n"/>
      <c r="D174" s="16" t="n"/>
      <c r="E174" s="35">
        <f>IF($A174="","",IF($D174="","FALTA MAPEAR","OK"))</f>
        <v/>
      </c>
    </row>
    <row r="175">
      <c r="A175" s="16" t="n"/>
      <c r="B175" s="28" t="n"/>
      <c r="C175" s="18" t="n"/>
      <c r="D175" s="16" t="n"/>
      <c r="E175" s="35">
        <f>IF($A175="","",IF($D175="","FALTA MAPEAR","OK"))</f>
        <v/>
      </c>
    </row>
    <row r="176">
      <c r="A176" s="16" t="n"/>
      <c r="B176" s="28" t="n"/>
      <c r="C176" s="18" t="n"/>
      <c r="D176" s="16" t="n"/>
      <c r="E176" s="35">
        <f>IF($A176="","",IF($D176="","FALTA MAPEAR","OK"))</f>
        <v/>
      </c>
    </row>
    <row r="177">
      <c r="A177" s="16" t="n"/>
      <c r="B177" s="28" t="n"/>
      <c r="C177" s="18" t="n"/>
      <c r="D177" s="16" t="n"/>
      <c r="E177" s="35">
        <f>IF($A177="","",IF($D177="","FALTA MAPEAR","OK"))</f>
        <v/>
      </c>
    </row>
    <row r="178">
      <c r="A178" s="16" t="n"/>
      <c r="B178" s="28" t="n"/>
      <c r="C178" s="18" t="n"/>
      <c r="D178" s="16" t="n"/>
      <c r="E178" s="35">
        <f>IF($A178="","",IF($D178="","FALTA MAPEAR","OK"))</f>
        <v/>
      </c>
    </row>
    <row r="179">
      <c r="A179" s="16" t="n"/>
      <c r="B179" s="28" t="n"/>
      <c r="C179" s="18" t="n"/>
      <c r="D179" s="16" t="n"/>
      <c r="E179" s="35">
        <f>IF($A179="","",IF($D179="","FALTA MAPEAR","OK"))</f>
        <v/>
      </c>
    </row>
    <row r="180">
      <c r="A180" s="16" t="n"/>
      <c r="B180" s="28" t="n"/>
      <c r="C180" s="18" t="n"/>
      <c r="D180" s="16" t="n"/>
      <c r="E180" s="35">
        <f>IF($A180="","",IF($D180="","FALTA MAPEAR","OK"))</f>
        <v/>
      </c>
    </row>
    <row r="181">
      <c r="A181" s="16" t="n"/>
      <c r="B181" s="28" t="n"/>
      <c r="C181" s="18" t="n"/>
      <c r="D181" s="16" t="n"/>
      <c r="E181" s="35">
        <f>IF($A181="","",IF($D181="","FALTA MAPEAR","OK"))</f>
        <v/>
      </c>
    </row>
    <row r="182">
      <c r="A182" s="16" t="n"/>
      <c r="B182" s="28" t="n"/>
      <c r="C182" s="18" t="n"/>
      <c r="D182" s="16" t="n"/>
      <c r="E182" s="35">
        <f>IF($A182="","",IF($D182="","FALTA MAPEAR","OK"))</f>
        <v/>
      </c>
    </row>
    <row r="183">
      <c r="A183" s="16" t="n"/>
      <c r="B183" s="28" t="n"/>
      <c r="C183" s="18" t="n"/>
      <c r="D183" s="16" t="n"/>
      <c r="E183" s="35">
        <f>IF($A183="","",IF($D183="","FALTA MAPEAR","OK"))</f>
        <v/>
      </c>
    </row>
    <row r="184">
      <c r="A184" s="16" t="n"/>
      <c r="B184" s="28" t="n"/>
      <c r="C184" s="18" t="n"/>
      <c r="D184" s="16" t="n"/>
      <c r="E184" s="35">
        <f>IF($A184="","",IF($D184="","FALTA MAPEAR","OK"))</f>
        <v/>
      </c>
    </row>
    <row r="185">
      <c r="A185" s="16" t="n"/>
      <c r="B185" s="28" t="n"/>
      <c r="C185" s="18" t="n"/>
      <c r="D185" s="16" t="n"/>
      <c r="E185" s="35">
        <f>IF($A185="","",IF($D185="","FALTA MAPEAR","OK"))</f>
        <v/>
      </c>
    </row>
    <row r="186">
      <c r="A186" s="16" t="n"/>
      <c r="B186" s="28" t="n"/>
      <c r="C186" s="18" t="n"/>
      <c r="D186" s="16" t="n"/>
      <c r="E186" s="35">
        <f>IF($A186="","",IF($D186="","FALTA MAPEAR","OK"))</f>
        <v/>
      </c>
    </row>
    <row r="187">
      <c r="A187" s="16" t="n"/>
      <c r="B187" s="28" t="n"/>
      <c r="C187" s="18" t="n"/>
      <c r="D187" s="16" t="n"/>
      <c r="E187" s="35">
        <f>IF($A187="","",IF($D187="","FALTA MAPEAR","OK"))</f>
        <v/>
      </c>
    </row>
    <row r="188">
      <c r="A188" s="16" t="n"/>
      <c r="B188" s="28" t="n"/>
      <c r="C188" s="18" t="n"/>
      <c r="D188" s="16" t="n"/>
      <c r="E188" s="35">
        <f>IF($A188="","",IF($D188="","FALTA MAPEAR","OK"))</f>
        <v/>
      </c>
    </row>
    <row r="189">
      <c r="A189" s="16" t="n"/>
      <c r="B189" s="28" t="n"/>
      <c r="C189" s="18" t="n"/>
      <c r="D189" s="16" t="n"/>
      <c r="E189" s="35">
        <f>IF($A189="","",IF($D189="","FALTA MAPEAR","OK"))</f>
        <v/>
      </c>
    </row>
    <row r="190">
      <c r="A190" s="16" t="n"/>
      <c r="B190" s="28" t="n"/>
      <c r="C190" s="18" t="n"/>
      <c r="D190" s="16" t="n"/>
      <c r="E190" s="35">
        <f>IF($A190="","",IF($D190="","FALTA MAPEAR","OK"))</f>
        <v/>
      </c>
    </row>
    <row r="191">
      <c r="A191" s="16" t="n"/>
      <c r="B191" s="28" t="n"/>
      <c r="C191" s="18" t="n"/>
      <c r="D191" s="16" t="n"/>
      <c r="E191" s="35">
        <f>IF($A191="","",IF($D191="","FALTA MAPEAR","OK"))</f>
        <v/>
      </c>
    </row>
    <row r="192">
      <c r="A192" s="16" t="n"/>
      <c r="B192" s="28" t="n"/>
      <c r="C192" s="18" t="n"/>
      <c r="D192" s="16" t="n"/>
      <c r="E192" s="35">
        <f>IF($A192="","",IF($D192="","FALTA MAPEAR","OK"))</f>
        <v/>
      </c>
    </row>
    <row r="193">
      <c r="A193" s="16" t="n"/>
      <c r="B193" s="28" t="n"/>
      <c r="C193" s="18" t="n"/>
      <c r="D193" s="16" t="n"/>
      <c r="E193" s="35">
        <f>IF($A193="","",IF($D193="","FALTA MAPEAR","OK"))</f>
        <v/>
      </c>
    </row>
    <row r="194">
      <c r="A194" s="16" t="n"/>
      <c r="B194" s="28" t="n"/>
      <c r="C194" s="18" t="n"/>
      <c r="D194" s="16" t="n"/>
      <c r="E194" s="35">
        <f>IF($A194="","",IF($D194="","FALTA MAPEAR","OK"))</f>
        <v/>
      </c>
    </row>
    <row r="195">
      <c r="A195" s="16" t="n"/>
      <c r="B195" s="28" t="n"/>
      <c r="C195" s="18" t="n"/>
      <c r="D195" s="16" t="n"/>
      <c r="E195" s="35">
        <f>IF($A195="","",IF($D195="","FALTA MAPEAR","OK"))</f>
        <v/>
      </c>
    </row>
    <row r="196">
      <c r="A196" s="16" t="n"/>
      <c r="B196" s="28" t="n"/>
      <c r="C196" s="18" t="n"/>
      <c r="D196" s="16" t="n"/>
      <c r="E196" s="35">
        <f>IF($A196="","",IF($D196="","FALTA MAPEAR","OK"))</f>
        <v/>
      </c>
    </row>
    <row r="197">
      <c r="A197" s="16" t="n"/>
      <c r="B197" s="28" t="n"/>
      <c r="C197" s="18" t="n"/>
      <c r="D197" s="16" t="n"/>
      <c r="E197" s="35">
        <f>IF($A197="","",IF($D197="","FALTA MAPEAR","OK"))</f>
        <v/>
      </c>
    </row>
    <row r="198">
      <c r="A198" s="16" t="n"/>
      <c r="B198" s="28" t="n"/>
      <c r="C198" s="18" t="n"/>
      <c r="D198" s="16" t="n"/>
      <c r="E198" s="35">
        <f>IF($A198="","",IF($D198="","FALTA MAPEAR","OK"))</f>
        <v/>
      </c>
    </row>
    <row r="199">
      <c r="A199" s="16" t="n"/>
      <c r="B199" s="28" t="n"/>
      <c r="C199" s="18" t="n"/>
      <c r="D199" s="16" t="n"/>
      <c r="E199" s="35">
        <f>IF($A199="","",IF($D199="","FALTA MAPEAR","OK"))</f>
        <v/>
      </c>
    </row>
    <row r="200">
      <c r="A200" s="16" t="n"/>
      <c r="B200" s="28" t="n"/>
      <c r="C200" s="18" t="n"/>
      <c r="D200" s="16" t="n"/>
      <c r="E200" s="35">
        <f>IF($A200="","",IF($D200="","FALTA MAPEAR","OK"))</f>
        <v/>
      </c>
    </row>
    <row r="201">
      <c r="A201" s="16" t="n"/>
      <c r="B201" s="28" t="n"/>
      <c r="C201" s="18" t="n"/>
      <c r="D201" s="16" t="n"/>
      <c r="E201" s="35">
        <f>IF($A201="","",IF($D201="","FALTA MAPEAR","OK"))</f>
        <v/>
      </c>
    </row>
    <row r="202">
      <c r="A202" s="16" t="n"/>
      <c r="B202" s="28" t="n"/>
      <c r="C202" s="18" t="n"/>
      <c r="D202" s="16" t="n"/>
      <c r="E202" s="35">
        <f>IF($A202="","",IF($D202="","FALTA MAPEAR","OK"))</f>
        <v/>
      </c>
    </row>
    <row r="203">
      <c r="A203" s="16" t="n"/>
      <c r="B203" s="28" t="n"/>
      <c r="C203" s="18" t="n"/>
      <c r="D203" s="16" t="n"/>
      <c r="E203" s="35">
        <f>IF($A203="","",IF($D203="","FALTA MAPEAR","OK"))</f>
        <v/>
      </c>
    </row>
    <row r="204">
      <c r="A204" s="16" t="n"/>
      <c r="B204" s="28" t="n"/>
      <c r="C204" s="18" t="n"/>
      <c r="D204" s="16" t="n"/>
      <c r="E204" s="35">
        <f>IF($A204="","",IF($D204="","FALTA MAPEAR","OK"))</f>
        <v/>
      </c>
    </row>
    <row r="205">
      <c r="A205" s="16" t="n"/>
      <c r="B205" s="28" t="n"/>
      <c r="C205" s="18" t="n"/>
      <c r="D205" s="16" t="n"/>
      <c r="E205" s="35">
        <f>IF($A205="","",IF($D205="","FALTA MAPEAR","OK"))</f>
        <v/>
      </c>
    </row>
    <row r="206">
      <c r="A206" s="16" t="n"/>
      <c r="B206" s="28" t="n"/>
      <c r="C206" s="18" t="n"/>
      <c r="D206" s="16" t="n"/>
      <c r="E206" s="35">
        <f>IF($A206="","",IF($D206="","FALTA MAPEAR","OK"))</f>
        <v/>
      </c>
    </row>
    <row r="207">
      <c r="A207" s="16" t="n"/>
      <c r="B207" s="28" t="n"/>
      <c r="C207" s="18" t="n"/>
      <c r="D207" s="16" t="n"/>
      <c r="E207" s="35">
        <f>IF($A207="","",IF($D207="","FALTA MAPEAR","OK"))</f>
        <v/>
      </c>
    </row>
    <row r="208">
      <c r="A208" s="16" t="n"/>
      <c r="B208" s="28" t="n"/>
      <c r="C208" s="18" t="n"/>
      <c r="D208" s="16" t="n"/>
      <c r="E208" s="35">
        <f>IF($A208="","",IF($D208="","FALTA MAPEAR","OK"))</f>
        <v/>
      </c>
    </row>
    <row r="209">
      <c r="A209" s="16" t="n"/>
      <c r="B209" s="28" t="n"/>
      <c r="C209" s="18" t="n"/>
      <c r="D209" s="16" t="n"/>
      <c r="E209" s="35">
        <f>IF($A209="","",IF($D209="","FALTA MAPEAR","OK"))</f>
        <v/>
      </c>
    </row>
    <row r="210">
      <c r="A210" s="16" t="n"/>
      <c r="B210" s="28" t="n"/>
      <c r="C210" s="18" t="n"/>
      <c r="D210" s="16" t="n"/>
      <c r="E210" s="35">
        <f>IF($A210="","",IF($D210="","FALTA MAPEAR","OK"))</f>
        <v/>
      </c>
    </row>
    <row r="211">
      <c r="A211" s="16" t="n"/>
      <c r="B211" s="28" t="n"/>
      <c r="C211" s="18" t="n"/>
      <c r="D211" s="16" t="n"/>
      <c r="E211" s="35">
        <f>IF($A211="","",IF($D211="","FALTA MAPEAR","OK"))</f>
        <v/>
      </c>
    </row>
    <row r="212">
      <c r="A212" s="16" t="n"/>
      <c r="B212" s="28" t="n"/>
      <c r="C212" s="18" t="n"/>
      <c r="D212" s="16" t="n"/>
      <c r="E212" s="35">
        <f>IF($A212="","",IF($D212="","FALTA MAPEAR","OK"))</f>
        <v/>
      </c>
    </row>
    <row r="213">
      <c r="A213" s="16" t="n"/>
      <c r="B213" s="28" t="n"/>
      <c r="C213" s="18" t="n"/>
      <c r="D213" s="16" t="n"/>
      <c r="E213" s="35">
        <f>IF($A213="","",IF($D213="","FALTA MAPEAR","OK"))</f>
        <v/>
      </c>
    </row>
    <row r="214">
      <c r="A214" s="16" t="n"/>
      <c r="B214" s="28" t="n"/>
      <c r="C214" s="18" t="n"/>
      <c r="D214" s="16" t="n"/>
      <c r="E214" s="35">
        <f>IF($A214="","",IF($D214="","FALTA MAPEAR","OK"))</f>
        <v/>
      </c>
    </row>
    <row r="215">
      <c r="A215" s="16" t="n"/>
      <c r="B215" s="28" t="n"/>
      <c r="C215" s="18" t="n"/>
      <c r="D215" s="16" t="n"/>
      <c r="E215" s="35">
        <f>IF($A215="","",IF($D215="","FALTA MAPEAR","OK"))</f>
        <v/>
      </c>
    </row>
    <row r="216">
      <c r="A216" s="16" t="n"/>
      <c r="B216" s="28" t="n"/>
      <c r="C216" s="18" t="n"/>
      <c r="D216" s="16" t="n"/>
      <c r="E216" s="35">
        <f>IF($A216="","",IF($D216="","FALTA MAPEAR","OK"))</f>
        <v/>
      </c>
    </row>
    <row r="217">
      <c r="A217" s="16" t="n"/>
      <c r="B217" s="28" t="n"/>
      <c r="C217" s="18" t="n"/>
      <c r="D217" s="16" t="n"/>
      <c r="E217" s="35">
        <f>IF($A217="","",IF($D217="","FALTA MAPEAR","OK"))</f>
        <v/>
      </c>
    </row>
    <row r="218">
      <c r="A218" s="16" t="n"/>
      <c r="B218" s="28" t="n"/>
      <c r="C218" s="18" t="n"/>
      <c r="D218" s="16" t="n"/>
      <c r="E218" s="35">
        <f>IF($A218="","",IF($D218="","FALTA MAPEAR","OK"))</f>
        <v/>
      </c>
    </row>
    <row r="219">
      <c r="A219" s="16" t="n"/>
      <c r="B219" s="28" t="n"/>
      <c r="C219" s="18" t="n"/>
      <c r="D219" s="16" t="n"/>
      <c r="E219" s="35">
        <f>IF($A219="","",IF($D219="","FALTA MAPEAR","OK"))</f>
        <v/>
      </c>
    </row>
    <row r="220">
      <c r="A220" s="16" t="n"/>
      <c r="B220" s="28" t="n"/>
      <c r="C220" s="18" t="n"/>
      <c r="D220" s="16" t="n"/>
      <c r="E220" s="35">
        <f>IF($A220="","",IF($D220="","FALTA MAPEAR","OK"))</f>
        <v/>
      </c>
    </row>
    <row r="221">
      <c r="A221" s="16" t="n"/>
      <c r="B221" s="28" t="n"/>
      <c r="C221" s="18" t="n"/>
      <c r="D221" s="16" t="n"/>
      <c r="E221" s="35">
        <f>IF($A221="","",IF($D221="","FALTA MAPEAR","OK"))</f>
        <v/>
      </c>
    </row>
    <row r="222">
      <c r="A222" s="16" t="n"/>
      <c r="B222" s="28" t="n"/>
      <c r="C222" s="18" t="n"/>
      <c r="D222" s="16" t="n"/>
      <c r="E222" s="35">
        <f>IF($A222="","",IF($D222="","FALTA MAPEAR","OK"))</f>
        <v/>
      </c>
    </row>
    <row r="223">
      <c r="A223" s="16" t="n"/>
      <c r="B223" s="28" t="n"/>
      <c r="C223" s="18" t="n"/>
      <c r="D223" s="16" t="n"/>
      <c r="E223" s="35">
        <f>IF($A223="","",IF($D223="","FALTA MAPEAR","OK"))</f>
        <v/>
      </c>
    </row>
    <row r="224">
      <c r="A224" s="16" t="n"/>
      <c r="B224" s="28" t="n"/>
      <c r="C224" s="18" t="n"/>
      <c r="D224" s="16" t="n"/>
      <c r="E224" s="35">
        <f>IF($A224="","",IF($D224="","FALTA MAPEAR","OK"))</f>
        <v/>
      </c>
    </row>
    <row r="225">
      <c r="A225" s="16" t="n"/>
      <c r="B225" s="28" t="n"/>
      <c r="C225" s="18" t="n"/>
      <c r="D225" s="16" t="n"/>
      <c r="E225" s="35">
        <f>IF($A225="","",IF($D225="","FALTA MAPEAR","OK"))</f>
        <v/>
      </c>
    </row>
    <row r="226">
      <c r="A226" s="16" t="n"/>
      <c r="B226" s="28" t="n"/>
      <c r="C226" s="18" t="n"/>
      <c r="D226" s="16" t="n"/>
      <c r="E226" s="35">
        <f>IF($A226="","",IF($D226="","FALTA MAPEAR","OK"))</f>
        <v/>
      </c>
    </row>
    <row r="227">
      <c r="A227" s="16" t="n"/>
      <c r="B227" s="28" t="n"/>
      <c r="C227" s="18" t="n"/>
      <c r="D227" s="16" t="n"/>
      <c r="E227" s="35">
        <f>IF($A227="","",IF($D227="","FALTA MAPEAR","OK"))</f>
        <v/>
      </c>
    </row>
    <row r="228">
      <c r="A228" s="16" t="n"/>
      <c r="B228" s="28" t="n"/>
      <c r="C228" s="18" t="n"/>
      <c r="D228" s="16" t="n"/>
      <c r="E228" s="35">
        <f>IF($A228="","",IF($D228="","FALTA MAPEAR","OK"))</f>
        <v/>
      </c>
    </row>
    <row r="229">
      <c r="A229" s="16" t="n"/>
      <c r="B229" s="28" t="n"/>
      <c r="C229" s="18" t="n"/>
      <c r="D229" s="16" t="n"/>
      <c r="E229" s="35">
        <f>IF($A229="","",IF($D229="","FALTA MAPEAR","OK"))</f>
        <v/>
      </c>
    </row>
    <row r="230">
      <c r="A230" s="16" t="n"/>
      <c r="B230" s="28" t="n"/>
      <c r="C230" s="18" t="n"/>
      <c r="D230" s="16" t="n"/>
      <c r="E230" s="35">
        <f>IF($A230="","",IF($D230="","FALTA MAPEAR","OK"))</f>
        <v/>
      </c>
    </row>
    <row r="231">
      <c r="A231" s="16" t="n"/>
      <c r="B231" s="28" t="n"/>
      <c r="C231" s="18" t="n"/>
      <c r="D231" s="16" t="n"/>
      <c r="E231" s="35">
        <f>IF($A231="","",IF($D231="","FALTA MAPEAR","OK"))</f>
        <v/>
      </c>
    </row>
    <row r="232">
      <c r="A232" s="16" t="n"/>
      <c r="B232" s="28" t="n"/>
      <c r="C232" s="18" t="n"/>
      <c r="D232" s="16" t="n"/>
      <c r="E232" s="35">
        <f>IF($A232="","",IF($D232="","FALTA MAPEAR","OK"))</f>
        <v/>
      </c>
    </row>
    <row r="233">
      <c r="A233" s="16" t="n"/>
      <c r="B233" s="28" t="n"/>
      <c r="C233" s="18" t="n"/>
      <c r="D233" s="16" t="n"/>
      <c r="E233" s="35">
        <f>IF($A233="","",IF($D233="","FALTA MAPEAR","OK"))</f>
        <v/>
      </c>
    </row>
    <row r="234">
      <c r="A234" s="16" t="n"/>
      <c r="B234" s="28" t="n"/>
      <c r="C234" s="18" t="n"/>
      <c r="D234" s="16" t="n"/>
      <c r="E234" s="35">
        <f>IF($A234="","",IF($D234="","FALTA MAPEAR","OK"))</f>
        <v/>
      </c>
    </row>
    <row r="235">
      <c r="A235" s="16" t="n"/>
      <c r="B235" s="28" t="n"/>
      <c r="C235" s="18" t="n"/>
      <c r="D235" s="16" t="n"/>
      <c r="E235" s="35">
        <f>IF($A235="","",IF($D235="","FALTA MAPEAR","OK"))</f>
        <v/>
      </c>
    </row>
    <row r="236">
      <c r="A236" s="16" t="n"/>
      <c r="B236" s="28" t="n"/>
      <c r="C236" s="18" t="n"/>
      <c r="D236" s="16" t="n"/>
      <c r="E236" s="35">
        <f>IF($A236="","",IF($D236="","FALTA MAPEAR","OK"))</f>
        <v/>
      </c>
    </row>
    <row r="237">
      <c r="A237" s="16" t="n"/>
      <c r="B237" s="28" t="n"/>
      <c r="C237" s="18" t="n"/>
      <c r="D237" s="16" t="n"/>
      <c r="E237" s="35">
        <f>IF($A237="","",IF($D237="","FALTA MAPEAR","OK"))</f>
        <v/>
      </c>
    </row>
    <row r="238">
      <c r="A238" s="16" t="n"/>
      <c r="B238" s="28" t="n"/>
      <c r="C238" s="18" t="n"/>
      <c r="D238" s="16" t="n"/>
      <c r="E238" s="35">
        <f>IF($A238="","",IF($D238="","FALTA MAPEAR","OK"))</f>
        <v/>
      </c>
    </row>
    <row r="239">
      <c r="A239" s="16" t="n"/>
      <c r="B239" s="28" t="n"/>
      <c r="C239" s="18" t="n"/>
      <c r="D239" s="16" t="n"/>
      <c r="E239" s="35">
        <f>IF($A239="","",IF($D239="","FALTA MAPEAR","OK"))</f>
        <v/>
      </c>
    </row>
    <row r="240">
      <c r="A240" s="16" t="n"/>
      <c r="B240" s="28" t="n"/>
      <c r="C240" s="18" t="n"/>
      <c r="D240" s="16" t="n"/>
      <c r="E240" s="35">
        <f>IF($A240="","",IF($D240="","FALTA MAPEAR","OK"))</f>
        <v/>
      </c>
    </row>
    <row r="241">
      <c r="A241" s="16" t="n"/>
      <c r="B241" s="28" t="n"/>
      <c r="C241" s="18" t="n"/>
      <c r="D241" s="16" t="n"/>
      <c r="E241" s="35">
        <f>IF($A241="","",IF($D241="","FALTA MAPEAR","OK"))</f>
        <v/>
      </c>
    </row>
    <row r="242">
      <c r="A242" s="16" t="n"/>
      <c r="B242" s="28" t="n"/>
      <c r="C242" s="18" t="n"/>
      <c r="D242" s="16" t="n"/>
      <c r="E242" s="35">
        <f>IF($A242="","",IF($D242="","FALTA MAPEAR","OK"))</f>
        <v/>
      </c>
    </row>
    <row r="243">
      <c r="A243" s="16" t="n"/>
      <c r="B243" s="28" t="n"/>
      <c r="C243" s="18" t="n"/>
      <c r="D243" s="16" t="n"/>
      <c r="E243" s="35">
        <f>IF($A243="","",IF($D243="","FALTA MAPEAR","OK"))</f>
        <v/>
      </c>
    </row>
    <row r="244">
      <c r="A244" s="16" t="n"/>
      <c r="B244" s="28" t="n"/>
      <c r="C244" s="18" t="n"/>
      <c r="D244" s="16" t="n"/>
      <c r="E244" s="35">
        <f>IF($A244="","",IF($D244="","FALTA MAPEAR","OK"))</f>
        <v/>
      </c>
    </row>
    <row r="245">
      <c r="A245" s="16" t="n"/>
      <c r="B245" s="28" t="n"/>
      <c r="C245" s="18" t="n"/>
      <c r="D245" s="16" t="n"/>
      <c r="E245" s="35">
        <f>IF($A245="","",IF($D245="","FALTA MAPEAR","OK"))</f>
        <v/>
      </c>
    </row>
    <row r="246">
      <c r="A246" s="16" t="n"/>
      <c r="B246" s="28" t="n"/>
      <c r="C246" s="18" t="n"/>
      <c r="D246" s="16" t="n"/>
      <c r="E246" s="35">
        <f>IF($A246="","",IF($D246="","FALTA MAPEAR","OK"))</f>
        <v/>
      </c>
    </row>
    <row r="247">
      <c r="A247" s="16" t="n"/>
      <c r="B247" s="28" t="n"/>
      <c r="C247" s="18" t="n"/>
      <c r="D247" s="16" t="n"/>
      <c r="E247" s="35">
        <f>IF($A247="","",IF($D247="","FALTA MAPEAR","OK"))</f>
        <v/>
      </c>
    </row>
    <row r="248">
      <c r="A248" s="16" t="n"/>
      <c r="B248" s="28" t="n"/>
      <c r="C248" s="18" t="n"/>
      <c r="D248" s="16" t="n"/>
      <c r="E248" s="35">
        <f>IF($A248="","",IF($D248="","FALTA MAPEAR","OK"))</f>
        <v/>
      </c>
    </row>
    <row r="249">
      <c r="A249" s="16" t="n"/>
      <c r="B249" s="28" t="n"/>
      <c r="C249" s="18" t="n"/>
      <c r="D249" s="16" t="n"/>
      <c r="E249" s="35">
        <f>IF($A249="","",IF($D249="","FALTA MAPEAR","OK"))</f>
        <v/>
      </c>
    </row>
    <row r="250">
      <c r="A250" s="16" t="n"/>
      <c r="B250" s="28" t="n"/>
      <c r="C250" s="18" t="n"/>
      <c r="D250" s="16" t="n"/>
      <c r="E250" s="35">
        <f>IF($A250="","",IF($D250="","FALTA MAPEAR","OK"))</f>
        <v/>
      </c>
    </row>
    <row r="251">
      <c r="A251" s="16" t="n"/>
      <c r="B251" s="28" t="n"/>
      <c r="C251" s="18" t="n"/>
      <c r="D251" s="16" t="n"/>
      <c r="E251" s="35">
        <f>IF($A251="","",IF($D251="","FALTA MAPEAR","OK"))</f>
        <v/>
      </c>
    </row>
    <row r="252">
      <c r="A252" s="16" t="n"/>
      <c r="B252" s="28" t="n"/>
      <c r="C252" s="18" t="n"/>
      <c r="D252" s="16" t="n"/>
      <c r="E252" s="35">
        <f>IF($A252="","",IF($D252="","FALTA MAPEAR","OK"))</f>
        <v/>
      </c>
    </row>
    <row r="253">
      <c r="A253" s="16" t="n"/>
      <c r="B253" s="28" t="n"/>
      <c r="C253" s="18" t="n"/>
      <c r="D253" s="16" t="n"/>
      <c r="E253" s="35">
        <f>IF($A253="","",IF($D253="","FALTA MAPEAR","OK"))</f>
        <v/>
      </c>
    </row>
    <row r="254">
      <c r="A254" s="16" t="n"/>
      <c r="B254" s="28" t="n"/>
      <c r="C254" s="18" t="n"/>
      <c r="D254" s="16" t="n"/>
      <c r="E254" s="35">
        <f>IF($A254="","",IF($D254="","FALTA MAPEAR","OK"))</f>
        <v/>
      </c>
    </row>
    <row r="255">
      <c r="A255" s="16" t="n"/>
      <c r="B255" s="28" t="n"/>
      <c r="C255" s="18" t="n"/>
      <c r="D255" s="16" t="n"/>
      <c r="E255" s="35">
        <f>IF($A255="","",IF($D255="","FALTA MAPEAR","OK"))</f>
        <v/>
      </c>
    </row>
    <row r="256">
      <c r="A256" s="16" t="n"/>
      <c r="B256" s="28" t="n"/>
      <c r="C256" s="18" t="n"/>
      <c r="D256" s="16" t="n"/>
      <c r="E256" s="35">
        <f>IF($A256="","",IF($D256="","FALTA MAPEAR","OK"))</f>
        <v/>
      </c>
    </row>
    <row r="257">
      <c r="A257" s="16" t="n"/>
      <c r="B257" s="28" t="n"/>
      <c r="C257" s="18" t="n"/>
      <c r="D257" s="16" t="n"/>
      <c r="E257" s="35">
        <f>IF($A257="","",IF($D257="","FALTA MAPEAR","OK"))</f>
        <v/>
      </c>
    </row>
    <row r="258">
      <c r="A258" s="16" t="n"/>
      <c r="B258" s="28" t="n"/>
      <c r="C258" s="18" t="n"/>
      <c r="D258" s="16" t="n"/>
      <c r="E258" s="35">
        <f>IF($A258="","",IF($D258="","FALTA MAPEAR","OK"))</f>
        <v/>
      </c>
    </row>
    <row r="259">
      <c r="A259" s="16" t="n"/>
      <c r="B259" s="28" t="n"/>
      <c r="C259" s="18" t="n"/>
      <c r="D259" s="16" t="n"/>
      <c r="E259" s="35">
        <f>IF($A259="","",IF($D259="","FALTA MAPEAR","OK"))</f>
        <v/>
      </c>
    </row>
    <row r="260">
      <c r="A260" s="16" t="n"/>
      <c r="B260" s="28" t="n"/>
      <c r="C260" s="18" t="n"/>
      <c r="D260" s="16" t="n"/>
      <c r="E260" s="35">
        <f>IF($A260="","",IF($D260="","FALTA MAPEAR","OK"))</f>
        <v/>
      </c>
    </row>
    <row r="261">
      <c r="A261" s="16" t="n"/>
      <c r="B261" s="28" t="n"/>
      <c r="C261" s="18" t="n"/>
      <c r="D261" s="16" t="n"/>
      <c r="E261" s="35">
        <f>IF($A261="","",IF($D261="","FALTA MAPEAR","OK"))</f>
        <v/>
      </c>
    </row>
    <row r="262">
      <c r="A262" s="16" t="n"/>
      <c r="B262" s="28" t="n"/>
      <c r="C262" s="18" t="n"/>
      <c r="D262" s="16" t="n"/>
      <c r="E262" s="35">
        <f>IF($A262="","",IF($D262="","FALTA MAPEAR","OK"))</f>
        <v/>
      </c>
    </row>
    <row r="263">
      <c r="A263" s="16" t="n"/>
      <c r="B263" s="28" t="n"/>
      <c r="C263" s="18" t="n"/>
      <c r="D263" s="16" t="n"/>
      <c r="E263" s="35">
        <f>IF($A263="","",IF($D263="","FALTA MAPEAR","OK"))</f>
        <v/>
      </c>
    </row>
    <row r="264">
      <c r="A264" s="16" t="n"/>
      <c r="B264" s="28" t="n"/>
      <c r="C264" s="18" t="n"/>
      <c r="D264" s="16" t="n"/>
      <c r="E264" s="35">
        <f>IF($A264="","",IF($D264="","FALTA MAPEAR","OK"))</f>
        <v/>
      </c>
    </row>
    <row r="265">
      <c r="A265" s="16" t="n"/>
      <c r="B265" s="28" t="n"/>
      <c r="C265" s="18" t="n"/>
      <c r="D265" s="16" t="n"/>
      <c r="E265" s="35">
        <f>IF($A265="","",IF($D265="","FALTA MAPEAR","OK"))</f>
        <v/>
      </c>
    </row>
    <row r="266">
      <c r="A266" s="16" t="n"/>
      <c r="B266" s="28" t="n"/>
      <c r="C266" s="18" t="n"/>
      <c r="D266" s="16" t="n"/>
      <c r="E266" s="35">
        <f>IF($A266="","",IF($D266="","FALTA MAPEAR","OK"))</f>
        <v/>
      </c>
    </row>
    <row r="267">
      <c r="A267" s="16" t="n"/>
      <c r="B267" s="28" t="n"/>
      <c r="C267" s="18" t="n"/>
      <c r="D267" s="16" t="n"/>
      <c r="E267" s="35">
        <f>IF($A267="","",IF($D267="","FALTA MAPEAR","OK"))</f>
        <v/>
      </c>
    </row>
    <row r="268">
      <c r="A268" s="16" t="n"/>
      <c r="B268" s="28" t="n"/>
      <c r="C268" s="18" t="n"/>
      <c r="D268" s="16" t="n"/>
      <c r="E268" s="35">
        <f>IF($A268="","",IF($D268="","FALTA MAPEAR","OK"))</f>
        <v/>
      </c>
    </row>
    <row r="269">
      <c r="A269" s="16" t="n"/>
      <c r="B269" s="28" t="n"/>
      <c r="C269" s="18" t="n"/>
      <c r="D269" s="16" t="n"/>
      <c r="E269" s="35">
        <f>IF($A269="","",IF($D269="","FALTA MAPEAR","OK"))</f>
        <v/>
      </c>
    </row>
    <row r="270">
      <c r="A270" s="16" t="n"/>
      <c r="B270" s="28" t="n"/>
      <c r="C270" s="18" t="n"/>
      <c r="D270" s="16" t="n"/>
      <c r="E270" s="35">
        <f>IF($A270="","",IF($D270="","FALTA MAPEAR","OK"))</f>
        <v/>
      </c>
    </row>
    <row r="271">
      <c r="A271" s="16" t="n"/>
      <c r="B271" s="28" t="n"/>
      <c r="C271" s="18" t="n"/>
      <c r="D271" s="16" t="n"/>
      <c r="E271" s="35">
        <f>IF($A271="","",IF($D271="","FALTA MAPEAR","OK"))</f>
        <v/>
      </c>
    </row>
    <row r="272">
      <c r="A272" s="16" t="n"/>
      <c r="B272" s="28" t="n"/>
      <c r="C272" s="18" t="n"/>
      <c r="D272" s="16" t="n"/>
      <c r="E272" s="35">
        <f>IF($A272="","",IF($D272="","FALTA MAPEAR","OK"))</f>
        <v/>
      </c>
    </row>
    <row r="273">
      <c r="A273" s="16" t="n"/>
      <c r="B273" s="28" t="n"/>
      <c r="C273" s="18" t="n"/>
      <c r="D273" s="16" t="n"/>
      <c r="E273" s="35">
        <f>IF($A273="","",IF($D273="","FALTA MAPEAR","OK"))</f>
        <v/>
      </c>
    </row>
    <row r="274">
      <c r="A274" s="16" t="n"/>
      <c r="B274" s="28" t="n"/>
      <c r="C274" s="18" t="n"/>
      <c r="D274" s="16" t="n"/>
      <c r="E274" s="35">
        <f>IF($A274="","",IF($D274="","FALTA MAPEAR","OK"))</f>
        <v/>
      </c>
    </row>
    <row r="275">
      <c r="A275" s="16" t="n"/>
      <c r="B275" s="28" t="n"/>
      <c r="C275" s="18" t="n"/>
      <c r="D275" s="16" t="n"/>
      <c r="E275" s="35">
        <f>IF($A275="","",IF($D275="","FALTA MAPEAR","OK"))</f>
        <v/>
      </c>
    </row>
    <row r="276">
      <c r="A276" s="16" t="n"/>
      <c r="B276" s="28" t="n"/>
      <c r="C276" s="18" t="n"/>
      <c r="D276" s="16" t="n"/>
      <c r="E276" s="35">
        <f>IF($A276="","",IF($D276="","FALTA MAPEAR","OK"))</f>
        <v/>
      </c>
    </row>
    <row r="277">
      <c r="A277" s="16" t="n"/>
      <c r="B277" s="28" t="n"/>
      <c r="C277" s="18" t="n"/>
      <c r="D277" s="16" t="n"/>
      <c r="E277" s="35">
        <f>IF($A277="","",IF($D277="","FALTA MAPEAR","OK"))</f>
        <v/>
      </c>
    </row>
    <row r="278">
      <c r="A278" s="16" t="n"/>
      <c r="B278" s="28" t="n"/>
      <c r="C278" s="18" t="n"/>
      <c r="D278" s="16" t="n"/>
      <c r="E278" s="35">
        <f>IF($A278="","",IF($D278="","FALTA MAPEAR","OK"))</f>
        <v/>
      </c>
    </row>
    <row r="279">
      <c r="A279" s="16" t="n"/>
      <c r="B279" s="28" t="n"/>
      <c r="C279" s="18" t="n"/>
      <c r="D279" s="16" t="n"/>
      <c r="E279" s="35">
        <f>IF($A279="","",IF($D279="","FALTA MAPEAR","OK"))</f>
        <v/>
      </c>
    </row>
    <row r="280">
      <c r="A280" s="16" t="n"/>
      <c r="B280" s="28" t="n"/>
      <c r="C280" s="18" t="n"/>
      <c r="D280" s="16" t="n"/>
      <c r="E280" s="35">
        <f>IF($A280="","",IF($D280="","FALTA MAPEAR","OK"))</f>
        <v/>
      </c>
    </row>
    <row r="281">
      <c r="A281" s="16" t="n"/>
      <c r="B281" s="28" t="n"/>
      <c r="C281" s="18" t="n"/>
      <c r="D281" s="16" t="n"/>
      <c r="E281" s="35">
        <f>IF($A281="","",IF($D281="","FALTA MAPEAR","OK"))</f>
        <v/>
      </c>
    </row>
    <row r="282">
      <c r="A282" s="16" t="n"/>
      <c r="B282" s="28" t="n"/>
      <c r="C282" s="18" t="n"/>
      <c r="D282" s="16" t="n"/>
      <c r="E282" s="35">
        <f>IF($A282="","",IF($D282="","FALTA MAPEAR","OK"))</f>
        <v/>
      </c>
    </row>
    <row r="283">
      <c r="A283" s="16" t="n"/>
      <c r="B283" s="28" t="n"/>
      <c r="C283" s="18" t="n"/>
      <c r="D283" s="16" t="n"/>
      <c r="E283" s="35">
        <f>IF($A283="","",IF($D283="","FALTA MAPEAR","OK"))</f>
        <v/>
      </c>
    </row>
    <row r="284">
      <c r="A284" s="16" t="n"/>
      <c r="B284" s="28" t="n"/>
      <c r="C284" s="18" t="n"/>
      <c r="D284" s="16" t="n"/>
      <c r="E284" s="35">
        <f>IF($A284="","",IF($D284="","FALTA MAPEAR","OK"))</f>
        <v/>
      </c>
    </row>
    <row r="285">
      <c r="A285" s="16" t="n"/>
      <c r="B285" s="28" t="n"/>
      <c r="C285" s="18" t="n"/>
      <c r="D285" s="16" t="n"/>
      <c r="E285" s="35">
        <f>IF($A285="","",IF($D285="","FALTA MAPEAR","OK"))</f>
        <v/>
      </c>
    </row>
    <row r="286">
      <c r="A286" s="16" t="n"/>
      <c r="B286" s="28" t="n"/>
      <c r="C286" s="18" t="n"/>
      <c r="D286" s="16" t="n"/>
      <c r="E286" s="35">
        <f>IF($A286="","",IF($D286="","FALTA MAPEAR","OK"))</f>
        <v/>
      </c>
    </row>
    <row r="287">
      <c r="A287" s="16" t="n"/>
      <c r="B287" s="28" t="n"/>
      <c r="C287" s="18" t="n"/>
      <c r="D287" s="16" t="n"/>
      <c r="E287" s="35">
        <f>IF($A287="","",IF($D287="","FALTA MAPEAR","OK"))</f>
        <v/>
      </c>
    </row>
    <row r="288">
      <c r="A288" s="16" t="n"/>
      <c r="B288" s="28" t="n"/>
      <c r="C288" s="18" t="n"/>
      <c r="D288" s="16" t="n"/>
      <c r="E288" s="35">
        <f>IF($A288="","",IF($D288="","FALTA MAPEAR","OK"))</f>
        <v/>
      </c>
    </row>
    <row r="289">
      <c r="A289" s="16" t="n"/>
      <c r="B289" s="28" t="n"/>
      <c r="C289" s="18" t="n"/>
      <c r="D289" s="16" t="n"/>
      <c r="E289" s="35">
        <f>IF($A289="","",IF($D289="","FALTA MAPEAR","OK"))</f>
        <v/>
      </c>
    </row>
    <row r="290">
      <c r="A290" s="16" t="n"/>
      <c r="B290" s="28" t="n"/>
      <c r="C290" s="18" t="n"/>
      <c r="D290" s="16" t="n"/>
      <c r="E290" s="35">
        <f>IF($A290="","",IF($D290="","FALTA MAPEAR","OK"))</f>
        <v/>
      </c>
    </row>
    <row r="291">
      <c r="A291" s="16" t="n"/>
      <c r="B291" s="28" t="n"/>
      <c r="C291" s="18" t="n"/>
      <c r="D291" s="16" t="n"/>
      <c r="E291" s="35">
        <f>IF($A291="","",IF($D291="","FALTA MAPEAR","OK"))</f>
        <v/>
      </c>
    </row>
    <row r="292">
      <c r="A292" s="16" t="n"/>
      <c r="B292" s="28" t="n"/>
      <c r="C292" s="18" t="n"/>
      <c r="D292" s="16" t="n"/>
      <c r="E292" s="35">
        <f>IF($A292="","",IF($D292="","FALTA MAPEAR","OK"))</f>
        <v/>
      </c>
    </row>
    <row r="293">
      <c r="A293" s="16" t="n"/>
      <c r="B293" s="28" t="n"/>
      <c r="C293" s="18" t="n"/>
      <c r="D293" s="16" t="n"/>
      <c r="E293" s="35">
        <f>IF($A293="","",IF($D293="","FALTA MAPEAR","OK"))</f>
        <v/>
      </c>
    </row>
    <row r="294">
      <c r="A294" s="16" t="n"/>
      <c r="B294" s="28" t="n"/>
      <c r="C294" s="18" t="n"/>
      <c r="D294" s="16" t="n"/>
      <c r="E294" s="35">
        <f>IF($A294="","",IF($D294="","FALTA MAPEAR","OK"))</f>
        <v/>
      </c>
    </row>
    <row r="295">
      <c r="A295" s="16" t="n"/>
      <c r="B295" s="28" t="n"/>
      <c r="C295" s="18" t="n"/>
      <c r="D295" s="16" t="n"/>
      <c r="E295" s="35">
        <f>IF($A295="","",IF($D295="","FALTA MAPEAR","OK"))</f>
        <v/>
      </c>
    </row>
    <row r="296">
      <c r="A296" s="16" t="n"/>
      <c r="B296" s="28" t="n"/>
      <c r="C296" s="18" t="n"/>
      <c r="D296" s="16" t="n"/>
      <c r="E296" s="35">
        <f>IF($A296="","",IF($D296="","FALTA MAPEAR","OK"))</f>
        <v/>
      </c>
    </row>
    <row r="297">
      <c r="A297" s="16" t="n"/>
      <c r="B297" s="28" t="n"/>
      <c r="C297" s="18" t="n"/>
      <c r="D297" s="16" t="n"/>
      <c r="E297" s="35">
        <f>IF($A297="","",IF($D297="","FALTA MAPEAR","OK"))</f>
        <v/>
      </c>
    </row>
    <row r="298">
      <c r="A298" s="16" t="n"/>
      <c r="B298" s="28" t="n"/>
      <c r="C298" s="18" t="n"/>
      <c r="D298" s="16" t="n"/>
      <c r="E298" s="35">
        <f>IF($A298="","",IF($D298="","FALTA MAPEAR","OK"))</f>
        <v/>
      </c>
    </row>
    <row r="299">
      <c r="A299" s="16" t="n"/>
      <c r="B299" s="28" t="n"/>
      <c r="C299" s="18" t="n"/>
      <c r="D299" s="16" t="n"/>
      <c r="E299" s="35">
        <f>IF($A299="","",IF($D299="","FALTA MAPEAR","OK"))</f>
        <v/>
      </c>
    </row>
    <row r="300">
      <c r="A300" s="16" t="n"/>
      <c r="B300" s="28" t="n"/>
      <c r="C300" s="18" t="n"/>
      <c r="D300" s="16" t="n"/>
      <c r="E300" s="35">
        <f>IF($A300="","",IF($D300="","FALTA MAPEAR","OK"))</f>
        <v/>
      </c>
    </row>
    <row r="301">
      <c r="A301" s="16" t="n"/>
      <c r="B301" s="28" t="n"/>
      <c r="C301" s="18" t="n"/>
      <c r="D301" s="16" t="n"/>
      <c r="E301" s="35">
        <f>IF($A301="","",IF($D301="","FALTA MAPEAR","OK"))</f>
        <v/>
      </c>
    </row>
    <row r="302">
      <c r="A302" s="16" t="n"/>
      <c r="B302" s="28" t="n"/>
      <c r="C302" s="18" t="n"/>
      <c r="D302" s="16" t="n"/>
      <c r="E302" s="35">
        <f>IF($A302="","",IF($D302="","FALTA MAPEAR","OK"))</f>
        <v/>
      </c>
    </row>
    <row r="303">
      <c r="A303" s="16" t="n"/>
      <c r="B303" s="28" t="n"/>
      <c r="C303" s="18" t="n"/>
      <c r="D303" s="16" t="n"/>
      <c r="E303" s="35">
        <f>IF($A303="","",IF($D303="","FALTA MAPEAR","OK"))</f>
        <v/>
      </c>
    </row>
    <row r="304">
      <c r="A304" s="16" t="n"/>
      <c r="B304" s="28" t="n"/>
      <c r="C304" s="18" t="n"/>
      <c r="D304" s="16" t="n"/>
      <c r="E304" s="35">
        <f>IF($A304="","",IF($D304="","FALTA MAPEAR","OK"))</f>
        <v/>
      </c>
    </row>
    <row r="305">
      <c r="A305" s="16" t="n"/>
      <c r="B305" s="28" t="n"/>
      <c r="C305" s="18" t="n"/>
      <c r="D305" s="16" t="n"/>
      <c r="E305" s="35">
        <f>IF($A305="","",IF($D305="","FALTA MAPEAR","OK"))</f>
        <v/>
      </c>
    </row>
  </sheetData>
  <autoFilter ref="A4:E305"/>
  <mergeCells count="3">
    <mergeCell ref="A2:E2"/>
    <mergeCell ref="A1:E1"/>
    <mergeCell ref="A3:E3"/>
  </mergeCells>
  <conditionalFormatting sqref="E6:E305">
    <cfRule type="cellIs" priority="1" operator="equal" dxfId="1">
      <formula>"OK"</formula>
    </cfRule>
    <cfRule type="cellIs" priority="2" operator="equal" dxfId="2">
      <formula>"FALTA MAPEAR"</formula>
    </cfRule>
  </conditionalFormatting>
  <dataValidations count="2">
    <dataValidation sqref="C6:C305" showDropDown="0" showInputMessage="0" showErrorMessage="0" allowBlank="1" type="list">
      <formula1>Listas!$A$2:$A$7</formula1>
    </dataValidation>
    <dataValidation sqref="D6:D305" showDropDown="0" showInputMessage="0" showErrorMessage="0" allowBlank="1" type="list">
      <formula1>Listas!$E$2:$E$141</formula1>
    </dataValidation>
  </dataValidations>
  <printOptions horizontalCentered="1"/>
  <pageMargins left="0.3" right="0.3" top="0.4" bottom="0.4" header="0.5" footer="0.5"/>
  <pageSetup orientation="portrait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2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33" customWidth="1" min="7" max="7"/>
    <col width="16" customWidth="1" min="8" max="8"/>
    <col hidden="1" width="40" customWidth="1" min="9" max="9"/>
  </cols>
  <sheetData>
    <row r="1" ht="30" customHeight="1">
      <c r="A1" s="1" t="inlineStr">
        <is>
          <t>CARGA 8b · MOVIMIENTOS DE STOCK DE INSUMOS SEGUN FUDO</t>
        </is>
      </c>
    </row>
    <row r="2" ht="18" customHeight="1">
      <c r="A2" s="2" t="inlineStr">
        <is>
          <t>Pegue el reporte de existencias/movimientos de Fudo en A:E. Despues mapee AREA e INSUMO de Candela.</t>
        </is>
      </c>
    </row>
    <row r="3" ht="18" customHeight="1">
      <c r="A3" s="3" t="inlineStr">
        <is>
          <t>Si Fudo no informa egresos, la planilla los calcula: inicial + ingresos - final. La fila 5 es un EJEMPLO: borrela.</t>
        </is>
      </c>
    </row>
    <row r="4" ht="34" customHeight="1">
      <c r="A4" s="6" t="inlineStr">
        <is>
          <t>INSUMO SEGUN FUDO
(pegar del export)</t>
        </is>
      </c>
      <c r="B4" s="6" t="inlineStr">
        <is>
          <t>STOCK
INICIAL</t>
        </is>
      </c>
      <c r="C4" s="6" t="inlineStr">
        <is>
          <t>INGRESOS</t>
        </is>
      </c>
      <c r="D4" s="6" t="inlineStr">
        <is>
          <t>EGRESOS</t>
        </is>
      </c>
      <c r="E4" s="6" t="inlineStr">
        <is>
          <t>STOCK
FINAL</t>
        </is>
      </c>
      <c r="F4" s="6" t="inlineStr">
        <is>
          <t>AREA DE CANDELA</t>
        </is>
      </c>
      <c r="G4" s="6" t="inlineStr">
        <is>
          <t>INSUMO DE CANDELA</t>
        </is>
      </c>
      <c r="H4" s="6" t="inlineStr">
        <is>
          <t>CONSUMO S/FUDO
(calculado)</t>
        </is>
      </c>
      <c r="I4" s="6" t="inlineStr">
        <is>
          <t>CLAVE (no tocar)</t>
        </is>
      </c>
    </row>
    <row r="5">
      <c r="A5" s="48" t="inlineStr">
        <is>
          <t>Harina 000</t>
        </is>
      </c>
      <c r="B5" s="50" t="n">
        <v>120</v>
      </c>
      <c r="C5" s="50" t="n">
        <v>100</v>
      </c>
      <c r="D5" s="50" t="n"/>
      <c r="E5" s="50" t="n">
        <v>95</v>
      </c>
      <c r="F5" s="49" t="inlineStr">
        <is>
          <t>Panadería</t>
        </is>
      </c>
      <c r="G5" s="48" t="inlineStr">
        <is>
          <t>Harina 000 x25kg</t>
        </is>
      </c>
      <c r="H5" s="50">
        <f>IF($D5&lt;&gt;"",$D5,IF(COUNT($B5,$E5)=2,$B5+IFERROR($C5,0)-$E5,""))</f>
        <v/>
      </c>
    </row>
    <row r="6">
      <c r="A6" s="16" t="n"/>
      <c r="B6" s="28" t="n"/>
      <c r="C6" s="28" t="n"/>
      <c r="D6" s="28" t="n"/>
      <c r="E6" s="28" t="n"/>
      <c r="F6" s="18" t="n"/>
      <c r="G6" s="16" t="n"/>
      <c r="H6" s="42">
        <f>IF($D6&lt;&gt;"",$D6,IF(COUNT($B6,$E6)=2,$B6+IFERROR($C6,0)-$E6,""))</f>
        <v/>
      </c>
      <c r="I6" s="30">
        <f>IF($G6="","",$F6&amp;" | "&amp;$G6)</f>
        <v/>
      </c>
    </row>
    <row r="7">
      <c r="A7" s="16" t="n"/>
      <c r="B7" s="28" t="n"/>
      <c r="C7" s="28" t="n"/>
      <c r="D7" s="28" t="n"/>
      <c r="E7" s="28" t="n"/>
      <c r="F7" s="18" t="n"/>
      <c r="G7" s="16" t="n"/>
      <c r="H7" s="42">
        <f>IF($D7&lt;&gt;"",$D7,IF(COUNT($B7,$E7)=2,$B7+IFERROR($C7,0)-$E7,""))</f>
        <v/>
      </c>
      <c r="I7" s="30">
        <f>IF($G7="","",$F7&amp;" | "&amp;$G7)</f>
        <v/>
      </c>
    </row>
    <row r="8">
      <c r="A8" s="16" t="n"/>
      <c r="B8" s="28" t="n"/>
      <c r="C8" s="28" t="n"/>
      <c r="D8" s="28" t="n"/>
      <c r="E8" s="28" t="n"/>
      <c r="F8" s="18" t="n"/>
      <c r="G8" s="16" t="n"/>
      <c r="H8" s="42">
        <f>IF($D8&lt;&gt;"",$D8,IF(COUNT($B8,$E8)=2,$B8+IFERROR($C8,0)-$E8,""))</f>
        <v/>
      </c>
      <c r="I8" s="30">
        <f>IF($G8="","",$F8&amp;" | "&amp;$G8)</f>
        <v/>
      </c>
    </row>
    <row r="9">
      <c r="A9" s="16" t="n"/>
      <c r="B9" s="28" t="n"/>
      <c r="C9" s="28" t="n"/>
      <c r="D9" s="28" t="n"/>
      <c r="E9" s="28" t="n"/>
      <c r="F9" s="18" t="n"/>
      <c r="G9" s="16" t="n"/>
      <c r="H9" s="42">
        <f>IF($D9&lt;&gt;"",$D9,IF(COUNT($B9,$E9)=2,$B9+IFERROR($C9,0)-$E9,""))</f>
        <v/>
      </c>
      <c r="I9" s="30">
        <f>IF($G9="","",$F9&amp;" | "&amp;$G9)</f>
        <v/>
      </c>
    </row>
    <row r="10">
      <c r="A10" s="16" t="n"/>
      <c r="B10" s="28" t="n"/>
      <c r="C10" s="28" t="n"/>
      <c r="D10" s="28" t="n"/>
      <c r="E10" s="28" t="n"/>
      <c r="F10" s="18" t="n"/>
      <c r="G10" s="16" t="n"/>
      <c r="H10" s="42">
        <f>IF($D10&lt;&gt;"",$D10,IF(COUNT($B10,$E10)=2,$B10+IFERROR($C10,0)-$E10,""))</f>
        <v/>
      </c>
      <c r="I10" s="30">
        <f>IF($G10="","",$F10&amp;" | "&amp;$G10)</f>
        <v/>
      </c>
    </row>
    <row r="11">
      <c r="A11" s="16" t="n"/>
      <c r="B11" s="28" t="n"/>
      <c r="C11" s="28" t="n"/>
      <c r="D11" s="28" t="n"/>
      <c r="E11" s="28" t="n"/>
      <c r="F11" s="18" t="n"/>
      <c r="G11" s="16" t="n"/>
      <c r="H11" s="42">
        <f>IF($D11&lt;&gt;"",$D11,IF(COUNT($B11,$E11)=2,$B11+IFERROR($C11,0)-$E11,""))</f>
        <v/>
      </c>
      <c r="I11" s="30">
        <f>IF($G11="","",$F11&amp;" | "&amp;$G11)</f>
        <v/>
      </c>
    </row>
    <row r="12">
      <c r="A12" s="16" t="n"/>
      <c r="B12" s="28" t="n"/>
      <c r="C12" s="28" t="n"/>
      <c r="D12" s="28" t="n"/>
      <c r="E12" s="28" t="n"/>
      <c r="F12" s="18" t="n"/>
      <c r="G12" s="16" t="n"/>
      <c r="H12" s="42">
        <f>IF($D12&lt;&gt;"",$D12,IF(COUNT($B12,$E12)=2,$B12+IFERROR($C12,0)-$E12,""))</f>
        <v/>
      </c>
      <c r="I12" s="30">
        <f>IF($G12="","",$F12&amp;" | "&amp;$G12)</f>
        <v/>
      </c>
    </row>
    <row r="13">
      <c r="A13" s="16" t="n"/>
      <c r="B13" s="28" t="n"/>
      <c r="C13" s="28" t="n"/>
      <c r="D13" s="28" t="n"/>
      <c r="E13" s="28" t="n"/>
      <c r="F13" s="18" t="n"/>
      <c r="G13" s="16" t="n"/>
      <c r="H13" s="42">
        <f>IF($D13&lt;&gt;"",$D13,IF(COUNT($B13,$E13)=2,$B13+IFERROR($C13,0)-$E13,""))</f>
        <v/>
      </c>
      <c r="I13" s="30">
        <f>IF($G13="","",$F13&amp;" | "&amp;$G13)</f>
        <v/>
      </c>
    </row>
    <row r="14">
      <c r="A14" s="16" t="n"/>
      <c r="B14" s="28" t="n"/>
      <c r="C14" s="28" t="n"/>
      <c r="D14" s="28" t="n"/>
      <c r="E14" s="28" t="n"/>
      <c r="F14" s="18" t="n"/>
      <c r="G14" s="16" t="n"/>
      <c r="H14" s="42">
        <f>IF($D14&lt;&gt;"",$D14,IF(COUNT($B14,$E14)=2,$B14+IFERROR($C14,0)-$E14,""))</f>
        <v/>
      </c>
      <c r="I14" s="30">
        <f>IF($G14="","",$F14&amp;" | "&amp;$G14)</f>
        <v/>
      </c>
    </row>
    <row r="15">
      <c r="A15" s="16" t="n"/>
      <c r="B15" s="28" t="n"/>
      <c r="C15" s="28" t="n"/>
      <c r="D15" s="28" t="n"/>
      <c r="E15" s="28" t="n"/>
      <c r="F15" s="18" t="n"/>
      <c r="G15" s="16" t="n"/>
      <c r="H15" s="42">
        <f>IF($D15&lt;&gt;"",$D15,IF(COUNT($B15,$E15)=2,$B15+IFERROR($C15,0)-$E15,""))</f>
        <v/>
      </c>
      <c r="I15" s="30">
        <f>IF($G15="","",$F15&amp;" | "&amp;$G15)</f>
        <v/>
      </c>
    </row>
    <row r="16">
      <c r="A16" s="16" t="n"/>
      <c r="B16" s="28" t="n"/>
      <c r="C16" s="28" t="n"/>
      <c r="D16" s="28" t="n"/>
      <c r="E16" s="28" t="n"/>
      <c r="F16" s="18" t="n"/>
      <c r="G16" s="16" t="n"/>
      <c r="H16" s="42">
        <f>IF($D16&lt;&gt;"",$D16,IF(COUNT($B16,$E16)=2,$B16+IFERROR($C16,0)-$E16,""))</f>
        <v/>
      </c>
      <c r="I16" s="30">
        <f>IF($G16="","",$F16&amp;" | "&amp;$G16)</f>
        <v/>
      </c>
    </row>
    <row r="17">
      <c r="A17" s="16" t="n"/>
      <c r="B17" s="28" t="n"/>
      <c r="C17" s="28" t="n"/>
      <c r="D17" s="28" t="n"/>
      <c r="E17" s="28" t="n"/>
      <c r="F17" s="18" t="n"/>
      <c r="G17" s="16" t="n"/>
      <c r="H17" s="42">
        <f>IF($D17&lt;&gt;"",$D17,IF(COUNT($B17,$E17)=2,$B17+IFERROR($C17,0)-$E17,""))</f>
        <v/>
      </c>
      <c r="I17" s="30">
        <f>IF($G17="","",$F17&amp;" | "&amp;$G17)</f>
        <v/>
      </c>
    </row>
    <row r="18">
      <c r="A18" s="16" t="n"/>
      <c r="B18" s="28" t="n"/>
      <c r="C18" s="28" t="n"/>
      <c r="D18" s="28" t="n"/>
      <c r="E18" s="28" t="n"/>
      <c r="F18" s="18" t="n"/>
      <c r="G18" s="16" t="n"/>
      <c r="H18" s="42">
        <f>IF($D18&lt;&gt;"",$D18,IF(COUNT($B18,$E18)=2,$B18+IFERROR($C18,0)-$E18,""))</f>
        <v/>
      </c>
      <c r="I18" s="30">
        <f>IF($G18="","",$F18&amp;" | "&amp;$G18)</f>
        <v/>
      </c>
    </row>
    <row r="19">
      <c r="A19" s="16" t="n"/>
      <c r="B19" s="28" t="n"/>
      <c r="C19" s="28" t="n"/>
      <c r="D19" s="28" t="n"/>
      <c r="E19" s="28" t="n"/>
      <c r="F19" s="18" t="n"/>
      <c r="G19" s="16" t="n"/>
      <c r="H19" s="42">
        <f>IF($D19&lt;&gt;"",$D19,IF(COUNT($B19,$E19)=2,$B19+IFERROR($C19,0)-$E19,""))</f>
        <v/>
      </c>
      <c r="I19" s="30">
        <f>IF($G19="","",$F19&amp;" | "&amp;$G19)</f>
        <v/>
      </c>
    </row>
    <row r="20">
      <c r="A20" s="16" t="n"/>
      <c r="B20" s="28" t="n"/>
      <c r="C20" s="28" t="n"/>
      <c r="D20" s="28" t="n"/>
      <c r="E20" s="28" t="n"/>
      <c r="F20" s="18" t="n"/>
      <c r="G20" s="16" t="n"/>
      <c r="H20" s="42">
        <f>IF($D20&lt;&gt;"",$D20,IF(COUNT($B20,$E20)=2,$B20+IFERROR($C20,0)-$E20,""))</f>
        <v/>
      </c>
      <c r="I20" s="30">
        <f>IF($G20="","",$F20&amp;" | "&amp;$G20)</f>
        <v/>
      </c>
    </row>
    <row r="21">
      <c r="A21" s="16" t="n"/>
      <c r="B21" s="28" t="n"/>
      <c r="C21" s="28" t="n"/>
      <c r="D21" s="28" t="n"/>
      <c r="E21" s="28" t="n"/>
      <c r="F21" s="18" t="n"/>
      <c r="G21" s="16" t="n"/>
      <c r="H21" s="42">
        <f>IF($D21&lt;&gt;"",$D21,IF(COUNT($B21,$E21)=2,$B21+IFERROR($C21,0)-$E21,""))</f>
        <v/>
      </c>
      <c r="I21" s="30">
        <f>IF($G21="","",$F21&amp;" | "&amp;$G21)</f>
        <v/>
      </c>
    </row>
    <row r="22">
      <c r="A22" s="16" t="n"/>
      <c r="B22" s="28" t="n"/>
      <c r="C22" s="28" t="n"/>
      <c r="D22" s="28" t="n"/>
      <c r="E22" s="28" t="n"/>
      <c r="F22" s="18" t="n"/>
      <c r="G22" s="16" t="n"/>
      <c r="H22" s="42">
        <f>IF($D22&lt;&gt;"",$D22,IF(COUNT($B22,$E22)=2,$B22+IFERROR($C22,0)-$E22,""))</f>
        <v/>
      </c>
      <c r="I22" s="30">
        <f>IF($G22="","",$F22&amp;" | "&amp;$G22)</f>
        <v/>
      </c>
    </row>
    <row r="23">
      <c r="A23" s="16" t="n"/>
      <c r="B23" s="28" t="n"/>
      <c r="C23" s="28" t="n"/>
      <c r="D23" s="28" t="n"/>
      <c r="E23" s="28" t="n"/>
      <c r="F23" s="18" t="n"/>
      <c r="G23" s="16" t="n"/>
      <c r="H23" s="42">
        <f>IF($D23&lt;&gt;"",$D23,IF(COUNT($B23,$E23)=2,$B23+IFERROR($C23,0)-$E23,""))</f>
        <v/>
      </c>
      <c r="I23" s="30">
        <f>IF($G23="","",$F23&amp;" | "&amp;$G23)</f>
        <v/>
      </c>
    </row>
    <row r="24">
      <c r="A24" s="16" t="n"/>
      <c r="B24" s="28" t="n"/>
      <c r="C24" s="28" t="n"/>
      <c r="D24" s="28" t="n"/>
      <c r="E24" s="28" t="n"/>
      <c r="F24" s="18" t="n"/>
      <c r="G24" s="16" t="n"/>
      <c r="H24" s="42">
        <f>IF($D24&lt;&gt;"",$D24,IF(COUNT($B24,$E24)=2,$B24+IFERROR($C24,0)-$E24,""))</f>
        <v/>
      </c>
      <c r="I24" s="30">
        <f>IF($G24="","",$F24&amp;" | "&amp;$G24)</f>
        <v/>
      </c>
    </row>
    <row r="25">
      <c r="A25" s="16" t="n"/>
      <c r="B25" s="28" t="n"/>
      <c r="C25" s="28" t="n"/>
      <c r="D25" s="28" t="n"/>
      <c r="E25" s="28" t="n"/>
      <c r="F25" s="18" t="n"/>
      <c r="G25" s="16" t="n"/>
      <c r="H25" s="42">
        <f>IF($D25&lt;&gt;"",$D25,IF(COUNT($B25,$E25)=2,$B25+IFERROR($C25,0)-$E25,""))</f>
        <v/>
      </c>
      <c r="I25" s="30">
        <f>IF($G25="","",$F25&amp;" | "&amp;$G25)</f>
        <v/>
      </c>
    </row>
    <row r="26">
      <c r="A26" s="16" t="n"/>
      <c r="B26" s="28" t="n"/>
      <c r="C26" s="28" t="n"/>
      <c r="D26" s="28" t="n"/>
      <c r="E26" s="28" t="n"/>
      <c r="F26" s="18" t="n"/>
      <c r="G26" s="16" t="n"/>
      <c r="H26" s="42">
        <f>IF($D26&lt;&gt;"",$D26,IF(COUNT($B26,$E26)=2,$B26+IFERROR($C26,0)-$E26,""))</f>
        <v/>
      </c>
      <c r="I26" s="30">
        <f>IF($G26="","",$F26&amp;" | "&amp;$G26)</f>
        <v/>
      </c>
    </row>
    <row r="27">
      <c r="A27" s="16" t="n"/>
      <c r="B27" s="28" t="n"/>
      <c r="C27" s="28" t="n"/>
      <c r="D27" s="28" t="n"/>
      <c r="E27" s="28" t="n"/>
      <c r="F27" s="18" t="n"/>
      <c r="G27" s="16" t="n"/>
      <c r="H27" s="42">
        <f>IF($D27&lt;&gt;"",$D27,IF(COUNT($B27,$E27)=2,$B27+IFERROR($C27,0)-$E27,""))</f>
        <v/>
      </c>
      <c r="I27" s="30">
        <f>IF($G27="","",$F27&amp;" | "&amp;$G27)</f>
        <v/>
      </c>
    </row>
    <row r="28">
      <c r="A28" s="16" t="n"/>
      <c r="B28" s="28" t="n"/>
      <c r="C28" s="28" t="n"/>
      <c r="D28" s="28" t="n"/>
      <c r="E28" s="28" t="n"/>
      <c r="F28" s="18" t="n"/>
      <c r="G28" s="16" t="n"/>
      <c r="H28" s="42">
        <f>IF($D28&lt;&gt;"",$D28,IF(COUNT($B28,$E28)=2,$B28+IFERROR($C28,0)-$E28,""))</f>
        <v/>
      </c>
      <c r="I28" s="30">
        <f>IF($G28="","",$F28&amp;" | "&amp;$G28)</f>
        <v/>
      </c>
    </row>
    <row r="29">
      <c r="A29" s="16" t="n"/>
      <c r="B29" s="28" t="n"/>
      <c r="C29" s="28" t="n"/>
      <c r="D29" s="28" t="n"/>
      <c r="E29" s="28" t="n"/>
      <c r="F29" s="18" t="n"/>
      <c r="G29" s="16" t="n"/>
      <c r="H29" s="42">
        <f>IF($D29&lt;&gt;"",$D29,IF(COUNT($B29,$E29)=2,$B29+IFERROR($C29,0)-$E29,""))</f>
        <v/>
      </c>
      <c r="I29" s="30">
        <f>IF($G29="","",$F29&amp;" | "&amp;$G29)</f>
        <v/>
      </c>
    </row>
    <row r="30">
      <c r="A30" s="16" t="n"/>
      <c r="B30" s="28" t="n"/>
      <c r="C30" s="28" t="n"/>
      <c r="D30" s="28" t="n"/>
      <c r="E30" s="28" t="n"/>
      <c r="F30" s="18" t="n"/>
      <c r="G30" s="16" t="n"/>
      <c r="H30" s="42">
        <f>IF($D30&lt;&gt;"",$D30,IF(COUNT($B30,$E30)=2,$B30+IFERROR($C30,0)-$E30,""))</f>
        <v/>
      </c>
      <c r="I30" s="30">
        <f>IF($G30="","",$F30&amp;" | "&amp;$G30)</f>
        <v/>
      </c>
    </row>
    <row r="31">
      <c r="A31" s="16" t="n"/>
      <c r="B31" s="28" t="n"/>
      <c r="C31" s="28" t="n"/>
      <c r="D31" s="28" t="n"/>
      <c r="E31" s="28" t="n"/>
      <c r="F31" s="18" t="n"/>
      <c r="G31" s="16" t="n"/>
      <c r="H31" s="42">
        <f>IF($D31&lt;&gt;"",$D31,IF(COUNT($B31,$E31)=2,$B31+IFERROR($C31,0)-$E31,""))</f>
        <v/>
      </c>
      <c r="I31" s="30">
        <f>IF($G31="","",$F31&amp;" | "&amp;$G31)</f>
        <v/>
      </c>
    </row>
    <row r="32">
      <c r="A32" s="16" t="n"/>
      <c r="B32" s="28" t="n"/>
      <c r="C32" s="28" t="n"/>
      <c r="D32" s="28" t="n"/>
      <c r="E32" s="28" t="n"/>
      <c r="F32" s="18" t="n"/>
      <c r="G32" s="16" t="n"/>
      <c r="H32" s="42">
        <f>IF($D32&lt;&gt;"",$D32,IF(COUNT($B32,$E32)=2,$B32+IFERROR($C32,0)-$E32,""))</f>
        <v/>
      </c>
      <c r="I32" s="30">
        <f>IF($G32="","",$F32&amp;" | "&amp;$G32)</f>
        <v/>
      </c>
    </row>
    <row r="33">
      <c r="A33" s="16" t="n"/>
      <c r="B33" s="28" t="n"/>
      <c r="C33" s="28" t="n"/>
      <c r="D33" s="28" t="n"/>
      <c r="E33" s="28" t="n"/>
      <c r="F33" s="18" t="n"/>
      <c r="G33" s="16" t="n"/>
      <c r="H33" s="42">
        <f>IF($D33&lt;&gt;"",$D33,IF(COUNT($B33,$E33)=2,$B33+IFERROR($C33,0)-$E33,""))</f>
        <v/>
      </c>
      <c r="I33" s="30">
        <f>IF($G33="","",$F33&amp;" | "&amp;$G33)</f>
        <v/>
      </c>
    </row>
    <row r="34">
      <c r="A34" s="16" t="n"/>
      <c r="B34" s="28" t="n"/>
      <c r="C34" s="28" t="n"/>
      <c r="D34" s="28" t="n"/>
      <c r="E34" s="28" t="n"/>
      <c r="F34" s="18" t="n"/>
      <c r="G34" s="16" t="n"/>
      <c r="H34" s="42">
        <f>IF($D34&lt;&gt;"",$D34,IF(COUNT($B34,$E34)=2,$B34+IFERROR($C34,0)-$E34,""))</f>
        <v/>
      </c>
      <c r="I34" s="30">
        <f>IF($G34="","",$F34&amp;" | "&amp;$G34)</f>
        <v/>
      </c>
    </row>
    <row r="35">
      <c r="A35" s="16" t="n"/>
      <c r="B35" s="28" t="n"/>
      <c r="C35" s="28" t="n"/>
      <c r="D35" s="28" t="n"/>
      <c r="E35" s="28" t="n"/>
      <c r="F35" s="18" t="n"/>
      <c r="G35" s="16" t="n"/>
      <c r="H35" s="42">
        <f>IF($D35&lt;&gt;"",$D35,IF(COUNT($B35,$E35)=2,$B35+IFERROR($C35,0)-$E35,""))</f>
        <v/>
      </c>
      <c r="I35" s="30">
        <f>IF($G35="","",$F35&amp;" | "&amp;$G35)</f>
        <v/>
      </c>
    </row>
    <row r="36">
      <c r="A36" s="16" t="n"/>
      <c r="B36" s="28" t="n"/>
      <c r="C36" s="28" t="n"/>
      <c r="D36" s="28" t="n"/>
      <c r="E36" s="28" t="n"/>
      <c r="F36" s="18" t="n"/>
      <c r="G36" s="16" t="n"/>
      <c r="H36" s="42">
        <f>IF($D36&lt;&gt;"",$D36,IF(COUNT($B36,$E36)=2,$B36+IFERROR($C36,0)-$E36,""))</f>
        <v/>
      </c>
      <c r="I36" s="30">
        <f>IF($G36="","",$F36&amp;" | "&amp;$G36)</f>
        <v/>
      </c>
    </row>
    <row r="37">
      <c r="A37" s="16" t="n"/>
      <c r="B37" s="28" t="n"/>
      <c r="C37" s="28" t="n"/>
      <c r="D37" s="28" t="n"/>
      <c r="E37" s="28" t="n"/>
      <c r="F37" s="18" t="n"/>
      <c r="G37" s="16" t="n"/>
      <c r="H37" s="42">
        <f>IF($D37&lt;&gt;"",$D37,IF(COUNT($B37,$E37)=2,$B37+IFERROR($C37,0)-$E37,""))</f>
        <v/>
      </c>
      <c r="I37" s="30">
        <f>IF($G37="","",$F37&amp;" | "&amp;$G37)</f>
        <v/>
      </c>
    </row>
    <row r="38">
      <c r="A38" s="16" t="n"/>
      <c r="B38" s="28" t="n"/>
      <c r="C38" s="28" t="n"/>
      <c r="D38" s="28" t="n"/>
      <c r="E38" s="28" t="n"/>
      <c r="F38" s="18" t="n"/>
      <c r="G38" s="16" t="n"/>
      <c r="H38" s="42">
        <f>IF($D38&lt;&gt;"",$D38,IF(COUNT($B38,$E38)=2,$B38+IFERROR($C38,0)-$E38,""))</f>
        <v/>
      </c>
      <c r="I38" s="30">
        <f>IF($G38="","",$F38&amp;" | "&amp;$G38)</f>
        <v/>
      </c>
    </row>
    <row r="39">
      <c r="A39" s="16" t="n"/>
      <c r="B39" s="28" t="n"/>
      <c r="C39" s="28" t="n"/>
      <c r="D39" s="28" t="n"/>
      <c r="E39" s="28" t="n"/>
      <c r="F39" s="18" t="n"/>
      <c r="G39" s="16" t="n"/>
      <c r="H39" s="42">
        <f>IF($D39&lt;&gt;"",$D39,IF(COUNT($B39,$E39)=2,$B39+IFERROR($C39,0)-$E39,""))</f>
        <v/>
      </c>
      <c r="I39" s="30">
        <f>IF($G39="","",$F39&amp;" | "&amp;$G39)</f>
        <v/>
      </c>
    </row>
    <row r="40">
      <c r="A40" s="16" t="n"/>
      <c r="B40" s="28" t="n"/>
      <c r="C40" s="28" t="n"/>
      <c r="D40" s="28" t="n"/>
      <c r="E40" s="28" t="n"/>
      <c r="F40" s="18" t="n"/>
      <c r="G40" s="16" t="n"/>
      <c r="H40" s="42">
        <f>IF($D40&lt;&gt;"",$D40,IF(COUNT($B40,$E40)=2,$B40+IFERROR($C40,0)-$E40,""))</f>
        <v/>
      </c>
      <c r="I40" s="30">
        <f>IF($G40="","",$F40&amp;" | "&amp;$G40)</f>
        <v/>
      </c>
    </row>
    <row r="41">
      <c r="A41" s="16" t="n"/>
      <c r="B41" s="28" t="n"/>
      <c r="C41" s="28" t="n"/>
      <c r="D41" s="28" t="n"/>
      <c r="E41" s="28" t="n"/>
      <c r="F41" s="18" t="n"/>
      <c r="G41" s="16" t="n"/>
      <c r="H41" s="42">
        <f>IF($D41&lt;&gt;"",$D41,IF(COUNT($B41,$E41)=2,$B41+IFERROR($C41,0)-$E41,""))</f>
        <v/>
      </c>
      <c r="I41" s="30">
        <f>IF($G41="","",$F41&amp;" | "&amp;$G41)</f>
        <v/>
      </c>
    </row>
    <row r="42">
      <c r="A42" s="16" t="n"/>
      <c r="B42" s="28" t="n"/>
      <c r="C42" s="28" t="n"/>
      <c r="D42" s="28" t="n"/>
      <c r="E42" s="28" t="n"/>
      <c r="F42" s="18" t="n"/>
      <c r="G42" s="16" t="n"/>
      <c r="H42" s="42">
        <f>IF($D42&lt;&gt;"",$D42,IF(COUNT($B42,$E42)=2,$B42+IFERROR($C42,0)-$E42,""))</f>
        <v/>
      </c>
      <c r="I42" s="30">
        <f>IF($G42="","",$F42&amp;" | "&amp;$G42)</f>
        <v/>
      </c>
    </row>
    <row r="43">
      <c r="A43" s="16" t="n"/>
      <c r="B43" s="28" t="n"/>
      <c r="C43" s="28" t="n"/>
      <c r="D43" s="28" t="n"/>
      <c r="E43" s="28" t="n"/>
      <c r="F43" s="18" t="n"/>
      <c r="G43" s="16" t="n"/>
      <c r="H43" s="42">
        <f>IF($D43&lt;&gt;"",$D43,IF(COUNT($B43,$E43)=2,$B43+IFERROR($C43,0)-$E43,""))</f>
        <v/>
      </c>
      <c r="I43" s="30">
        <f>IF($G43="","",$F43&amp;" | "&amp;$G43)</f>
        <v/>
      </c>
    </row>
    <row r="44">
      <c r="A44" s="16" t="n"/>
      <c r="B44" s="28" t="n"/>
      <c r="C44" s="28" t="n"/>
      <c r="D44" s="28" t="n"/>
      <c r="E44" s="28" t="n"/>
      <c r="F44" s="18" t="n"/>
      <c r="G44" s="16" t="n"/>
      <c r="H44" s="42">
        <f>IF($D44&lt;&gt;"",$D44,IF(COUNT($B44,$E44)=2,$B44+IFERROR($C44,0)-$E44,""))</f>
        <v/>
      </c>
      <c r="I44" s="30">
        <f>IF($G44="","",$F44&amp;" | "&amp;$G44)</f>
        <v/>
      </c>
    </row>
    <row r="45">
      <c r="A45" s="16" t="n"/>
      <c r="B45" s="28" t="n"/>
      <c r="C45" s="28" t="n"/>
      <c r="D45" s="28" t="n"/>
      <c r="E45" s="28" t="n"/>
      <c r="F45" s="18" t="n"/>
      <c r="G45" s="16" t="n"/>
      <c r="H45" s="42">
        <f>IF($D45&lt;&gt;"",$D45,IF(COUNT($B45,$E45)=2,$B45+IFERROR($C45,0)-$E45,""))</f>
        <v/>
      </c>
      <c r="I45" s="30">
        <f>IF($G45="","",$F45&amp;" | "&amp;$G45)</f>
        <v/>
      </c>
    </row>
    <row r="46">
      <c r="A46" s="16" t="n"/>
      <c r="B46" s="28" t="n"/>
      <c r="C46" s="28" t="n"/>
      <c r="D46" s="28" t="n"/>
      <c r="E46" s="28" t="n"/>
      <c r="F46" s="18" t="n"/>
      <c r="G46" s="16" t="n"/>
      <c r="H46" s="42">
        <f>IF($D46&lt;&gt;"",$D46,IF(COUNT($B46,$E46)=2,$B46+IFERROR($C46,0)-$E46,""))</f>
        <v/>
      </c>
      <c r="I46" s="30">
        <f>IF($G46="","",$F46&amp;" | "&amp;$G46)</f>
        <v/>
      </c>
    </row>
    <row r="47">
      <c r="A47" s="16" t="n"/>
      <c r="B47" s="28" t="n"/>
      <c r="C47" s="28" t="n"/>
      <c r="D47" s="28" t="n"/>
      <c r="E47" s="28" t="n"/>
      <c r="F47" s="18" t="n"/>
      <c r="G47" s="16" t="n"/>
      <c r="H47" s="42">
        <f>IF($D47&lt;&gt;"",$D47,IF(COUNT($B47,$E47)=2,$B47+IFERROR($C47,0)-$E47,""))</f>
        <v/>
      </c>
      <c r="I47" s="30">
        <f>IF($G47="","",$F47&amp;" | "&amp;$G47)</f>
        <v/>
      </c>
    </row>
    <row r="48">
      <c r="A48" s="16" t="n"/>
      <c r="B48" s="28" t="n"/>
      <c r="C48" s="28" t="n"/>
      <c r="D48" s="28" t="n"/>
      <c r="E48" s="28" t="n"/>
      <c r="F48" s="18" t="n"/>
      <c r="G48" s="16" t="n"/>
      <c r="H48" s="42">
        <f>IF($D48&lt;&gt;"",$D48,IF(COUNT($B48,$E48)=2,$B48+IFERROR($C48,0)-$E48,""))</f>
        <v/>
      </c>
      <c r="I48" s="30">
        <f>IF($G48="","",$F48&amp;" | "&amp;$G48)</f>
        <v/>
      </c>
    </row>
    <row r="49">
      <c r="A49" s="16" t="n"/>
      <c r="B49" s="28" t="n"/>
      <c r="C49" s="28" t="n"/>
      <c r="D49" s="28" t="n"/>
      <c r="E49" s="28" t="n"/>
      <c r="F49" s="18" t="n"/>
      <c r="G49" s="16" t="n"/>
      <c r="H49" s="42">
        <f>IF($D49&lt;&gt;"",$D49,IF(COUNT($B49,$E49)=2,$B49+IFERROR($C49,0)-$E49,""))</f>
        <v/>
      </c>
      <c r="I49" s="30">
        <f>IF($G49="","",$F49&amp;" | "&amp;$G49)</f>
        <v/>
      </c>
    </row>
    <row r="50">
      <c r="A50" s="16" t="n"/>
      <c r="B50" s="28" t="n"/>
      <c r="C50" s="28" t="n"/>
      <c r="D50" s="28" t="n"/>
      <c r="E50" s="28" t="n"/>
      <c r="F50" s="18" t="n"/>
      <c r="G50" s="16" t="n"/>
      <c r="H50" s="42">
        <f>IF($D50&lt;&gt;"",$D50,IF(COUNT($B50,$E50)=2,$B50+IFERROR($C50,0)-$E50,""))</f>
        <v/>
      </c>
      <c r="I50" s="30">
        <f>IF($G50="","",$F50&amp;" | "&amp;$G50)</f>
        <v/>
      </c>
    </row>
    <row r="51">
      <c r="A51" s="16" t="n"/>
      <c r="B51" s="28" t="n"/>
      <c r="C51" s="28" t="n"/>
      <c r="D51" s="28" t="n"/>
      <c r="E51" s="28" t="n"/>
      <c r="F51" s="18" t="n"/>
      <c r="G51" s="16" t="n"/>
      <c r="H51" s="42">
        <f>IF($D51&lt;&gt;"",$D51,IF(COUNT($B51,$E51)=2,$B51+IFERROR($C51,0)-$E51,""))</f>
        <v/>
      </c>
      <c r="I51" s="30">
        <f>IF($G51="","",$F51&amp;" | "&amp;$G51)</f>
        <v/>
      </c>
    </row>
    <row r="52">
      <c r="A52" s="16" t="n"/>
      <c r="B52" s="28" t="n"/>
      <c r="C52" s="28" t="n"/>
      <c r="D52" s="28" t="n"/>
      <c r="E52" s="28" t="n"/>
      <c r="F52" s="18" t="n"/>
      <c r="G52" s="16" t="n"/>
      <c r="H52" s="42">
        <f>IF($D52&lt;&gt;"",$D52,IF(COUNT($B52,$E52)=2,$B52+IFERROR($C52,0)-$E52,""))</f>
        <v/>
      </c>
      <c r="I52" s="30">
        <f>IF($G52="","",$F52&amp;" | "&amp;$G52)</f>
        <v/>
      </c>
    </row>
    <row r="53">
      <c r="A53" s="16" t="n"/>
      <c r="B53" s="28" t="n"/>
      <c r="C53" s="28" t="n"/>
      <c r="D53" s="28" t="n"/>
      <c r="E53" s="28" t="n"/>
      <c r="F53" s="18" t="n"/>
      <c r="G53" s="16" t="n"/>
      <c r="H53" s="42">
        <f>IF($D53&lt;&gt;"",$D53,IF(COUNT($B53,$E53)=2,$B53+IFERROR($C53,0)-$E53,""))</f>
        <v/>
      </c>
      <c r="I53" s="30">
        <f>IF($G53="","",$F53&amp;" | "&amp;$G53)</f>
        <v/>
      </c>
    </row>
    <row r="54">
      <c r="A54" s="16" t="n"/>
      <c r="B54" s="28" t="n"/>
      <c r="C54" s="28" t="n"/>
      <c r="D54" s="28" t="n"/>
      <c r="E54" s="28" t="n"/>
      <c r="F54" s="18" t="n"/>
      <c r="G54" s="16" t="n"/>
      <c r="H54" s="42">
        <f>IF($D54&lt;&gt;"",$D54,IF(COUNT($B54,$E54)=2,$B54+IFERROR($C54,0)-$E54,""))</f>
        <v/>
      </c>
      <c r="I54" s="30">
        <f>IF($G54="","",$F54&amp;" | "&amp;$G54)</f>
        <v/>
      </c>
    </row>
    <row r="55">
      <c r="A55" s="16" t="n"/>
      <c r="B55" s="28" t="n"/>
      <c r="C55" s="28" t="n"/>
      <c r="D55" s="28" t="n"/>
      <c r="E55" s="28" t="n"/>
      <c r="F55" s="18" t="n"/>
      <c r="G55" s="16" t="n"/>
      <c r="H55" s="42">
        <f>IF($D55&lt;&gt;"",$D55,IF(COUNT($B55,$E55)=2,$B55+IFERROR($C55,0)-$E55,""))</f>
        <v/>
      </c>
      <c r="I55" s="30">
        <f>IF($G55="","",$F55&amp;" | "&amp;$G55)</f>
        <v/>
      </c>
    </row>
    <row r="56">
      <c r="A56" s="16" t="n"/>
      <c r="B56" s="28" t="n"/>
      <c r="C56" s="28" t="n"/>
      <c r="D56" s="28" t="n"/>
      <c r="E56" s="28" t="n"/>
      <c r="F56" s="18" t="n"/>
      <c r="G56" s="16" t="n"/>
      <c r="H56" s="42">
        <f>IF($D56&lt;&gt;"",$D56,IF(COUNT($B56,$E56)=2,$B56+IFERROR($C56,0)-$E56,""))</f>
        <v/>
      </c>
      <c r="I56" s="30">
        <f>IF($G56="","",$F56&amp;" | "&amp;$G56)</f>
        <v/>
      </c>
    </row>
    <row r="57">
      <c r="A57" s="16" t="n"/>
      <c r="B57" s="28" t="n"/>
      <c r="C57" s="28" t="n"/>
      <c r="D57" s="28" t="n"/>
      <c r="E57" s="28" t="n"/>
      <c r="F57" s="18" t="n"/>
      <c r="G57" s="16" t="n"/>
      <c r="H57" s="42">
        <f>IF($D57&lt;&gt;"",$D57,IF(COUNT($B57,$E57)=2,$B57+IFERROR($C57,0)-$E57,""))</f>
        <v/>
      </c>
      <c r="I57" s="30">
        <f>IF($G57="","",$F57&amp;" | "&amp;$G57)</f>
        <v/>
      </c>
    </row>
    <row r="58">
      <c r="A58" s="16" t="n"/>
      <c r="B58" s="28" t="n"/>
      <c r="C58" s="28" t="n"/>
      <c r="D58" s="28" t="n"/>
      <c r="E58" s="28" t="n"/>
      <c r="F58" s="18" t="n"/>
      <c r="G58" s="16" t="n"/>
      <c r="H58" s="42">
        <f>IF($D58&lt;&gt;"",$D58,IF(COUNT($B58,$E58)=2,$B58+IFERROR($C58,0)-$E58,""))</f>
        <v/>
      </c>
      <c r="I58" s="30">
        <f>IF($G58="","",$F58&amp;" | "&amp;$G58)</f>
        <v/>
      </c>
    </row>
    <row r="59">
      <c r="A59" s="16" t="n"/>
      <c r="B59" s="28" t="n"/>
      <c r="C59" s="28" t="n"/>
      <c r="D59" s="28" t="n"/>
      <c r="E59" s="28" t="n"/>
      <c r="F59" s="18" t="n"/>
      <c r="G59" s="16" t="n"/>
      <c r="H59" s="42">
        <f>IF($D59&lt;&gt;"",$D59,IF(COUNT($B59,$E59)=2,$B59+IFERROR($C59,0)-$E59,""))</f>
        <v/>
      </c>
      <c r="I59" s="30">
        <f>IF($G59="","",$F59&amp;" | "&amp;$G59)</f>
        <v/>
      </c>
    </row>
    <row r="60">
      <c r="A60" s="16" t="n"/>
      <c r="B60" s="28" t="n"/>
      <c r="C60" s="28" t="n"/>
      <c r="D60" s="28" t="n"/>
      <c r="E60" s="28" t="n"/>
      <c r="F60" s="18" t="n"/>
      <c r="G60" s="16" t="n"/>
      <c r="H60" s="42">
        <f>IF($D60&lt;&gt;"",$D60,IF(COUNT($B60,$E60)=2,$B60+IFERROR($C60,0)-$E60,""))</f>
        <v/>
      </c>
      <c r="I60" s="30">
        <f>IF($G60="","",$F60&amp;" | "&amp;$G60)</f>
        <v/>
      </c>
    </row>
    <row r="61">
      <c r="A61" s="16" t="n"/>
      <c r="B61" s="28" t="n"/>
      <c r="C61" s="28" t="n"/>
      <c r="D61" s="28" t="n"/>
      <c r="E61" s="28" t="n"/>
      <c r="F61" s="18" t="n"/>
      <c r="G61" s="16" t="n"/>
      <c r="H61" s="42">
        <f>IF($D61&lt;&gt;"",$D61,IF(COUNT($B61,$E61)=2,$B61+IFERROR($C61,0)-$E61,""))</f>
        <v/>
      </c>
      <c r="I61" s="30">
        <f>IF($G61="","",$F61&amp;" | "&amp;$G61)</f>
        <v/>
      </c>
    </row>
    <row r="62">
      <c r="A62" s="16" t="n"/>
      <c r="B62" s="28" t="n"/>
      <c r="C62" s="28" t="n"/>
      <c r="D62" s="28" t="n"/>
      <c r="E62" s="28" t="n"/>
      <c r="F62" s="18" t="n"/>
      <c r="G62" s="16" t="n"/>
      <c r="H62" s="42">
        <f>IF($D62&lt;&gt;"",$D62,IF(COUNT($B62,$E62)=2,$B62+IFERROR($C62,0)-$E62,""))</f>
        <v/>
      </c>
      <c r="I62" s="30">
        <f>IF($G62="","",$F62&amp;" | "&amp;$G62)</f>
        <v/>
      </c>
    </row>
    <row r="63">
      <c r="A63" s="16" t="n"/>
      <c r="B63" s="28" t="n"/>
      <c r="C63" s="28" t="n"/>
      <c r="D63" s="28" t="n"/>
      <c r="E63" s="28" t="n"/>
      <c r="F63" s="18" t="n"/>
      <c r="G63" s="16" t="n"/>
      <c r="H63" s="42">
        <f>IF($D63&lt;&gt;"",$D63,IF(COUNT($B63,$E63)=2,$B63+IFERROR($C63,0)-$E63,""))</f>
        <v/>
      </c>
      <c r="I63" s="30">
        <f>IF($G63="","",$F63&amp;" | "&amp;$G63)</f>
        <v/>
      </c>
    </row>
    <row r="64">
      <c r="A64" s="16" t="n"/>
      <c r="B64" s="28" t="n"/>
      <c r="C64" s="28" t="n"/>
      <c r="D64" s="28" t="n"/>
      <c r="E64" s="28" t="n"/>
      <c r="F64" s="18" t="n"/>
      <c r="G64" s="16" t="n"/>
      <c r="H64" s="42">
        <f>IF($D64&lt;&gt;"",$D64,IF(COUNT($B64,$E64)=2,$B64+IFERROR($C64,0)-$E64,""))</f>
        <v/>
      </c>
      <c r="I64" s="30">
        <f>IF($G64="","",$F64&amp;" | "&amp;$G64)</f>
        <v/>
      </c>
    </row>
    <row r="65">
      <c r="A65" s="16" t="n"/>
      <c r="B65" s="28" t="n"/>
      <c r="C65" s="28" t="n"/>
      <c r="D65" s="28" t="n"/>
      <c r="E65" s="28" t="n"/>
      <c r="F65" s="18" t="n"/>
      <c r="G65" s="16" t="n"/>
      <c r="H65" s="42">
        <f>IF($D65&lt;&gt;"",$D65,IF(COUNT($B65,$E65)=2,$B65+IFERROR($C65,0)-$E65,""))</f>
        <v/>
      </c>
      <c r="I65" s="30">
        <f>IF($G65="","",$F65&amp;" | "&amp;$G65)</f>
        <v/>
      </c>
    </row>
    <row r="66">
      <c r="A66" s="16" t="n"/>
      <c r="B66" s="28" t="n"/>
      <c r="C66" s="28" t="n"/>
      <c r="D66" s="28" t="n"/>
      <c r="E66" s="28" t="n"/>
      <c r="F66" s="18" t="n"/>
      <c r="G66" s="16" t="n"/>
      <c r="H66" s="42">
        <f>IF($D66&lt;&gt;"",$D66,IF(COUNT($B66,$E66)=2,$B66+IFERROR($C66,0)-$E66,""))</f>
        <v/>
      </c>
      <c r="I66" s="30">
        <f>IF($G66="","",$F66&amp;" | "&amp;$G66)</f>
        <v/>
      </c>
    </row>
    <row r="67">
      <c r="A67" s="16" t="n"/>
      <c r="B67" s="28" t="n"/>
      <c r="C67" s="28" t="n"/>
      <c r="D67" s="28" t="n"/>
      <c r="E67" s="28" t="n"/>
      <c r="F67" s="18" t="n"/>
      <c r="G67" s="16" t="n"/>
      <c r="H67" s="42">
        <f>IF($D67&lt;&gt;"",$D67,IF(COUNT($B67,$E67)=2,$B67+IFERROR($C67,0)-$E67,""))</f>
        <v/>
      </c>
      <c r="I67" s="30">
        <f>IF($G67="","",$F67&amp;" | "&amp;$G67)</f>
        <v/>
      </c>
    </row>
    <row r="68">
      <c r="A68" s="16" t="n"/>
      <c r="B68" s="28" t="n"/>
      <c r="C68" s="28" t="n"/>
      <c r="D68" s="28" t="n"/>
      <c r="E68" s="28" t="n"/>
      <c r="F68" s="18" t="n"/>
      <c r="G68" s="16" t="n"/>
      <c r="H68" s="42">
        <f>IF($D68&lt;&gt;"",$D68,IF(COUNT($B68,$E68)=2,$B68+IFERROR($C68,0)-$E68,""))</f>
        <v/>
      </c>
      <c r="I68" s="30">
        <f>IF($G68="","",$F68&amp;" | "&amp;$G68)</f>
        <v/>
      </c>
    </row>
    <row r="69">
      <c r="A69" s="16" t="n"/>
      <c r="B69" s="28" t="n"/>
      <c r="C69" s="28" t="n"/>
      <c r="D69" s="28" t="n"/>
      <c r="E69" s="28" t="n"/>
      <c r="F69" s="18" t="n"/>
      <c r="G69" s="16" t="n"/>
      <c r="H69" s="42">
        <f>IF($D69&lt;&gt;"",$D69,IF(COUNT($B69,$E69)=2,$B69+IFERROR($C69,0)-$E69,""))</f>
        <v/>
      </c>
      <c r="I69" s="30">
        <f>IF($G69="","",$F69&amp;" | "&amp;$G69)</f>
        <v/>
      </c>
    </row>
    <row r="70">
      <c r="A70" s="16" t="n"/>
      <c r="B70" s="28" t="n"/>
      <c r="C70" s="28" t="n"/>
      <c r="D70" s="28" t="n"/>
      <c r="E70" s="28" t="n"/>
      <c r="F70" s="18" t="n"/>
      <c r="G70" s="16" t="n"/>
      <c r="H70" s="42">
        <f>IF($D70&lt;&gt;"",$D70,IF(COUNT($B70,$E70)=2,$B70+IFERROR($C70,0)-$E70,""))</f>
        <v/>
      </c>
      <c r="I70" s="30">
        <f>IF($G70="","",$F70&amp;" | "&amp;$G70)</f>
        <v/>
      </c>
    </row>
    <row r="71">
      <c r="A71" s="16" t="n"/>
      <c r="B71" s="28" t="n"/>
      <c r="C71" s="28" t="n"/>
      <c r="D71" s="28" t="n"/>
      <c r="E71" s="28" t="n"/>
      <c r="F71" s="18" t="n"/>
      <c r="G71" s="16" t="n"/>
      <c r="H71" s="42">
        <f>IF($D71&lt;&gt;"",$D71,IF(COUNT($B71,$E71)=2,$B71+IFERROR($C71,0)-$E71,""))</f>
        <v/>
      </c>
      <c r="I71" s="30">
        <f>IF($G71="","",$F71&amp;" | "&amp;$G71)</f>
        <v/>
      </c>
    </row>
    <row r="72">
      <c r="A72" s="16" t="n"/>
      <c r="B72" s="28" t="n"/>
      <c r="C72" s="28" t="n"/>
      <c r="D72" s="28" t="n"/>
      <c r="E72" s="28" t="n"/>
      <c r="F72" s="18" t="n"/>
      <c r="G72" s="16" t="n"/>
      <c r="H72" s="42">
        <f>IF($D72&lt;&gt;"",$D72,IF(COUNT($B72,$E72)=2,$B72+IFERROR($C72,0)-$E72,""))</f>
        <v/>
      </c>
      <c r="I72" s="30">
        <f>IF($G72="","",$F72&amp;" | "&amp;$G72)</f>
        <v/>
      </c>
    </row>
    <row r="73">
      <c r="A73" s="16" t="n"/>
      <c r="B73" s="28" t="n"/>
      <c r="C73" s="28" t="n"/>
      <c r="D73" s="28" t="n"/>
      <c r="E73" s="28" t="n"/>
      <c r="F73" s="18" t="n"/>
      <c r="G73" s="16" t="n"/>
      <c r="H73" s="42">
        <f>IF($D73&lt;&gt;"",$D73,IF(COUNT($B73,$E73)=2,$B73+IFERROR($C73,0)-$E73,""))</f>
        <v/>
      </c>
      <c r="I73" s="30">
        <f>IF($G73="","",$F73&amp;" | "&amp;$G73)</f>
        <v/>
      </c>
    </row>
    <row r="74">
      <c r="A74" s="16" t="n"/>
      <c r="B74" s="28" t="n"/>
      <c r="C74" s="28" t="n"/>
      <c r="D74" s="28" t="n"/>
      <c r="E74" s="28" t="n"/>
      <c r="F74" s="18" t="n"/>
      <c r="G74" s="16" t="n"/>
      <c r="H74" s="42">
        <f>IF($D74&lt;&gt;"",$D74,IF(COUNT($B74,$E74)=2,$B74+IFERROR($C74,0)-$E74,""))</f>
        <v/>
      </c>
      <c r="I74" s="30">
        <f>IF($G74="","",$F74&amp;" | "&amp;$G74)</f>
        <v/>
      </c>
    </row>
    <row r="75">
      <c r="A75" s="16" t="n"/>
      <c r="B75" s="28" t="n"/>
      <c r="C75" s="28" t="n"/>
      <c r="D75" s="28" t="n"/>
      <c r="E75" s="28" t="n"/>
      <c r="F75" s="18" t="n"/>
      <c r="G75" s="16" t="n"/>
      <c r="H75" s="42">
        <f>IF($D75&lt;&gt;"",$D75,IF(COUNT($B75,$E75)=2,$B75+IFERROR($C75,0)-$E75,""))</f>
        <v/>
      </c>
      <c r="I75" s="30">
        <f>IF($G75="","",$F75&amp;" | "&amp;$G75)</f>
        <v/>
      </c>
    </row>
    <row r="76">
      <c r="A76" s="16" t="n"/>
      <c r="B76" s="28" t="n"/>
      <c r="C76" s="28" t="n"/>
      <c r="D76" s="28" t="n"/>
      <c r="E76" s="28" t="n"/>
      <c r="F76" s="18" t="n"/>
      <c r="G76" s="16" t="n"/>
      <c r="H76" s="42">
        <f>IF($D76&lt;&gt;"",$D76,IF(COUNT($B76,$E76)=2,$B76+IFERROR($C76,0)-$E76,""))</f>
        <v/>
      </c>
      <c r="I76" s="30">
        <f>IF($G76="","",$F76&amp;" | "&amp;$G76)</f>
        <v/>
      </c>
    </row>
    <row r="77">
      <c r="A77" s="16" t="n"/>
      <c r="B77" s="28" t="n"/>
      <c r="C77" s="28" t="n"/>
      <c r="D77" s="28" t="n"/>
      <c r="E77" s="28" t="n"/>
      <c r="F77" s="18" t="n"/>
      <c r="G77" s="16" t="n"/>
      <c r="H77" s="42">
        <f>IF($D77&lt;&gt;"",$D77,IF(COUNT($B77,$E77)=2,$B77+IFERROR($C77,0)-$E77,""))</f>
        <v/>
      </c>
      <c r="I77" s="30">
        <f>IF($G77="","",$F77&amp;" | "&amp;$G77)</f>
        <v/>
      </c>
    </row>
    <row r="78">
      <c r="A78" s="16" t="n"/>
      <c r="B78" s="28" t="n"/>
      <c r="C78" s="28" t="n"/>
      <c r="D78" s="28" t="n"/>
      <c r="E78" s="28" t="n"/>
      <c r="F78" s="18" t="n"/>
      <c r="G78" s="16" t="n"/>
      <c r="H78" s="42">
        <f>IF($D78&lt;&gt;"",$D78,IF(COUNT($B78,$E78)=2,$B78+IFERROR($C78,0)-$E78,""))</f>
        <v/>
      </c>
      <c r="I78" s="30">
        <f>IF($G78="","",$F78&amp;" | "&amp;$G78)</f>
        <v/>
      </c>
    </row>
    <row r="79">
      <c r="A79" s="16" t="n"/>
      <c r="B79" s="28" t="n"/>
      <c r="C79" s="28" t="n"/>
      <c r="D79" s="28" t="n"/>
      <c r="E79" s="28" t="n"/>
      <c r="F79" s="18" t="n"/>
      <c r="G79" s="16" t="n"/>
      <c r="H79" s="42">
        <f>IF($D79&lt;&gt;"",$D79,IF(COUNT($B79,$E79)=2,$B79+IFERROR($C79,0)-$E79,""))</f>
        <v/>
      </c>
      <c r="I79" s="30">
        <f>IF($G79="","",$F79&amp;" | "&amp;$G79)</f>
        <v/>
      </c>
    </row>
    <row r="80">
      <c r="A80" s="16" t="n"/>
      <c r="B80" s="28" t="n"/>
      <c r="C80" s="28" t="n"/>
      <c r="D80" s="28" t="n"/>
      <c r="E80" s="28" t="n"/>
      <c r="F80" s="18" t="n"/>
      <c r="G80" s="16" t="n"/>
      <c r="H80" s="42">
        <f>IF($D80&lt;&gt;"",$D80,IF(COUNT($B80,$E80)=2,$B80+IFERROR($C80,0)-$E80,""))</f>
        <v/>
      </c>
      <c r="I80" s="30">
        <f>IF($G80="","",$F80&amp;" | "&amp;$G80)</f>
        <v/>
      </c>
    </row>
    <row r="81">
      <c r="A81" s="16" t="n"/>
      <c r="B81" s="28" t="n"/>
      <c r="C81" s="28" t="n"/>
      <c r="D81" s="28" t="n"/>
      <c r="E81" s="28" t="n"/>
      <c r="F81" s="18" t="n"/>
      <c r="G81" s="16" t="n"/>
      <c r="H81" s="42">
        <f>IF($D81&lt;&gt;"",$D81,IF(COUNT($B81,$E81)=2,$B81+IFERROR($C81,0)-$E81,""))</f>
        <v/>
      </c>
      <c r="I81" s="30">
        <f>IF($G81="","",$F81&amp;" | "&amp;$G81)</f>
        <v/>
      </c>
    </row>
    <row r="82">
      <c r="A82" s="16" t="n"/>
      <c r="B82" s="28" t="n"/>
      <c r="C82" s="28" t="n"/>
      <c r="D82" s="28" t="n"/>
      <c r="E82" s="28" t="n"/>
      <c r="F82" s="18" t="n"/>
      <c r="G82" s="16" t="n"/>
      <c r="H82" s="42">
        <f>IF($D82&lt;&gt;"",$D82,IF(COUNT($B82,$E82)=2,$B82+IFERROR($C82,0)-$E82,""))</f>
        <v/>
      </c>
      <c r="I82" s="30">
        <f>IF($G82="","",$F82&amp;" | "&amp;$G82)</f>
        <v/>
      </c>
    </row>
    <row r="83">
      <c r="A83" s="16" t="n"/>
      <c r="B83" s="28" t="n"/>
      <c r="C83" s="28" t="n"/>
      <c r="D83" s="28" t="n"/>
      <c r="E83" s="28" t="n"/>
      <c r="F83" s="18" t="n"/>
      <c r="G83" s="16" t="n"/>
      <c r="H83" s="42">
        <f>IF($D83&lt;&gt;"",$D83,IF(COUNT($B83,$E83)=2,$B83+IFERROR($C83,0)-$E83,""))</f>
        <v/>
      </c>
      <c r="I83" s="30">
        <f>IF($G83="","",$F83&amp;" | "&amp;$G83)</f>
        <v/>
      </c>
    </row>
    <row r="84">
      <c r="A84" s="16" t="n"/>
      <c r="B84" s="28" t="n"/>
      <c r="C84" s="28" t="n"/>
      <c r="D84" s="28" t="n"/>
      <c r="E84" s="28" t="n"/>
      <c r="F84" s="18" t="n"/>
      <c r="G84" s="16" t="n"/>
      <c r="H84" s="42">
        <f>IF($D84&lt;&gt;"",$D84,IF(COUNT($B84,$E84)=2,$B84+IFERROR($C84,0)-$E84,""))</f>
        <v/>
      </c>
      <c r="I84" s="30">
        <f>IF($G84="","",$F84&amp;" | "&amp;$G84)</f>
        <v/>
      </c>
    </row>
    <row r="85">
      <c r="A85" s="16" t="n"/>
      <c r="B85" s="28" t="n"/>
      <c r="C85" s="28" t="n"/>
      <c r="D85" s="28" t="n"/>
      <c r="E85" s="28" t="n"/>
      <c r="F85" s="18" t="n"/>
      <c r="G85" s="16" t="n"/>
      <c r="H85" s="42">
        <f>IF($D85&lt;&gt;"",$D85,IF(COUNT($B85,$E85)=2,$B85+IFERROR($C85,0)-$E85,""))</f>
        <v/>
      </c>
      <c r="I85" s="30">
        <f>IF($G85="","",$F85&amp;" | "&amp;$G85)</f>
        <v/>
      </c>
    </row>
    <row r="86">
      <c r="A86" s="16" t="n"/>
      <c r="B86" s="28" t="n"/>
      <c r="C86" s="28" t="n"/>
      <c r="D86" s="28" t="n"/>
      <c r="E86" s="28" t="n"/>
      <c r="F86" s="18" t="n"/>
      <c r="G86" s="16" t="n"/>
      <c r="H86" s="42">
        <f>IF($D86&lt;&gt;"",$D86,IF(COUNT($B86,$E86)=2,$B86+IFERROR($C86,0)-$E86,""))</f>
        <v/>
      </c>
      <c r="I86" s="30">
        <f>IF($G86="","",$F86&amp;" | "&amp;$G86)</f>
        <v/>
      </c>
    </row>
    <row r="87">
      <c r="A87" s="16" t="n"/>
      <c r="B87" s="28" t="n"/>
      <c r="C87" s="28" t="n"/>
      <c r="D87" s="28" t="n"/>
      <c r="E87" s="28" t="n"/>
      <c r="F87" s="18" t="n"/>
      <c r="G87" s="16" t="n"/>
      <c r="H87" s="42">
        <f>IF($D87&lt;&gt;"",$D87,IF(COUNT($B87,$E87)=2,$B87+IFERROR($C87,0)-$E87,""))</f>
        <v/>
      </c>
      <c r="I87" s="30">
        <f>IF($G87="","",$F87&amp;" | "&amp;$G87)</f>
        <v/>
      </c>
    </row>
    <row r="88">
      <c r="A88" s="16" t="n"/>
      <c r="B88" s="28" t="n"/>
      <c r="C88" s="28" t="n"/>
      <c r="D88" s="28" t="n"/>
      <c r="E88" s="28" t="n"/>
      <c r="F88" s="18" t="n"/>
      <c r="G88" s="16" t="n"/>
      <c r="H88" s="42">
        <f>IF($D88&lt;&gt;"",$D88,IF(COUNT($B88,$E88)=2,$B88+IFERROR($C88,0)-$E88,""))</f>
        <v/>
      </c>
      <c r="I88" s="30">
        <f>IF($G88="","",$F88&amp;" | "&amp;$G88)</f>
        <v/>
      </c>
    </row>
    <row r="89">
      <c r="A89" s="16" t="n"/>
      <c r="B89" s="28" t="n"/>
      <c r="C89" s="28" t="n"/>
      <c r="D89" s="28" t="n"/>
      <c r="E89" s="28" t="n"/>
      <c r="F89" s="18" t="n"/>
      <c r="G89" s="16" t="n"/>
      <c r="H89" s="42">
        <f>IF($D89&lt;&gt;"",$D89,IF(COUNT($B89,$E89)=2,$B89+IFERROR($C89,0)-$E89,""))</f>
        <v/>
      </c>
      <c r="I89" s="30">
        <f>IF($G89="","",$F89&amp;" | "&amp;$G89)</f>
        <v/>
      </c>
    </row>
    <row r="90">
      <c r="A90" s="16" t="n"/>
      <c r="B90" s="28" t="n"/>
      <c r="C90" s="28" t="n"/>
      <c r="D90" s="28" t="n"/>
      <c r="E90" s="28" t="n"/>
      <c r="F90" s="18" t="n"/>
      <c r="G90" s="16" t="n"/>
      <c r="H90" s="42">
        <f>IF($D90&lt;&gt;"",$D90,IF(COUNT($B90,$E90)=2,$B90+IFERROR($C90,0)-$E90,""))</f>
        <v/>
      </c>
      <c r="I90" s="30">
        <f>IF($G90="","",$F90&amp;" | "&amp;$G90)</f>
        <v/>
      </c>
    </row>
    <row r="91">
      <c r="A91" s="16" t="n"/>
      <c r="B91" s="28" t="n"/>
      <c r="C91" s="28" t="n"/>
      <c r="D91" s="28" t="n"/>
      <c r="E91" s="28" t="n"/>
      <c r="F91" s="18" t="n"/>
      <c r="G91" s="16" t="n"/>
      <c r="H91" s="42">
        <f>IF($D91&lt;&gt;"",$D91,IF(COUNT($B91,$E91)=2,$B91+IFERROR($C91,0)-$E91,""))</f>
        <v/>
      </c>
      <c r="I91" s="30">
        <f>IF($G91="","",$F91&amp;" | "&amp;$G91)</f>
        <v/>
      </c>
    </row>
    <row r="92">
      <c r="A92" s="16" t="n"/>
      <c r="B92" s="28" t="n"/>
      <c r="C92" s="28" t="n"/>
      <c r="D92" s="28" t="n"/>
      <c r="E92" s="28" t="n"/>
      <c r="F92" s="18" t="n"/>
      <c r="G92" s="16" t="n"/>
      <c r="H92" s="42">
        <f>IF($D92&lt;&gt;"",$D92,IF(COUNT($B92,$E92)=2,$B92+IFERROR($C92,0)-$E92,""))</f>
        <v/>
      </c>
      <c r="I92" s="30">
        <f>IF($G92="","",$F92&amp;" | "&amp;$G92)</f>
        <v/>
      </c>
    </row>
    <row r="93">
      <c r="A93" s="16" t="n"/>
      <c r="B93" s="28" t="n"/>
      <c r="C93" s="28" t="n"/>
      <c r="D93" s="28" t="n"/>
      <c r="E93" s="28" t="n"/>
      <c r="F93" s="18" t="n"/>
      <c r="G93" s="16" t="n"/>
      <c r="H93" s="42">
        <f>IF($D93&lt;&gt;"",$D93,IF(COUNT($B93,$E93)=2,$B93+IFERROR($C93,0)-$E93,""))</f>
        <v/>
      </c>
      <c r="I93" s="30">
        <f>IF($G93="","",$F93&amp;" | "&amp;$G93)</f>
        <v/>
      </c>
    </row>
    <row r="94">
      <c r="A94" s="16" t="n"/>
      <c r="B94" s="28" t="n"/>
      <c r="C94" s="28" t="n"/>
      <c r="D94" s="28" t="n"/>
      <c r="E94" s="28" t="n"/>
      <c r="F94" s="18" t="n"/>
      <c r="G94" s="16" t="n"/>
      <c r="H94" s="42">
        <f>IF($D94&lt;&gt;"",$D94,IF(COUNT($B94,$E94)=2,$B94+IFERROR($C94,0)-$E94,""))</f>
        <v/>
      </c>
      <c r="I94" s="30">
        <f>IF($G94="","",$F94&amp;" | "&amp;$G94)</f>
        <v/>
      </c>
    </row>
    <row r="95">
      <c r="A95" s="16" t="n"/>
      <c r="B95" s="28" t="n"/>
      <c r="C95" s="28" t="n"/>
      <c r="D95" s="28" t="n"/>
      <c r="E95" s="28" t="n"/>
      <c r="F95" s="18" t="n"/>
      <c r="G95" s="16" t="n"/>
      <c r="H95" s="42">
        <f>IF($D95&lt;&gt;"",$D95,IF(COUNT($B95,$E95)=2,$B95+IFERROR($C95,0)-$E95,""))</f>
        <v/>
      </c>
      <c r="I95" s="30">
        <f>IF($G95="","",$F95&amp;" | "&amp;$G95)</f>
        <v/>
      </c>
    </row>
    <row r="96">
      <c r="A96" s="16" t="n"/>
      <c r="B96" s="28" t="n"/>
      <c r="C96" s="28" t="n"/>
      <c r="D96" s="28" t="n"/>
      <c r="E96" s="28" t="n"/>
      <c r="F96" s="18" t="n"/>
      <c r="G96" s="16" t="n"/>
      <c r="H96" s="42">
        <f>IF($D96&lt;&gt;"",$D96,IF(COUNT($B96,$E96)=2,$B96+IFERROR($C96,0)-$E96,""))</f>
        <v/>
      </c>
      <c r="I96" s="30">
        <f>IF($G96="","",$F96&amp;" | "&amp;$G96)</f>
        <v/>
      </c>
    </row>
    <row r="97">
      <c r="A97" s="16" t="n"/>
      <c r="B97" s="28" t="n"/>
      <c r="C97" s="28" t="n"/>
      <c r="D97" s="28" t="n"/>
      <c r="E97" s="28" t="n"/>
      <c r="F97" s="18" t="n"/>
      <c r="G97" s="16" t="n"/>
      <c r="H97" s="42">
        <f>IF($D97&lt;&gt;"",$D97,IF(COUNT($B97,$E97)=2,$B97+IFERROR($C97,0)-$E97,""))</f>
        <v/>
      </c>
      <c r="I97" s="30">
        <f>IF($G97="","",$F97&amp;" | "&amp;$G97)</f>
        <v/>
      </c>
    </row>
    <row r="98">
      <c r="A98" s="16" t="n"/>
      <c r="B98" s="28" t="n"/>
      <c r="C98" s="28" t="n"/>
      <c r="D98" s="28" t="n"/>
      <c r="E98" s="28" t="n"/>
      <c r="F98" s="18" t="n"/>
      <c r="G98" s="16" t="n"/>
      <c r="H98" s="42">
        <f>IF($D98&lt;&gt;"",$D98,IF(COUNT($B98,$E98)=2,$B98+IFERROR($C98,0)-$E98,""))</f>
        <v/>
      </c>
      <c r="I98" s="30">
        <f>IF($G98="","",$F98&amp;" | "&amp;$G98)</f>
        <v/>
      </c>
    </row>
    <row r="99">
      <c r="A99" s="16" t="n"/>
      <c r="B99" s="28" t="n"/>
      <c r="C99" s="28" t="n"/>
      <c r="D99" s="28" t="n"/>
      <c r="E99" s="28" t="n"/>
      <c r="F99" s="18" t="n"/>
      <c r="G99" s="16" t="n"/>
      <c r="H99" s="42">
        <f>IF($D99&lt;&gt;"",$D99,IF(COUNT($B99,$E99)=2,$B99+IFERROR($C99,0)-$E99,""))</f>
        <v/>
      </c>
      <c r="I99" s="30">
        <f>IF($G99="","",$F99&amp;" | "&amp;$G99)</f>
        <v/>
      </c>
    </row>
    <row r="100">
      <c r="A100" s="16" t="n"/>
      <c r="B100" s="28" t="n"/>
      <c r="C100" s="28" t="n"/>
      <c r="D100" s="28" t="n"/>
      <c r="E100" s="28" t="n"/>
      <c r="F100" s="18" t="n"/>
      <c r="G100" s="16" t="n"/>
      <c r="H100" s="42">
        <f>IF($D100&lt;&gt;"",$D100,IF(COUNT($B100,$E100)=2,$B100+IFERROR($C100,0)-$E100,""))</f>
        <v/>
      </c>
      <c r="I100" s="30">
        <f>IF($G100="","",$F100&amp;" | "&amp;$G100)</f>
        <v/>
      </c>
    </row>
    <row r="101">
      <c r="A101" s="16" t="n"/>
      <c r="B101" s="28" t="n"/>
      <c r="C101" s="28" t="n"/>
      <c r="D101" s="28" t="n"/>
      <c r="E101" s="28" t="n"/>
      <c r="F101" s="18" t="n"/>
      <c r="G101" s="16" t="n"/>
      <c r="H101" s="42">
        <f>IF($D101&lt;&gt;"",$D101,IF(COUNT($B101,$E101)=2,$B101+IFERROR($C101,0)-$E101,""))</f>
        <v/>
      </c>
      <c r="I101" s="30">
        <f>IF($G101="","",$F101&amp;" | "&amp;$G101)</f>
        <v/>
      </c>
    </row>
    <row r="102">
      <c r="A102" s="16" t="n"/>
      <c r="B102" s="28" t="n"/>
      <c r="C102" s="28" t="n"/>
      <c r="D102" s="28" t="n"/>
      <c r="E102" s="28" t="n"/>
      <c r="F102" s="18" t="n"/>
      <c r="G102" s="16" t="n"/>
      <c r="H102" s="42">
        <f>IF($D102&lt;&gt;"",$D102,IF(COUNT($B102,$E102)=2,$B102+IFERROR($C102,0)-$E102,""))</f>
        <v/>
      </c>
      <c r="I102" s="30">
        <f>IF($G102="","",$F102&amp;" | "&amp;$G102)</f>
        <v/>
      </c>
    </row>
    <row r="103">
      <c r="A103" s="16" t="n"/>
      <c r="B103" s="28" t="n"/>
      <c r="C103" s="28" t="n"/>
      <c r="D103" s="28" t="n"/>
      <c r="E103" s="28" t="n"/>
      <c r="F103" s="18" t="n"/>
      <c r="G103" s="16" t="n"/>
      <c r="H103" s="42">
        <f>IF($D103&lt;&gt;"",$D103,IF(COUNT($B103,$E103)=2,$B103+IFERROR($C103,0)-$E103,""))</f>
        <v/>
      </c>
      <c r="I103" s="30">
        <f>IF($G103="","",$F103&amp;" | "&amp;$G103)</f>
        <v/>
      </c>
    </row>
    <row r="104">
      <c r="A104" s="16" t="n"/>
      <c r="B104" s="28" t="n"/>
      <c r="C104" s="28" t="n"/>
      <c r="D104" s="28" t="n"/>
      <c r="E104" s="28" t="n"/>
      <c r="F104" s="18" t="n"/>
      <c r="G104" s="16" t="n"/>
      <c r="H104" s="42">
        <f>IF($D104&lt;&gt;"",$D104,IF(COUNT($B104,$E104)=2,$B104+IFERROR($C104,0)-$E104,""))</f>
        <v/>
      </c>
      <c r="I104" s="30">
        <f>IF($G104="","",$F104&amp;" | "&amp;$G104)</f>
        <v/>
      </c>
    </row>
    <row r="105">
      <c r="A105" s="16" t="n"/>
      <c r="B105" s="28" t="n"/>
      <c r="C105" s="28" t="n"/>
      <c r="D105" s="28" t="n"/>
      <c r="E105" s="28" t="n"/>
      <c r="F105" s="18" t="n"/>
      <c r="G105" s="16" t="n"/>
      <c r="H105" s="42">
        <f>IF($D105&lt;&gt;"",$D105,IF(COUNT($B105,$E105)=2,$B105+IFERROR($C105,0)-$E105,""))</f>
        <v/>
      </c>
      <c r="I105" s="30">
        <f>IF($G105="","",$F105&amp;" | "&amp;$G105)</f>
        <v/>
      </c>
    </row>
    <row r="106">
      <c r="A106" s="16" t="n"/>
      <c r="B106" s="28" t="n"/>
      <c r="C106" s="28" t="n"/>
      <c r="D106" s="28" t="n"/>
      <c r="E106" s="28" t="n"/>
      <c r="F106" s="18" t="n"/>
      <c r="G106" s="16" t="n"/>
      <c r="H106" s="42">
        <f>IF($D106&lt;&gt;"",$D106,IF(COUNT($B106,$E106)=2,$B106+IFERROR($C106,0)-$E106,""))</f>
        <v/>
      </c>
      <c r="I106" s="30">
        <f>IF($G106="","",$F106&amp;" | "&amp;$G106)</f>
        <v/>
      </c>
    </row>
    <row r="107">
      <c r="A107" s="16" t="n"/>
      <c r="B107" s="28" t="n"/>
      <c r="C107" s="28" t="n"/>
      <c r="D107" s="28" t="n"/>
      <c r="E107" s="28" t="n"/>
      <c r="F107" s="18" t="n"/>
      <c r="G107" s="16" t="n"/>
      <c r="H107" s="42">
        <f>IF($D107&lt;&gt;"",$D107,IF(COUNT($B107,$E107)=2,$B107+IFERROR($C107,0)-$E107,""))</f>
        <v/>
      </c>
      <c r="I107" s="30">
        <f>IF($G107="","",$F107&amp;" | "&amp;$G107)</f>
        <v/>
      </c>
    </row>
    <row r="108">
      <c r="A108" s="16" t="n"/>
      <c r="B108" s="28" t="n"/>
      <c r="C108" s="28" t="n"/>
      <c r="D108" s="28" t="n"/>
      <c r="E108" s="28" t="n"/>
      <c r="F108" s="18" t="n"/>
      <c r="G108" s="16" t="n"/>
      <c r="H108" s="42">
        <f>IF($D108&lt;&gt;"",$D108,IF(COUNT($B108,$E108)=2,$B108+IFERROR($C108,0)-$E108,""))</f>
        <v/>
      </c>
      <c r="I108" s="30">
        <f>IF($G108="","",$F108&amp;" | "&amp;$G108)</f>
        <v/>
      </c>
    </row>
    <row r="109">
      <c r="A109" s="16" t="n"/>
      <c r="B109" s="28" t="n"/>
      <c r="C109" s="28" t="n"/>
      <c r="D109" s="28" t="n"/>
      <c r="E109" s="28" t="n"/>
      <c r="F109" s="18" t="n"/>
      <c r="G109" s="16" t="n"/>
      <c r="H109" s="42">
        <f>IF($D109&lt;&gt;"",$D109,IF(COUNT($B109,$E109)=2,$B109+IFERROR($C109,0)-$E109,""))</f>
        <v/>
      </c>
      <c r="I109" s="30">
        <f>IF($G109="","",$F109&amp;" | "&amp;$G109)</f>
        <v/>
      </c>
    </row>
    <row r="110">
      <c r="A110" s="16" t="n"/>
      <c r="B110" s="28" t="n"/>
      <c r="C110" s="28" t="n"/>
      <c r="D110" s="28" t="n"/>
      <c r="E110" s="28" t="n"/>
      <c r="F110" s="18" t="n"/>
      <c r="G110" s="16" t="n"/>
      <c r="H110" s="42">
        <f>IF($D110&lt;&gt;"",$D110,IF(COUNT($B110,$E110)=2,$B110+IFERROR($C110,0)-$E110,""))</f>
        <v/>
      </c>
      <c r="I110" s="30">
        <f>IF($G110="","",$F110&amp;" | "&amp;$G110)</f>
        <v/>
      </c>
    </row>
    <row r="111">
      <c r="A111" s="16" t="n"/>
      <c r="B111" s="28" t="n"/>
      <c r="C111" s="28" t="n"/>
      <c r="D111" s="28" t="n"/>
      <c r="E111" s="28" t="n"/>
      <c r="F111" s="18" t="n"/>
      <c r="G111" s="16" t="n"/>
      <c r="H111" s="42">
        <f>IF($D111&lt;&gt;"",$D111,IF(COUNT($B111,$E111)=2,$B111+IFERROR($C111,0)-$E111,""))</f>
        <v/>
      </c>
      <c r="I111" s="30">
        <f>IF($G111="","",$F111&amp;" | "&amp;$G111)</f>
        <v/>
      </c>
    </row>
    <row r="112">
      <c r="A112" s="16" t="n"/>
      <c r="B112" s="28" t="n"/>
      <c r="C112" s="28" t="n"/>
      <c r="D112" s="28" t="n"/>
      <c r="E112" s="28" t="n"/>
      <c r="F112" s="18" t="n"/>
      <c r="G112" s="16" t="n"/>
      <c r="H112" s="42">
        <f>IF($D112&lt;&gt;"",$D112,IF(COUNT($B112,$E112)=2,$B112+IFERROR($C112,0)-$E112,""))</f>
        <v/>
      </c>
      <c r="I112" s="30">
        <f>IF($G112="","",$F112&amp;" | "&amp;$G112)</f>
        <v/>
      </c>
    </row>
    <row r="113">
      <c r="A113" s="16" t="n"/>
      <c r="B113" s="28" t="n"/>
      <c r="C113" s="28" t="n"/>
      <c r="D113" s="28" t="n"/>
      <c r="E113" s="28" t="n"/>
      <c r="F113" s="18" t="n"/>
      <c r="G113" s="16" t="n"/>
      <c r="H113" s="42">
        <f>IF($D113&lt;&gt;"",$D113,IF(COUNT($B113,$E113)=2,$B113+IFERROR($C113,0)-$E113,""))</f>
        <v/>
      </c>
      <c r="I113" s="30">
        <f>IF($G113="","",$F113&amp;" | "&amp;$G113)</f>
        <v/>
      </c>
    </row>
    <row r="114">
      <c r="A114" s="16" t="n"/>
      <c r="B114" s="28" t="n"/>
      <c r="C114" s="28" t="n"/>
      <c r="D114" s="28" t="n"/>
      <c r="E114" s="28" t="n"/>
      <c r="F114" s="18" t="n"/>
      <c r="G114" s="16" t="n"/>
      <c r="H114" s="42">
        <f>IF($D114&lt;&gt;"",$D114,IF(COUNT($B114,$E114)=2,$B114+IFERROR($C114,0)-$E114,""))</f>
        <v/>
      </c>
      <c r="I114" s="30">
        <f>IF($G114="","",$F114&amp;" | "&amp;$G114)</f>
        <v/>
      </c>
    </row>
    <row r="115">
      <c r="A115" s="16" t="n"/>
      <c r="B115" s="28" t="n"/>
      <c r="C115" s="28" t="n"/>
      <c r="D115" s="28" t="n"/>
      <c r="E115" s="28" t="n"/>
      <c r="F115" s="18" t="n"/>
      <c r="G115" s="16" t="n"/>
      <c r="H115" s="42">
        <f>IF($D115&lt;&gt;"",$D115,IF(COUNT($B115,$E115)=2,$B115+IFERROR($C115,0)-$E115,""))</f>
        <v/>
      </c>
      <c r="I115" s="30">
        <f>IF($G115="","",$F115&amp;" | "&amp;$G115)</f>
        <v/>
      </c>
    </row>
    <row r="116">
      <c r="A116" s="16" t="n"/>
      <c r="B116" s="28" t="n"/>
      <c r="C116" s="28" t="n"/>
      <c r="D116" s="28" t="n"/>
      <c r="E116" s="28" t="n"/>
      <c r="F116" s="18" t="n"/>
      <c r="G116" s="16" t="n"/>
      <c r="H116" s="42">
        <f>IF($D116&lt;&gt;"",$D116,IF(COUNT($B116,$E116)=2,$B116+IFERROR($C116,0)-$E116,""))</f>
        <v/>
      </c>
      <c r="I116" s="30">
        <f>IF($G116="","",$F116&amp;" | "&amp;$G116)</f>
        <v/>
      </c>
    </row>
    <row r="117">
      <c r="A117" s="16" t="n"/>
      <c r="B117" s="28" t="n"/>
      <c r="C117" s="28" t="n"/>
      <c r="D117" s="28" t="n"/>
      <c r="E117" s="28" t="n"/>
      <c r="F117" s="18" t="n"/>
      <c r="G117" s="16" t="n"/>
      <c r="H117" s="42">
        <f>IF($D117&lt;&gt;"",$D117,IF(COUNT($B117,$E117)=2,$B117+IFERROR($C117,0)-$E117,""))</f>
        <v/>
      </c>
      <c r="I117" s="30">
        <f>IF($G117="","",$F117&amp;" | "&amp;$G117)</f>
        <v/>
      </c>
    </row>
    <row r="118">
      <c r="A118" s="16" t="n"/>
      <c r="B118" s="28" t="n"/>
      <c r="C118" s="28" t="n"/>
      <c r="D118" s="28" t="n"/>
      <c r="E118" s="28" t="n"/>
      <c r="F118" s="18" t="n"/>
      <c r="G118" s="16" t="n"/>
      <c r="H118" s="42">
        <f>IF($D118&lt;&gt;"",$D118,IF(COUNT($B118,$E118)=2,$B118+IFERROR($C118,0)-$E118,""))</f>
        <v/>
      </c>
      <c r="I118" s="30">
        <f>IF($G118="","",$F118&amp;" | "&amp;$G118)</f>
        <v/>
      </c>
    </row>
    <row r="119">
      <c r="A119" s="16" t="n"/>
      <c r="B119" s="28" t="n"/>
      <c r="C119" s="28" t="n"/>
      <c r="D119" s="28" t="n"/>
      <c r="E119" s="28" t="n"/>
      <c r="F119" s="18" t="n"/>
      <c r="G119" s="16" t="n"/>
      <c r="H119" s="42">
        <f>IF($D119&lt;&gt;"",$D119,IF(COUNT($B119,$E119)=2,$B119+IFERROR($C119,0)-$E119,""))</f>
        <v/>
      </c>
      <c r="I119" s="30">
        <f>IF($G119="","",$F119&amp;" | "&amp;$G119)</f>
        <v/>
      </c>
    </row>
    <row r="120">
      <c r="A120" s="16" t="n"/>
      <c r="B120" s="28" t="n"/>
      <c r="C120" s="28" t="n"/>
      <c r="D120" s="28" t="n"/>
      <c r="E120" s="28" t="n"/>
      <c r="F120" s="18" t="n"/>
      <c r="G120" s="16" t="n"/>
      <c r="H120" s="42">
        <f>IF($D120&lt;&gt;"",$D120,IF(COUNT($B120,$E120)=2,$B120+IFERROR($C120,0)-$E120,""))</f>
        <v/>
      </c>
      <c r="I120" s="30">
        <f>IF($G120="","",$F120&amp;" | "&amp;$G120)</f>
        <v/>
      </c>
    </row>
    <row r="121">
      <c r="A121" s="16" t="n"/>
      <c r="B121" s="28" t="n"/>
      <c r="C121" s="28" t="n"/>
      <c r="D121" s="28" t="n"/>
      <c r="E121" s="28" t="n"/>
      <c r="F121" s="18" t="n"/>
      <c r="G121" s="16" t="n"/>
      <c r="H121" s="42">
        <f>IF($D121&lt;&gt;"",$D121,IF(COUNT($B121,$E121)=2,$B121+IFERROR($C121,0)-$E121,""))</f>
        <v/>
      </c>
      <c r="I121" s="30">
        <f>IF($G121="","",$F121&amp;" | "&amp;$G121)</f>
        <v/>
      </c>
    </row>
    <row r="122">
      <c r="A122" s="16" t="n"/>
      <c r="B122" s="28" t="n"/>
      <c r="C122" s="28" t="n"/>
      <c r="D122" s="28" t="n"/>
      <c r="E122" s="28" t="n"/>
      <c r="F122" s="18" t="n"/>
      <c r="G122" s="16" t="n"/>
      <c r="H122" s="42">
        <f>IF($D122&lt;&gt;"",$D122,IF(COUNT($B122,$E122)=2,$B122+IFERROR($C122,0)-$E122,""))</f>
        <v/>
      </c>
      <c r="I122" s="30">
        <f>IF($G122="","",$F122&amp;" | "&amp;$G122)</f>
        <v/>
      </c>
    </row>
    <row r="123">
      <c r="A123" s="16" t="n"/>
      <c r="B123" s="28" t="n"/>
      <c r="C123" s="28" t="n"/>
      <c r="D123" s="28" t="n"/>
      <c r="E123" s="28" t="n"/>
      <c r="F123" s="18" t="n"/>
      <c r="G123" s="16" t="n"/>
      <c r="H123" s="42">
        <f>IF($D123&lt;&gt;"",$D123,IF(COUNT($B123,$E123)=2,$B123+IFERROR($C123,0)-$E123,""))</f>
        <v/>
      </c>
      <c r="I123" s="30">
        <f>IF($G123="","",$F123&amp;" | "&amp;$G123)</f>
        <v/>
      </c>
    </row>
    <row r="124">
      <c r="A124" s="16" t="n"/>
      <c r="B124" s="28" t="n"/>
      <c r="C124" s="28" t="n"/>
      <c r="D124" s="28" t="n"/>
      <c r="E124" s="28" t="n"/>
      <c r="F124" s="18" t="n"/>
      <c r="G124" s="16" t="n"/>
      <c r="H124" s="42">
        <f>IF($D124&lt;&gt;"",$D124,IF(COUNT($B124,$E124)=2,$B124+IFERROR($C124,0)-$E124,""))</f>
        <v/>
      </c>
      <c r="I124" s="30">
        <f>IF($G124="","",$F124&amp;" | "&amp;$G124)</f>
        <v/>
      </c>
    </row>
    <row r="125">
      <c r="A125" s="16" t="n"/>
      <c r="B125" s="28" t="n"/>
      <c r="C125" s="28" t="n"/>
      <c r="D125" s="28" t="n"/>
      <c r="E125" s="28" t="n"/>
      <c r="F125" s="18" t="n"/>
      <c r="G125" s="16" t="n"/>
      <c r="H125" s="42">
        <f>IF($D125&lt;&gt;"",$D125,IF(COUNT($B125,$E125)=2,$B125+IFERROR($C125,0)-$E125,""))</f>
        <v/>
      </c>
      <c r="I125" s="30">
        <f>IF($G125="","",$F125&amp;" | "&amp;$G125)</f>
        <v/>
      </c>
    </row>
    <row r="126">
      <c r="A126" s="16" t="n"/>
      <c r="B126" s="28" t="n"/>
      <c r="C126" s="28" t="n"/>
      <c r="D126" s="28" t="n"/>
      <c r="E126" s="28" t="n"/>
      <c r="F126" s="18" t="n"/>
      <c r="G126" s="16" t="n"/>
      <c r="H126" s="42">
        <f>IF($D126&lt;&gt;"",$D126,IF(COUNT($B126,$E126)=2,$B126+IFERROR($C126,0)-$E126,""))</f>
        <v/>
      </c>
      <c r="I126" s="30">
        <f>IF($G126="","",$F126&amp;" | "&amp;$G126)</f>
        <v/>
      </c>
    </row>
    <row r="127">
      <c r="A127" s="16" t="n"/>
      <c r="B127" s="28" t="n"/>
      <c r="C127" s="28" t="n"/>
      <c r="D127" s="28" t="n"/>
      <c r="E127" s="28" t="n"/>
      <c r="F127" s="18" t="n"/>
      <c r="G127" s="16" t="n"/>
      <c r="H127" s="42">
        <f>IF($D127&lt;&gt;"",$D127,IF(COUNT($B127,$E127)=2,$B127+IFERROR($C127,0)-$E127,""))</f>
        <v/>
      </c>
      <c r="I127" s="30">
        <f>IF($G127="","",$F127&amp;" | "&amp;$G127)</f>
        <v/>
      </c>
    </row>
    <row r="128">
      <c r="A128" s="16" t="n"/>
      <c r="B128" s="28" t="n"/>
      <c r="C128" s="28" t="n"/>
      <c r="D128" s="28" t="n"/>
      <c r="E128" s="28" t="n"/>
      <c r="F128" s="18" t="n"/>
      <c r="G128" s="16" t="n"/>
      <c r="H128" s="42">
        <f>IF($D128&lt;&gt;"",$D128,IF(COUNT($B128,$E128)=2,$B128+IFERROR($C128,0)-$E128,""))</f>
        <v/>
      </c>
      <c r="I128" s="30">
        <f>IF($G128="","",$F128&amp;" | "&amp;$G128)</f>
        <v/>
      </c>
    </row>
    <row r="129">
      <c r="A129" s="16" t="n"/>
      <c r="B129" s="28" t="n"/>
      <c r="C129" s="28" t="n"/>
      <c r="D129" s="28" t="n"/>
      <c r="E129" s="28" t="n"/>
      <c r="F129" s="18" t="n"/>
      <c r="G129" s="16" t="n"/>
      <c r="H129" s="42">
        <f>IF($D129&lt;&gt;"",$D129,IF(COUNT($B129,$E129)=2,$B129+IFERROR($C129,0)-$E129,""))</f>
        <v/>
      </c>
      <c r="I129" s="30">
        <f>IF($G129="","",$F129&amp;" | "&amp;$G129)</f>
        <v/>
      </c>
    </row>
    <row r="130">
      <c r="A130" s="16" t="n"/>
      <c r="B130" s="28" t="n"/>
      <c r="C130" s="28" t="n"/>
      <c r="D130" s="28" t="n"/>
      <c r="E130" s="28" t="n"/>
      <c r="F130" s="18" t="n"/>
      <c r="G130" s="16" t="n"/>
      <c r="H130" s="42">
        <f>IF($D130&lt;&gt;"",$D130,IF(COUNT($B130,$E130)=2,$B130+IFERROR($C130,0)-$E130,""))</f>
        <v/>
      </c>
      <c r="I130" s="30">
        <f>IF($G130="","",$F130&amp;" | "&amp;$G130)</f>
        <v/>
      </c>
    </row>
    <row r="131">
      <c r="A131" s="16" t="n"/>
      <c r="B131" s="28" t="n"/>
      <c r="C131" s="28" t="n"/>
      <c r="D131" s="28" t="n"/>
      <c r="E131" s="28" t="n"/>
      <c r="F131" s="18" t="n"/>
      <c r="G131" s="16" t="n"/>
      <c r="H131" s="42">
        <f>IF($D131&lt;&gt;"",$D131,IF(COUNT($B131,$E131)=2,$B131+IFERROR($C131,0)-$E131,""))</f>
        <v/>
      </c>
      <c r="I131" s="30">
        <f>IF($G131="","",$F131&amp;" | "&amp;$G131)</f>
        <v/>
      </c>
    </row>
    <row r="132">
      <c r="A132" s="16" t="n"/>
      <c r="B132" s="28" t="n"/>
      <c r="C132" s="28" t="n"/>
      <c r="D132" s="28" t="n"/>
      <c r="E132" s="28" t="n"/>
      <c r="F132" s="18" t="n"/>
      <c r="G132" s="16" t="n"/>
      <c r="H132" s="42">
        <f>IF($D132&lt;&gt;"",$D132,IF(COUNT($B132,$E132)=2,$B132+IFERROR($C132,0)-$E132,""))</f>
        <v/>
      </c>
      <c r="I132" s="30">
        <f>IF($G132="","",$F132&amp;" | "&amp;$G132)</f>
        <v/>
      </c>
    </row>
    <row r="133">
      <c r="A133" s="16" t="n"/>
      <c r="B133" s="28" t="n"/>
      <c r="C133" s="28" t="n"/>
      <c r="D133" s="28" t="n"/>
      <c r="E133" s="28" t="n"/>
      <c r="F133" s="18" t="n"/>
      <c r="G133" s="16" t="n"/>
      <c r="H133" s="42">
        <f>IF($D133&lt;&gt;"",$D133,IF(COUNT($B133,$E133)=2,$B133+IFERROR($C133,0)-$E133,""))</f>
        <v/>
      </c>
      <c r="I133" s="30">
        <f>IF($G133="","",$F133&amp;" | "&amp;$G133)</f>
        <v/>
      </c>
    </row>
    <row r="134">
      <c r="A134" s="16" t="n"/>
      <c r="B134" s="28" t="n"/>
      <c r="C134" s="28" t="n"/>
      <c r="D134" s="28" t="n"/>
      <c r="E134" s="28" t="n"/>
      <c r="F134" s="18" t="n"/>
      <c r="G134" s="16" t="n"/>
      <c r="H134" s="42">
        <f>IF($D134&lt;&gt;"",$D134,IF(COUNT($B134,$E134)=2,$B134+IFERROR($C134,0)-$E134,""))</f>
        <v/>
      </c>
      <c r="I134" s="30">
        <f>IF($G134="","",$F134&amp;" | "&amp;$G134)</f>
        <v/>
      </c>
    </row>
    <row r="135">
      <c r="A135" s="16" t="n"/>
      <c r="B135" s="28" t="n"/>
      <c r="C135" s="28" t="n"/>
      <c r="D135" s="28" t="n"/>
      <c r="E135" s="28" t="n"/>
      <c r="F135" s="18" t="n"/>
      <c r="G135" s="16" t="n"/>
      <c r="H135" s="42">
        <f>IF($D135&lt;&gt;"",$D135,IF(COUNT($B135,$E135)=2,$B135+IFERROR($C135,0)-$E135,""))</f>
        <v/>
      </c>
      <c r="I135" s="30">
        <f>IF($G135="","",$F135&amp;" | "&amp;$G135)</f>
        <v/>
      </c>
    </row>
    <row r="136">
      <c r="A136" s="16" t="n"/>
      <c r="B136" s="28" t="n"/>
      <c r="C136" s="28" t="n"/>
      <c r="D136" s="28" t="n"/>
      <c r="E136" s="28" t="n"/>
      <c r="F136" s="18" t="n"/>
      <c r="G136" s="16" t="n"/>
      <c r="H136" s="42">
        <f>IF($D136&lt;&gt;"",$D136,IF(COUNT($B136,$E136)=2,$B136+IFERROR($C136,0)-$E136,""))</f>
        <v/>
      </c>
      <c r="I136" s="30">
        <f>IF($G136="","",$F136&amp;" | "&amp;$G136)</f>
        <v/>
      </c>
    </row>
    <row r="137">
      <c r="A137" s="16" t="n"/>
      <c r="B137" s="28" t="n"/>
      <c r="C137" s="28" t="n"/>
      <c r="D137" s="28" t="n"/>
      <c r="E137" s="28" t="n"/>
      <c r="F137" s="18" t="n"/>
      <c r="G137" s="16" t="n"/>
      <c r="H137" s="42">
        <f>IF($D137&lt;&gt;"",$D137,IF(COUNT($B137,$E137)=2,$B137+IFERROR($C137,0)-$E137,""))</f>
        <v/>
      </c>
      <c r="I137" s="30">
        <f>IF($G137="","",$F137&amp;" | "&amp;$G137)</f>
        <v/>
      </c>
    </row>
    <row r="138">
      <c r="A138" s="16" t="n"/>
      <c r="B138" s="28" t="n"/>
      <c r="C138" s="28" t="n"/>
      <c r="D138" s="28" t="n"/>
      <c r="E138" s="28" t="n"/>
      <c r="F138" s="18" t="n"/>
      <c r="G138" s="16" t="n"/>
      <c r="H138" s="42">
        <f>IF($D138&lt;&gt;"",$D138,IF(COUNT($B138,$E138)=2,$B138+IFERROR($C138,0)-$E138,""))</f>
        <v/>
      </c>
      <c r="I138" s="30">
        <f>IF($G138="","",$F138&amp;" | "&amp;$G138)</f>
        <v/>
      </c>
    </row>
    <row r="139">
      <c r="A139" s="16" t="n"/>
      <c r="B139" s="28" t="n"/>
      <c r="C139" s="28" t="n"/>
      <c r="D139" s="28" t="n"/>
      <c r="E139" s="28" t="n"/>
      <c r="F139" s="18" t="n"/>
      <c r="G139" s="16" t="n"/>
      <c r="H139" s="42">
        <f>IF($D139&lt;&gt;"",$D139,IF(COUNT($B139,$E139)=2,$B139+IFERROR($C139,0)-$E139,""))</f>
        <v/>
      </c>
      <c r="I139" s="30">
        <f>IF($G139="","",$F139&amp;" | "&amp;$G139)</f>
        <v/>
      </c>
    </row>
    <row r="140">
      <c r="A140" s="16" t="n"/>
      <c r="B140" s="28" t="n"/>
      <c r="C140" s="28" t="n"/>
      <c r="D140" s="28" t="n"/>
      <c r="E140" s="28" t="n"/>
      <c r="F140" s="18" t="n"/>
      <c r="G140" s="16" t="n"/>
      <c r="H140" s="42">
        <f>IF($D140&lt;&gt;"",$D140,IF(COUNT($B140,$E140)=2,$B140+IFERROR($C140,0)-$E140,""))</f>
        <v/>
      </c>
      <c r="I140" s="30">
        <f>IF($G140="","",$F140&amp;" | "&amp;$G140)</f>
        <v/>
      </c>
    </row>
    <row r="141">
      <c r="A141" s="16" t="n"/>
      <c r="B141" s="28" t="n"/>
      <c r="C141" s="28" t="n"/>
      <c r="D141" s="28" t="n"/>
      <c r="E141" s="28" t="n"/>
      <c r="F141" s="18" t="n"/>
      <c r="G141" s="16" t="n"/>
      <c r="H141" s="42">
        <f>IF($D141&lt;&gt;"",$D141,IF(COUNT($B141,$E141)=2,$B141+IFERROR($C141,0)-$E141,""))</f>
        <v/>
      </c>
      <c r="I141" s="30">
        <f>IF($G141="","",$F141&amp;" | "&amp;$G141)</f>
        <v/>
      </c>
    </row>
    <row r="142">
      <c r="A142" s="16" t="n"/>
      <c r="B142" s="28" t="n"/>
      <c r="C142" s="28" t="n"/>
      <c r="D142" s="28" t="n"/>
      <c r="E142" s="28" t="n"/>
      <c r="F142" s="18" t="n"/>
      <c r="G142" s="16" t="n"/>
      <c r="H142" s="42">
        <f>IF($D142&lt;&gt;"",$D142,IF(COUNT($B142,$E142)=2,$B142+IFERROR($C142,0)-$E142,""))</f>
        <v/>
      </c>
      <c r="I142" s="30">
        <f>IF($G142="","",$F142&amp;" | "&amp;$G142)</f>
        <v/>
      </c>
    </row>
    <row r="143">
      <c r="A143" s="16" t="n"/>
      <c r="B143" s="28" t="n"/>
      <c r="C143" s="28" t="n"/>
      <c r="D143" s="28" t="n"/>
      <c r="E143" s="28" t="n"/>
      <c r="F143" s="18" t="n"/>
      <c r="G143" s="16" t="n"/>
      <c r="H143" s="42">
        <f>IF($D143&lt;&gt;"",$D143,IF(COUNT($B143,$E143)=2,$B143+IFERROR($C143,0)-$E143,""))</f>
        <v/>
      </c>
      <c r="I143" s="30">
        <f>IF($G143="","",$F143&amp;" | "&amp;$G143)</f>
        <v/>
      </c>
    </row>
    <row r="144">
      <c r="A144" s="16" t="n"/>
      <c r="B144" s="28" t="n"/>
      <c r="C144" s="28" t="n"/>
      <c r="D144" s="28" t="n"/>
      <c r="E144" s="28" t="n"/>
      <c r="F144" s="18" t="n"/>
      <c r="G144" s="16" t="n"/>
      <c r="H144" s="42">
        <f>IF($D144&lt;&gt;"",$D144,IF(COUNT($B144,$E144)=2,$B144+IFERROR($C144,0)-$E144,""))</f>
        <v/>
      </c>
      <c r="I144" s="30">
        <f>IF($G144="","",$F144&amp;" | "&amp;$G144)</f>
        <v/>
      </c>
    </row>
    <row r="145">
      <c r="A145" s="16" t="n"/>
      <c r="B145" s="28" t="n"/>
      <c r="C145" s="28" t="n"/>
      <c r="D145" s="28" t="n"/>
      <c r="E145" s="28" t="n"/>
      <c r="F145" s="18" t="n"/>
      <c r="G145" s="16" t="n"/>
      <c r="H145" s="42">
        <f>IF($D145&lt;&gt;"",$D145,IF(COUNT($B145,$E145)=2,$B145+IFERROR($C145,0)-$E145,""))</f>
        <v/>
      </c>
      <c r="I145" s="30">
        <f>IF($G145="","",$F145&amp;" | "&amp;$G145)</f>
        <v/>
      </c>
    </row>
    <row r="146">
      <c r="A146" s="16" t="n"/>
      <c r="B146" s="28" t="n"/>
      <c r="C146" s="28" t="n"/>
      <c r="D146" s="28" t="n"/>
      <c r="E146" s="28" t="n"/>
      <c r="F146" s="18" t="n"/>
      <c r="G146" s="16" t="n"/>
      <c r="H146" s="42">
        <f>IF($D146&lt;&gt;"",$D146,IF(COUNT($B146,$E146)=2,$B146+IFERROR($C146,0)-$E146,""))</f>
        <v/>
      </c>
      <c r="I146" s="30">
        <f>IF($G146="","",$F146&amp;" | "&amp;$G146)</f>
        <v/>
      </c>
    </row>
    <row r="147">
      <c r="A147" s="16" t="n"/>
      <c r="B147" s="28" t="n"/>
      <c r="C147" s="28" t="n"/>
      <c r="D147" s="28" t="n"/>
      <c r="E147" s="28" t="n"/>
      <c r="F147" s="18" t="n"/>
      <c r="G147" s="16" t="n"/>
      <c r="H147" s="42">
        <f>IF($D147&lt;&gt;"",$D147,IF(COUNT($B147,$E147)=2,$B147+IFERROR($C147,0)-$E147,""))</f>
        <v/>
      </c>
      <c r="I147" s="30">
        <f>IF($G147="","",$F147&amp;" | "&amp;$G147)</f>
        <v/>
      </c>
    </row>
    <row r="148">
      <c r="A148" s="16" t="n"/>
      <c r="B148" s="28" t="n"/>
      <c r="C148" s="28" t="n"/>
      <c r="D148" s="28" t="n"/>
      <c r="E148" s="28" t="n"/>
      <c r="F148" s="18" t="n"/>
      <c r="G148" s="16" t="n"/>
      <c r="H148" s="42">
        <f>IF($D148&lt;&gt;"",$D148,IF(COUNT($B148,$E148)=2,$B148+IFERROR($C148,0)-$E148,""))</f>
        <v/>
      </c>
      <c r="I148" s="30">
        <f>IF($G148="","",$F148&amp;" | "&amp;$G148)</f>
        <v/>
      </c>
    </row>
    <row r="149">
      <c r="A149" s="16" t="n"/>
      <c r="B149" s="28" t="n"/>
      <c r="C149" s="28" t="n"/>
      <c r="D149" s="28" t="n"/>
      <c r="E149" s="28" t="n"/>
      <c r="F149" s="18" t="n"/>
      <c r="G149" s="16" t="n"/>
      <c r="H149" s="42">
        <f>IF($D149&lt;&gt;"",$D149,IF(COUNT($B149,$E149)=2,$B149+IFERROR($C149,0)-$E149,""))</f>
        <v/>
      </c>
      <c r="I149" s="30">
        <f>IF($G149="","",$F149&amp;" | "&amp;$G149)</f>
        <v/>
      </c>
    </row>
    <row r="150">
      <c r="A150" s="16" t="n"/>
      <c r="B150" s="28" t="n"/>
      <c r="C150" s="28" t="n"/>
      <c r="D150" s="28" t="n"/>
      <c r="E150" s="28" t="n"/>
      <c r="F150" s="18" t="n"/>
      <c r="G150" s="16" t="n"/>
      <c r="H150" s="42">
        <f>IF($D150&lt;&gt;"",$D150,IF(COUNT($B150,$E150)=2,$B150+IFERROR($C150,0)-$E150,""))</f>
        <v/>
      </c>
      <c r="I150" s="30">
        <f>IF($G150="","",$F150&amp;" | "&amp;$G150)</f>
        <v/>
      </c>
    </row>
    <row r="151">
      <c r="A151" s="16" t="n"/>
      <c r="B151" s="28" t="n"/>
      <c r="C151" s="28" t="n"/>
      <c r="D151" s="28" t="n"/>
      <c r="E151" s="28" t="n"/>
      <c r="F151" s="18" t="n"/>
      <c r="G151" s="16" t="n"/>
      <c r="H151" s="42">
        <f>IF($D151&lt;&gt;"",$D151,IF(COUNT($B151,$E151)=2,$B151+IFERROR($C151,0)-$E151,""))</f>
        <v/>
      </c>
      <c r="I151" s="30">
        <f>IF($G151="","",$F151&amp;" | "&amp;$G151)</f>
        <v/>
      </c>
    </row>
    <row r="152">
      <c r="A152" s="16" t="n"/>
      <c r="B152" s="28" t="n"/>
      <c r="C152" s="28" t="n"/>
      <c r="D152" s="28" t="n"/>
      <c r="E152" s="28" t="n"/>
      <c r="F152" s="18" t="n"/>
      <c r="G152" s="16" t="n"/>
      <c r="H152" s="42">
        <f>IF($D152&lt;&gt;"",$D152,IF(COUNT($B152,$E152)=2,$B152+IFERROR($C152,0)-$E152,""))</f>
        <v/>
      </c>
      <c r="I152" s="30">
        <f>IF($G152="","",$F152&amp;" | "&amp;$G152)</f>
        <v/>
      </c>
    </row>
    <row r="153">
      <c r="A153" s="16" t="n"/>
      <c r="B153" s="28" t="n"/>
      <c r="C153" s="28" t="n"/>
      <c r="D153" s="28" t="n"/>
      <c r="E153" s="28" t="n"/>
      <c r="F153" s="18" t="n"/>
      <c r="G153" s="16" t="n"/>
      <c r="H153" s="42">
        <f>IF($D153&lt;&gt;"",$D153,IF(COUNT($B153,$E153)=2,$B153+IFERROR($C153,0)-$E153,""))</f>
        <v/>
      </c>
      <c r="I153" s="30">
        <f>IF($G153="","",$F153&amp;" | "&amp;$G153)</f>
        <v/>
      </c>
    </row>
    <row r="154">
      <c r="A154" s="16" t="n"/>
      <c r="B154" s="28" t="n"/>
      <c r="C154" s="28" t="n"/>
      <c r="D154" s="28" t="n"/>
      <c r="E154" s="28" t="n"/>
      <c r="F154" s="18" t="n"/>
      <c r="G154" s="16" t="n"/>
      <c r="H154" s="42">
        <f>IF($D154&lt;&gt;"",$D154,IF(COUNT($B154,$E154)=2,$B154+IFERROR($C154,0)-$E154,""))</f>
        <v/>
      </c>
      <c r="I154" s="30">
        <f>IF($G154="","",$F154&amp;" | "&amp;$G154)</f>
        <v/>
      </c>
    </row>
    <row r="155">
      <c r="A155" s="16" t="n"/>
      <c r="B155" s="28" t="n"/>
      <c r="C155" s="28" t="n"/>
      <c r="D155" s="28" t="n"/>
      <c r="E155" s="28" t="n"/>
      <c r="F155" s="18" t="n"/>
      <c r="G155" s="16" t="n"/>
      <c r="H155" s="42">
        <f>IF($D155&lt;&gt;"",$D155,IF(COUNT($B155,$E155)=2,$B155+IFERROR($C155,0)-$E155,""))</f>
        <v/>
      </c>
      <c r="I155" s="30">
        <f>IF($G155="","",$F155&amp;" | "&amp;$G155)</f>
        <v/>
      </c>
    </row>
    <row r="156">
      <c r="A156" s="16" t="n"/>
      <c r="B156" s="28" t="n"/>
      <c r="C156" s="28" t="n"/>
      <c r="D156" s="28" t="n"/>
      <c r="E156" s="28" t="n"/>
      <c r="F156" s="18" t="n"/>
      <c r="G156" s="16" t="n"/>
      <c r="H156" s="42">
        <f>IF($D156&lt;&gt;"",$D156,IF(COUNT($B156,$E156)=2,$B156+IFERROR($C156,0)-$E156,""))</f>
        <v/>
      </c>
      <c r="I156" s="30">
        <f>IF($G156="","",$F156&amp;" | "&amp;$G156)</f>
        <v/>
      </c>
    </row>
    <row r="157">
      <c r="A157" s="16" t="n"/>
      <c r="B157" s="28" t="n"/>
      <c r="C157" s="28" t="n"/>
      <c r="D157" s="28" t="n"/>
      <c r="E157" s="28" t="n"/>
      <c r="F157" s="18" t="n"/>
      <c r="G157" s="16" t="n"/>
      <c r="H157" s="42">
        <f>IF($D157&lt;&gt;"",$D157,IF(COUNT($B157,$E157)=2,$B157+IFERROR($C157,0)-$E157,""))</f>
        <v/>
      </c>
      <c r="I157" s="30">
        <f>IF($G157="","",$F157&amp;" | "&amp;$G157)</f>
        <v/>
      </c>
    </row>
    <row r="158">
      <c r="A158" s="16" t="n"/>
      <c r="B158" s="28" t="n"/>
      <c r="C158" s="28" t="n"/>
      <c r="D158" s="28" t="n"/>
      <c r="E158" s="28" t="n"/>
      <c r="F158" s="18" t="n"/>
      <c r="G158" s="16" t="n"/>
      <c r="H158" s="42">
        <f>IF($D158&lt;&gt;"",$D158,IF(COUNT($B158,$E158)=2,$B158+IFERROR($C158,0)-$E158,""))</f>
        <v/>
      </c>
      <c r="I158" s="30">
        <f>IF($G158="","",$F158&amp;" | "&amp;$G158)</f>
        <v/>
      </c>
    </row>
    <row r="159">
      <c r="A159" s="16" t="n"/>
      <c r="B159" s="28" t="n"/>
      <c r="C159" s="28" t="n"/>
      <c r="D159" s="28" t="n"/>
      <c r="E159" s="28" t="n"/>
      <c r="F159" s="18" t="n"/>
      <c r="G159" s="16" t="n"/>
      <c r="H159" s="42">
        <f>IF($D159&lt;&gt;"",$D159,IF(COUNT($B159,$E159)=2,$B159+IFERROR($C159,0)-$E159,""))</f>
        <v/>
      </c>
      <c r="I159" s="30">
        <f>IF($G159="","",$F159&amp;" | "&amp;$G159)</f>
        <v/>
      </c>
    </row>
    <row r="160">
      <c r="A160" s="16" t="n"/>
      <c r="B160" s="28" t="n"/>
      <c r="C160" s="28" t="n"/>
      <c r="D160" s="28" t="n"/>
      <c r="E160" s="28" t="n"/>
      <c r="F160" s="18" t="n"/>
      <c r="G160" s="16" t="n"/>
      <c r="H160" s="42">
        <f>IF($D160&lt;&gt;"",$D160,IF(COUNT($B160,$E160)=2,$B160+IFERROR($C160,0)-$E160,""))</f>
        <v/>
      </c>
      <c r="I160" s="30">
        <f>IF($G160="","",$F160&amp;" | "&amp;$G160)</f>
        <v/>
      </c>
    </row>
    <row r="161">
      <c r="A161" s="16" t="n"/>
      <c r="B161" s="28" t="n"/>
      <c r="C161" s="28" t="n"/>
      <c r="D161" s="28" t="n"/>
      <c r="E161" s="28" t="n"/>
      <c r="F161" s="18" t="n"/>
      <c r="G161" s="16" t="n"/>
      <c r="H161" s="42">
        <f>IF($D161&lt;&gt;"",$D161,IF(COUNT($B161,$E161)=2,$B161+IFERROR($C161,0)-$E161,""))</f>
        <v/>
      </c>
      <c r="I161" s="30">
        <f>IF($G161="","",$F161&amp;" | "&amp;$G161)</f>
        <v/>
      </c>
    </row>
    <row r="162">
      <c r="A162" s="16" t="n"/>
      <c r="B162" s="28" t="n"/>
      <c r="C162" s="28" t="n"/>
      <c r="D162" s="28" t="n"/>
      <c r="E162" s="28" t="n"/>
      <c r="F162" s="18" t="n"/>
      <c r="G162" s="16" t="n"/>
      <c r="H162" s="42">
        <f>IF($D162&lt;&gt;"",$D162,IF(COUNT($B162,$E162)=2,$B162+IFERROR($C162,0)-$E162,""))</f>
        <v/>
      </c>
      <c r="I162" s="30">
        <f>IF($G162="","",$F162&amp;" | "&amp;$G162)</f>
        <v/>
      </c>
    </row>
    <row r="163">
      <c r="A163" s="16" t="n"/>
      <c r="B163" s="28" t="n"/>
      <c r="C163" s="28" t="n"/>
      <c r="D163" s="28" t="n"/>
      <c r="E163" s="28" t="n"/>
      <c r="F163" s="18" t="n"/>
      <c r="G163" s="16" t="n"/>
      <c r="H163" s="42">
        <f>IF($D163&lt;&gt;"",$D163,IF(COUNT($B163,$E163)=2,$B163+IFERROR($C163,0)-$E163,""))</f>
        <v/>
      </c>
      <c r="I163" s="30">
        <f>IF($G163="","",$F163&amp;" | "&amp;$G163)</f>
        <v/>
      </c>
    </row>
    <row r="164">
      <c r="A164" s="16" t="n"/>
      <c r="B164" s="28" t="n"/>
      <c r="C164" s="28" t="n"/>
      <c r="D164" s="28" t="n"/>
      <c r="E164" s="28" t="n"/>
      <c r="F164" s="18" t="n"/>
      <c r="G164" s="16" t="n"/>
      <c r="H164" s="42">
        <f>IF($D164&lt;&gt;"",$D164,IF(COUNT($B164,$E164)=2,$B164+IFERROR($C164,0)-$E164,""))</f>
        <v/>
      </c>
      <c r="I164" s="30">
        <f>IF($G164="","",$F164&amp;" | "&amp;$G164)</f>
        <v/>
      </c>
    </row>
    <row r="165">
      <c r="A165" s="16" t="n"/>
      <c r="B165" s="28" t="n"/>
      <c r="C165" s="28" t="n"/>
      <c r="D165" s="28" t="n"/>
      <c r="E165" s="28" t="n"/>
      <c r="F165" s="18" t="n"/>
      <c r="G165" s="16" t="n"/>
      <c r="H165" s="42">
        <f>IF($D165&lt;&gt;"",$D165,IF(COUNT($B165,$E165)=2,$B165+IFERROR($C165,0)-$E165,""))</f>
        <v/>
      </c>
      <c r="I165" s="30">
        <f>IF($G165="","",$F165&amp;" | "&amp;$G165)</f>
        <v/>
      </c>
    </row>
    <row r="166">
      <c r="A166" s="16" t="n"/>
      <c r="B166" s="28" t="n"/>
      <c r="C166" s="28" t="n"/>
      <c r="D166" s="28" t="n"/>
      <c r="E166" s="28" t="n"/>
      <c r="F166" s="18" t="n"/>
      <c r="G166" s="16" t="n"/>
      <c r="H166" s="42">
        <f>IF($D166&lt;&gt;"",$D166,IF(COUNT($B166,$E166)=2,$B166+IFERROR($C166,0)-$E166,""))</f>
        <v/>
      </c>
      <c r="I166" s="30">
        <f>IF($G166="","",$F166&amp;" | "&amp;$G166)</f>
        <v/>
      </c>
    </row>
    <row r="167">
      <c r="A167" s="16" t="n"/>
      <c r="B167" s="28" t="n"/>
      <c r="C167" s="28" t="n"/>
      <c r="D167" s="28" t="n"/>
      <c r="E167" s="28" t="n"/>
      <c r="F167" s="18" t="n"/>
      <c r="G167" s="16" t="n"/>
      <c r="H167" s="42">
        <f>IF($D167&lt;&gt;"",$D167,IF(COUNT($B167,$E167)=2,$B167+IFERROR($C167,0)-$E167,""))</f>
        <v/>
      </c>
      <c r="I167" s="30">
        <f>IF($G167="","",$F167&amp;" | "&amp;$G167)</f>
        <v/>
      </c>
    </row>
    <row r="168">
      <c r="A168" s="16" t="n"/>
      <c r="B168" s="28" t="n"/>
      <c r="C168" s="28" t="n"/>
      <c r="D168" s="28" t="n"/>
      <c r="E168" s="28" t="n"/>
      <c r="F168" s="18" t="n"/>
      <c r="G168" s="16" t="n"/>
      <c r="H168" s="42">
        <f>IF($D168&lt;&gt;"",$D168,IF(COUNT($B168,$E168)=2,$B168+IFERROR($C168,0)-$E168,""))</f>
        <v/>
      </c>
      <c r="I168" s="30">
        <f>IF($G168="","",$F168&amp;" | "&amp;$G168)</f>
        <v/>
      </c>
    </row>
    <row r="169">
      <c r="A169" s="16" t="n"/>
      <c r="B169" s="28" t="n"/>
      <c r="C169" s="28" t="n"/>
      <c r="D169" s="28" t="n"/>
      <c r="E169" s="28" t="n"/>
      <c r="F169" s="18" t="n"/>
      <c r="G169" s="16" t="n"/>
      <c r="H169" s="42">
        <f>IF($D169&lt;&gt;"",$D169,IF(COUNT($B169,$E169)=2,$B169+IFERROR($C169,0)-$E169,""))</f>
        <v/>
      </c>
      <c r="I169" s="30">
        <f>IF($G169="","",$F169&amp;" | "&amp;$G169)</f>
        <v/>
      </c>
    </row>
    <row r="170">
      <c r="A170" s="16" t="n"/>
      <c r="B170" s="28" t="n"/>
      <c r="C170" s="28" t="n"/>
      <c r="D170" s="28" t="n"/>
      <c r="E170" s="28" t="n"/>
      <c r="F170" s="18" t="n"/>
      <c r="G170" s="16" t="n"/>
      <c r="H170" s="42">
        <f>IF($D170&lt;&gt;"",$D170,IF(COUNT($B170,$E170)=2,$B170+IFERROR($C170,0)-$E170,""))</f>
        <v/>
      </c>
      <c r="I170" s="30">
        <f>IF($G170="","",$F170&amp;" | "&amp;$G170)</f>
        <v/>
      </c>
    </row>
    <row r="171">
      <c r="A171" s="16" t="n"/>
      <c r="B171" s="28" t="n"/>
      <c r="C171" s="28" t="n"/>
      <c r="D171" s="28" t="n"/>
      <c r="E171" s="28" t="n"/>
      <c r="F171" s="18" t="n"/>
      <c r="G171" s="16" t="n"/>
      <c r="H171" s="42">
        <f>IF($D171&lt;&gt;"",$D171,IF(COUNT($B171,$E171)=2,$B171+IFERROR($C171,0)-$E171,""))</f>
        <v/>
      </c>
      <c r="I171" s="30">
        <f>IF($G171="","",$F171&amp;" | "&amp;$G171)</f>
        <v/>
      </c>
    </row>
    <row r="172">
      <c r="A172" s="16" t="n"/>
      <c r="B172" s="28" t="n"/>
      <c r="C172" s="28" t="n"/>
      <c r="D172" s="28" t="n"/>
      <c r="E172" s="28" t="n"/>
      <c r="F172" s="18" t="n"/>
      <c r="G172" s="16" t="n"/>
      <c r="H172" s="42">
        <f>IF($D172&lt;&gt;"",$D172,IF(COUNT($B172,$E172)=2,$B172+IFERROR($C172,0)-$E172,""))</f>
        <v/>
      </c>
      <c r="I172" s="30">
        <f>IF($G172="","",$F172&amp;" | "&amp;$G172)</f>
        <v/>
      </c>
    </row>
    <row r="173">
      <c r="A173" s="16" t="n"/>
      <c r="B173" s="28" t="n"/>
      <c r="C173" s="28" t="n"/>
      <c r="D173" s="28" t="n"/>
      <c r="E173" s="28" t="n"/>
      <c r="F173" s="18" t="n"/>
      <c r="G173" s="16" t="n"/>
      <c r="H173" s="42">
        <f>IF($D173&lt;&gt;"",$D173,IF(COUNT($B173,$E173)=2,$B173+IFERROR($C173,0)-$E173,""))</f>
        <v/>
      </c>
      <c r="I173" s="30">
        <f>IF($G173="","",$F173&amp;" | "&amp;$G173)</f>
        <v/>
      </c>
    </row>
    <row r="174">
      <c r="A174" s="16" t="n"/>
      <c r="B174" s="28" t="n"/>
      <c r="C174" s="28" t="n"/>
      <c r="D174" s="28" t="n"/>
      <c r="E174" s="28" t="n"/>
      <c r="F174" s="18" t="n"/>
      <c r="G174" s="16" t="n"/>
      <c r="H174" s="42">
        <f>IF($D174&lt;&gt;"",$D174,IF(COUNT($B174,$E174)=2,$B174+IFERROR($C174,0)-$E174,""))</f>
        <v/>
      </c>
      <c r="I174" s="30">
        <f>IF($G174="","",$F174&amp;" | "&amp;$G174)</f>
        <v/>
      </c>
    </row>
    <row r="175">
      <c r="A175" s="16" t="n"/>
      <c r="B175" s="28" t="n"/>
      <c r="C175" s="28" t="n"/>
      <c r="D175" s="28" t="n"/>
      <c r="E175" s="28" t="n"/>
      <c r="F175" s="18" t="n"/>
      <c r="G175" s="16" t="n"/>
      <c r="H175" s="42">
        <f>IF($D175&lt;&gt;"",$D175,IF(COUNT($B175,$E175)=2,$B175+IFERROR($C175,0)-$E175,""))</f>
        <v/>
      </c>
      <c r="I175" s="30">
        <f>IF($G175="","",$F175&amp;" | "&amp;$G175)</f>
        <v/>
      </c>
    </row>
    <row r="176">
      <c r="A176" s="16" t="n"/>
      <c r="B176" s="28" t="n"/>
      <c r="C176" s="28" t="n"/>
      <c r="D176" s="28" t="n"/>
      <c r="E176" s="28" t="n"/>
      <c r="F176" s="18" t="n"/>
      <c r="G176" s="16" t="n"/>
      <c r="H176" s="42">
        <f>IF($D176&lt;&gt;"",$D176,IF(COUNT($B176,$E176)=2,$B176+IFERROR($C176,0)-$E176,""))</f>
        <v/>
      </c>
      <c r="I176" s="30">
        <f>IF($G176="","",$F176&amp;" | "&amp;$G176)</f>
        <v/>
      </c>
    </row>
    <row r="177">
      <c r="A177" s="16" t="n"/>
      <c r="B177" s="28" t="n"/>
      <c r="C177" s="28" t="n"/>
      <c r="D177" s="28" t="n"/>
      <c r="E177" s="28" t="n"/>
      <c r="F177" s="18" t="n"/>
      <c r="G177" s="16" t="n"/>
      <c r="H177" s="42">
        <f>IF($D177&lt;&gt;"",$D177,IF(COUNT($B177,$E177)=2,$B177+IFERROR($C177,0)-$E177,""))</f>
        <v/>
      </c>
      <c r="I177" s="30">
        <f>IF($G177="","",$F177&amp;" | "&amp;$G177)</f>
        <v/>
      </c>
    </row>
    <row r="178">
      <c r="A178" s="16" t="n"/>
      <c r="B178" s="28" t="n"/>
      <c r="C178" s="28" t="n"/>
      <c r="D178" s="28" t="n"/>
      <c r="E178" s="28" t="n"/>
      <c r="F178" s="18" t="n"/>
      <c r="G178" s="16" t="n"/>
      <c r="H178" s="42">
        <f>IF($D178&lt;&gt;"",$D178,IF(COUNT($B178,$E178)=2,$B178+IFERROR($C178,0)-$E178,""))</f>
        <v/>
      </c>
      <c r="I178" s="30">
        <f>IF($G178="","",$F178&amp;" | "&amp;$G178)</f>
        <v/>
      </c>
    </row>
    <row r="179">
      <c r="A179" s="16" t="n"/>
      <c r="B179" s="28" t="n"/>
      <c r="C179" s="28" t="n"/>
      <c r="D179" s="28" t="n"/>
      <c r="E179" s="28" t="n"/>
      <c r="F179" s="18" t="n"/>
      <c r="G179" s="16" t="n"/>
      <c r="H179" s="42">
        <f>IF($D179&lt;&gt;"",$D179,IF(COUNT($B179,$E179)=2,$B179+IFERROR($C179,0)-$E179,""))</f>
        <v/>
      </c>
      <c r="I179" s="30">
        <f>IF($G179="","",$F179&amp;" | "&amp;$G179)</f>
        <v/>
      </c>
    </row>
    <row r="180">
      <c r="A180" s="16" t="n"/>
      <c r="B180" s="28" t="n"/>
      <c r="C180" s="28" t="n"/>
      <c r="D180" s="28" t="n"/>
      <c r="E180" s="28" t="n"/>
      <c r="F180" s="18" t="n"/>
      <c r="G180" s="16" t="n"/>
      <c r="H180" s="42">
        <f>IF($D180&lt;&gt;"",$D180,IF(COUNT($B180,$E180)=2,$B180+IFERROR($C180,0)-$E180,""))</f>
        <v/>
      </c>
      <c r="I180" s="30">
        <f>IF($G180="","",$F180&amp;" | "&amp;$G180)</f>
        <v/>
      </c>
    </row>
    <row r="181">
      <c r="A181" s="16" t="n"/>
      <c r="B181" s="28" t="n"/>
      <c r="C181" s="28" t="n"/>
      <c r="D181" s="28" t="n"/>
      <c r="E181" s="28" t="n"/>
      <c r="F181" s="18" t="n"/>
      <c r="G181" s="16" t="n"/>
      <c r="H181" s="42">
        <f>IF($D181&lt;&gt;"",$D181,IF(COUNT($B181,$E181)=2,$B181+IFERROR($C181,0)-$E181,""))</f>
        <v/>
      </c>
      <c r="I181" s="30">
        <f>IF($G181="","",$F181&amp;" | "&amp;$G181)</f>
        <v/>
      </c>
    </row>
    <row r="182">
      <c r="A182" s="16" t="n"/>
      <c r="B182" s="28" t="n"/>
      <c r="C182" s="28" t="n"/>
      <c r="D182" s="28" t="n"/>
      <c r="E182" s="28" t="n"/>
      <c r="F182" s="18" t="n"/>
      <c r="G182" s="16" t="n"/>
      <c r="H182" s="42">
        <f>IF($D182&lt;&gt;"",$D182,IF(COUNT($B182,$E182)=2,$B182+IFERROR($C182,0)-$E182,""))</f>
        <v/>
      </c>
      <c r="I182" s="30">
        <f>IF($G182="","",$F182&amp;" | "&amp;$G182)</f>
        <v/>
      </c>
    </row>
    <row r="183">
      <c r="A183" s="16" t="n"/>
      <c r="B183" s="28" t="n"/>
      <c r="C183" s="28" t="n"/>
      <c r="D183" s="28" t="n"/>
      <c r="E183" s="28" t="n"/>
      <c r="F183" s="18" t="n"/>
      <c r="G183" s="16" t="n"/>
      <c r="H183" s="42">
        <f>IF($D183&lt;&gt;"",$D183,IF(COUNT($B183,$E183)=2,$B183+IFERROR($C183,0)-$E183,""))</f>
        <v/>
      </c>
      <c r="I183" s="30">
        <f>IF($G183="","",$F183&amp;" | "&amp;$G183)</f>
        <v/>
      </c>
    </row>
    <row r="184">
      <c r="A184" s="16" t="n"/>
      <c r="B184" s="28" t="n"/>
      <c r="C184" s="28" t="n"/>
      <c r="D184" s="28" t="n"/>
      <c r="E184" s="28" t="n"/>
      <c r="F184" s="18" t="n"/>
      <c r="G184" s="16" t="n"/>
      <c r="H184" s="42">
        <f>IF($D184&lt;&gt;"",$D184,IF(COUNT($B184,$E184)=2,$B184+IFERROR($C184,0)-$E184,""))</f>
        <v/>
      </c>
      <c r="I184" s="30">
        <f>IF($G184="","",$F184&amp;" | "&amp;$G184)</f>
        <v/>
      </c>
    </row>
    <row r="185">
      <c r="A185" s="16" t="n"/>
      <c r="B185" s="28" t="n"/>
      <c r="C185" s="28" t="n"/>
      <c r="D185" s="28" t="n"/>
      <c r="E185" s="28" t="n"/>
      <c r="F185" s="18" t="n"/>
      <c r="G185" s="16" t="n"/>
      <c r="H185" s="42">
        <f>IF($D185&lt;&gt;"",$D185,IF(COUNT($B185,$E185)=2,$B185+IFERROR($C185,0)-$E185,""))</f>
        <v/>
      </c>
      <c r="I185" s="30">
        <f>IF($G185="","",$F185&amp;" | "&amp;$G185)</f>
        <v/>
      </c>
    </row>
    <row r="186">
      <c r="A186" s="16" t="n"/>
      <c r="B186" s="28" t="n"/>
      <c r="C186" s="28" t="n"/>
      <c r="D186" s="28" t="n"/>
      <c r="E186" s="28" t="n"/>
      <c r="F186" s="18" t="n"/>
      <c r="G186" s="16" t="n"/>
      <c r="H186" s="42">
        <f>IF($D186&lt;&gt;"",$D186,IF(COUNT($B186,$E186)=2,$B186+IFERROR($C186,0)-$E186,""))</f>
        <v/>
      </c>
      <c r="I186" s="30">
        <f>IF($G186="","",$F186&amp;" | "&amp;$G186)</f>
        <v/>
      </c>
    </row>
    <row r="187">
      <c r="A187" s="16" t="n"/>
      <c r="B187" s="28" t="n"/>
      <c r="C187" s="28" t="n"/>
      <c r="D187" s="28" t="n"/>
      <c r="E187" s="28" t="n"/>
      <c r="F187" s="18" t="n"/>
      <c r="G187" s="16" t="n"/>
      <c r="H187" s="42">
        <f>IF($D187&lt;&gt;"",$D187,IF(COUNT($B187,$E187)=2,$B187+IFERROR($C187,0)-$E187,""))</f>
        <v/>
      </c>
      <c r="I187" s="30">
        <f>IF($G187="","",$F187&amp;" | "&amp;$G187)</f>
        <v/>
      </c>
    </row>
    <row r="188">
      <c r="A188" s="16" t="n"/>
      <c r="B188" s="28" t="n"/>
      <c r="C188" s="28" t="n"/>
      <c r="D188" s="28" t="n"/>
      <c r="E188" s="28" t="n"/>
      <c r="F188" s="18" t="n"/>
      <c r="G188" s="16" t="n"/>
      <c r="H188" s="42">
        <f>IF($D188&lt;&gt;"",$D188,IF(COUNT($B188,$E188)=2,$B188+IFERROR($C188,0)-$E188,""))</f>
        <v/>
      </c>
      <c r="I188" s="30">
        <f>IF($G188="","",$F188&amp;" | "&amp;$G188)</f>
        <v/>
      </c>
    </row>
    <row r="189">
      <c r="A189" s="16" t="n"/>
      <c r="B189" s="28" t="n"/>
      <c r="C189" s="28" t="n"/>
      <c r="D189" s="28" t="n"/>
      <c r="E189" s="28" t="n"/>
      <c r="F189" s="18" t="n"/>
      <c r="G189" s="16" t="n"/>
      <c r="H189" s="42">
        <f>IF($D189&lt;&gt;"",$D189,IF(COUNT($B189,$E189)=2,$B189+IFERROR($C189,0)-$E189,""))</f>
        <v/>
      </c>
      <c r="I189" s="30">
        <f>IF($G189="","",$F189&amp;" | "&amp;$G189)</f>
        <v/>
      </c>
    </row>
    <row r="190">
      <c r="A190" s="16" t="n"/>
      <c r="B190" s="28" t="n"/>
      <c r="C190" s="28" t="n"/>
      <c r="D190" s="28" t="n"/>
      <c r="E190" s="28" t="n"/>
      <c r="F190" s="18" t="n"/>
      <c r="G190" s="16" t="n"/>
      <c r="H190" s="42">
        <f>IF($D190&lt;&gt;"",$D190,IF(COUNT($B190,$E190)=2,$B190+IFERROR($C190,0)-$E190,""))</f>
        <v/>
      </c>
      <c r="I190" s="30">
        <f>IF($G190="","",$F190&amp;" | "&amp;$G190)</f>
        <v/>
      </c>
    </row>
    <row r="191">
      <c r="A191" s="16" t="n"/>
      <c r="B191" s="28" t="n"/>
      <c r="C191" s="28" t="n"/>
      <c r="D191" s="28" t="n"/>
      <c r="E191" s="28" t="n"/>
      <c r="F191" s="18" t="n"/>
      <c r="G191" s="16" t="n"/>
      <c r="H191" s="42">
        <f>IF($D191&lt;&gt;"",$D191,IF(COUNT($B191,$E191)=2,$B191+IFERROR($C191,0)-$E191,""))</f>
        <v/>
      </c>
      <c r="I191" s="30">
        <f>IF($G191="","",$F191&amp;" | "&amp;$G191)</f>
        <v/>
      </c>
    </row>
    <row r="192">
      <c r="A192" s="16" t="n"/>
      <c r="B192" s="28" t="n"/>
      <c r="C192" s="28" t="n"/>
      <c r="D192" s="28" t="n"/>
      <c r="E192" s="28" t="n"/>
      <c r="F192" s="18" t="n"/>
      <c r="G192" s="16" t="n"/>
      <c r="H192" s="42">
        <f>IF($D192&lt;&gt;"",$D192,IF(COUNT($B192,$E192)=2,$B192+IFERROR($C192,0)-$E192,""))</f>
        <v/>
      </c>
      <c r="I192" s="30">
        <f>IF($G192="","",$F192&amp;" | "&amp;$G192)</f>
        <v/>
      </c>
    </row>
    <row r="193">
      <c r="A193" s="16" t="n"/>
      <c r="B193" s="28" t="n"/>
      <c r="C193" s="28" t="n"/>
      <c r="D193" s="28" t="n"/>
      <c r="E193" s="28" t="n"/>
      <c r="F193" s="18" t="n"/>
      <c r="G193" s="16" t="n"/>
      <c r="H193" s="42">
        <f>IF($D193&lt;&gt;"",$D193,IF(COUNT($B193,$E193)=2,$B193+IFERROR($C193,0)-$E193,""))</f>
        <v/>
      </c>
      <c r="I193" s="30">
        <f>IF($G193="","",$F193&amp;" | "&amp;$G193)</f>
        <v/>
      </c>
    </row>
    <row r="194">
      <c r="A194" s="16" t="n"/>
      <c r="B194" s="28" t="n"/>
      <c r="C194" s="28" t="n"/>
      <c r="D194" s="28" t="n"/>
      <c r="E194" s="28" t="n"/>
      <c r="F194" s="18" t="n"/>
      <c r="G194" s="16" t="n"/>
      <c r="H194" s="42">
        <f>IF($D194&lt;&gt;"",$D194,IF(COUNT($B194,$E194)=2,$B194+IFERROR($C194,0)-$E194,""))</f>
        <v/>
      </c>
      <c r="I194" s="30">
        <f>IF($G194="","",$F194&amp;" | "&amp;$G194)</f>
        <v/>
      </c>
    </row>
    <row r="195">
      <c r="A195" s="16" t="n"/>
      <c r="B195" s="28" t="n"/>
      <c r="C195" s="28" t="n"/>
      <c r="D195" s="28" t="n"/>
      <c r="E195" s="28" t="n"/>
      <c r="F195" s="18" t="n"/>
      <c r="G195" s="16" t="n"/>
      <c r="H195" s="42">
        <f>IF($D195&lt;&gt;"",$D195,IF(COUNT($B195,$E195)=2,$B195+IFERROR($C195,0)-$E195,""))</f>
        <v/>
      </c>
      <c r="I195" s="30">
        <f>IF($G195="","",$F195&amp;" | "&amp;$G195)</f>
        <v/>
      </c>
    </row>
    <row r="196">
      <c r="A196" s="16" t="n"/>
      <c r="B196" s="28" t="n"/>
      <c r="C196" s="28" t="n"/>
      <c r="D196" s="28" t="n"/>
      <c r="E196" s="28" t="n"/>
      <c r="F196" s="18" t="n"/>
      <c r="G196" s="16" t="n"/>
      <c r="H196" s="42">
        <f>IF($D196&lt;&gt;"",$D196,IF(COUNT($B196,$E196)=2,$B196+IFERROR($C196,0)-$E196,""))</f>
        <v/>
      </c>
      <c r="I196" s="30">
        <f>IF($G196="","",$F196&amp;" | "&amp;$G196)</f>
        <v/>
      </c>
    </row>
    <row r="197">
      <c r="A197" s="16" t="n"/>
      <c r="B197" s="28" t="n"/>
      <c r="C197" s="28" t="n"/>
      <c r="D197" s="28" t="n"/>
      <c r="E197" s="28" t="n"/>
      <c r="F197" s="18" t="n"/>
      <c r="G197" s="16" t="n"/>
      <c r="H197" s="42">
        <f>IF($D197&lt;&gt;"",$D197,IF(COUNT($B197,$E197)=2,$B197+IFERROR($C197,0)-$E197,""))</f>
        <v/>
      </c>
      <c r="I197" s="30">
        <f>IF($G197="","",$F197&amp;" | "&amp;$G197)</f>
        <v/>
      </c>
    </row>
    <row r="198">
      <c r="A198" s="16" t="n"/>
      <c r="B198" s="28" t="n"/>
      <c r="C198" s="28" t="n"/>
      <c r="D198" s="28" t="n"/>
      <c r="E198" s="28" t="n"/>
      <c r="F198" s="18" t="n"/>
      <c r="G198" s="16" t="n"/>
      <c r="H198" s="42">
        <f>IF($D198&lt;&gt;"",$D198,IF(COUNT($B198,$E198)=2,$B198+IFERROR($C198,0)-$E198,""))</f>
        <v/>
      </c>
      <c r="I198" s="30">
        <f>IF($G198="","",$F198&amp;" | "&amp;$G198)</f>
        <v/>
      </c>
    </row>
    <row r="199">
      <c r="A199" s="16" t="n"/>
      <c r="B199" s="28" t="n"/>
      <c r="C199" s="28" t="n"/>
      <c r="D199" s="28" t="n"/>
      <c r="E199" s="28" t="n"/>
      <c r="F199" s="18" t="n"/>
      <c r="G199" s="16" t="n"/>
      <c r="H199" s="42">
        <f>IF($D199&lt;&gt;"",$D199,IF(COUNT($B199,$E199)=2,$B199+IFERROR($C199,0)-$E199,""))</f>
        <v/>
      </c>
      <c r="I199" s="30">
        <f>IF($G199="","",$F199&amp;" | "&amp;$G199)</f>
        <v/>
      </c>
    </row>
    <row r="200">
      <c r="A200" s="16" t="n"/>
      <c r="B200" s="28" t="n"/>
      <c r="C200" s="28" t="n"/>
      <c r="D200" s="28" t="n"/>
      <c r="E200" s="28" t="n"/>
      <c r="F200" s="18" t="n"/>
      <c r="G200" s="16" t="n"/>
      <c r="H200" s="42">
        <f>IF($D200&lt;&gt;"",$D200,IF(COUNT($B200,$E200)=2,$B200+IFERROR($C200,0)-$E200,""))</f>
        <v/>
      </c>
      <c r="I200" s="30">
        <f>IF($G200="","",$F200&amp;" | "&amp;$G200)</f>
        <v/>
      </c>
    </row>
    <row r="201">
      <c r="A201" s="16" t="n"/>
      <c r="B201" s="28" t="n"/>
      <c r="C201" s="28" t="n"/>
      <c r="D201" s="28" t="n"/>
      <c r="E201" s="28" t="n"/>
      <c r="F201" s="18" t="n"/>
      <c r="G201" s="16" t="n"/>
      <c r="H201" s="42">
        <f>IF($D201&lt;&gt;"",$D201,IF(COUNT($B201,$E201)=2,$B201+IFERROR($C201,0)-$E201,""))</f>
        <v/>
      </c>
      <c r="I201" s="30">
        <f>IF($G201="","",$F201&amp;" | "&amp;$G201)</f>
        <v/>
      </c>
    </row>
    <row r="202">
      <c r="A202" s="16" t="n"/>
      <c r="B202" s="28" t="n"/>
      <c r="C202" s="28" t="n"/>
      <c r="D202" s="28" t="n"/>
      <c r="E202" s="28" t="n"/>
      <c r="F202" s="18" t="n"/>
      <c r="G202" s="16" t="n"/>
      <c r="H202" s="42">
        <f>IF($D202&lt;&gt;"",$D202,IF(COUNT($B202,$E202)=2,$B202+IFERROR($C202,0)-$E202,""))</f>
        <v/>
      </c>
      <c r="I202" s="30">
        <f>IF($G202="","",$F202&amp;" | "&amp;$G202)</f>
        <v/>
      </c>
    </row>
    <row r="203">
      <c r="A203" s="16" t="n"/>
      <c r="B203" s="28" t="n"/>
      <c r="C203" s="28" t="n"/>
      <c r="D203" s="28" t="n"/>
      <c r="E203" s="28" t="n"/>
      <c r="F203" s="18" t="n"/>
      <c r="G203" s="16" t="n"/>
      <c r="H203" s="42">
        <f>IF($D203&lt;&gt;"",$D203,IF(COUNT($B203,$E203)=2,$B203+IFERROR($C203,0)-$E203,""))</f>
        <v/>
      </c>
      <c r="I203" s="30">
        <f>IF($G203="","",$F203&amp;" | "&amp;$G203)</f>
        <v/>
      </c>
    </row>
    <row r="204">
      <c r="A204" s="16" t="n"/>
      <c r="B204" s="28" t="n"/>
      <c r="C204" s="28" t="n"/>
      <c r="D204" s="28" t="n"/>
      <c r="E204" s="28" t="n"/>
      <c r="F204" s="18" t="n"/>
      <c r="G204" s="16" t="n"/>
      <c r="H204" s="42">
        <f>IF($D204&lt;&gt;"",$D204,IF(COUNT($B204,$E204)=2,$B204+IFERROR($C204,0)-$E204,""))</f>
        <v/>
      </c>
      <c r="I204" s="30">
        <f>IF($G204="","",$F204&amp;" | "&amp;$G204)</f>
        <v/>
      </c>
    </row>
    <row r="205">
      <c r="A205" s="16" t="n"/>
      <c r="B205" s="28" t="n"/>
      <c r="C205" s="28" t="n"/>
      <c r="D205" s="28" t="n"/>
      <c r="E205" s="28" t="n"/>
      <c r="F205" s="18" t="n"/>
      <c r="G205" s="16" t="n"/>
      <c r="H205" s="42">
        <f>IF($D205&lt;&gt;"",$D205,IF(COUNT($B205,$E205)=2,$B205+IFERROR($C205,0)-$E205,""))</f>
        <v/>
      </c>
      <c r="I205" s="30">
        <f>IF($G205="","",$F205&amp;" | "&amp;$G205)</f>
        <v/>
      </c>
    </row>
  </sheetData>
  <autoFilter ref="A4:H205"/>
  <mergeCells count="3">
    <mergeCell ref="A1:I1"/>
    <mergeCell ref="A3:I3"/>
    <mergeCell ref="A2:I2"/>
  </mergeCells>
  <dataValidations count="2">
    <dataValidation sqref="F6:F205" showDropDown="0" showInputMessage="0" showErrorMessage="0" allowBlank="1" type="list">
      <formula1>Listas!$A$2:$A$7</formula1>
    </dataValidation>
    <dataValidation sqref="G6:G205" showDropDown="0" showInputMessage="0" showErrorMessage="0" allowBlank="1" type="list">
      <formula1>Listas!$B$2:$B$120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7" customWidth="1" min="3" max="3"/>
    <col width="12" customWidth="1" min="4" max="4"/>
    <col width="9" customWidth="1" min="5" max="5"/>
    <col width="24" customWidth="1" min="6" max="6"/>
    <col width="18" customWidth="1" min="7" max="7"/>
    <col width="28" customWidth="1" min="8" max="8"/>
  </cols>
  <sheetData>
    <row r="1" ht="30" customHeight="1">
      <c r="A1" s="1" t="inlineStr">
        <is>
          <t>CARGA 8c · CONSUMOS INTERNOS Y CORTESIAS SEGUN FUDO</t>
        </is>
      </c>
    </row>
    <row r="2" ht="18" customHeight="1">
      <c r="A2" s="2" t="inlineStr">
        <is>
          <t>Todo lo que se consumio sin venderse y quedo registrado en Fudo: consumo del personal, cortesias, pruebas.</t>
        </is>
      </c>
    </row>
    <row r="3" ht="18" customHeight="1">
      <c r="A3" s="3" t="inlineStr">
        <is>
          <t>Esta hoja es la que separa el consumo legitimo del faltante real. La fila 5 es un EJEMPLO: borrela.</t>
        </is>
      </c>
    </row>
    <row r="4" ht="30" customHeight="1">
      <c r="A4" s="6" t="inlineStr">
        <is>
          <t>FECHA</t>
        </is>
      </c>
      <c r="B4" s="6" t="inlineStr">
        <is>
          <t>PRODUCTO DE CANDELA</t>
        </is>
      </c>
      <c r="C4" s="6" t="inlineStr">
        <is>
          <t>AREA</t>
        </is>
      </c>
      <c r="D4" s="6" t="inlineStr">
        <is>
          <t>CANTIDAD</t>
        </is>
      </c>
      <c r="E4" s="6" t="inlineStr">
        <is>
          <t>UNID.</t>
        </is>
      </c>
      <c r="F4" s="6" t="inlineStr">
        <is>
          <t>TIPO</t>
        </is>
      </c>
      <c r="G4" s="6" t="inlineStr">
        <is>
          <t>RESPONSABLE / SECTOR</t>
        </is>
      </c>
      <c r="H4" s="6" t="inlineStr">
        <is>
          <t>OBSERVACIONES</t>
        </is>
      </c>
    </row>
    <row r="5">
      <c r="A5" s="47">
        <f>IF(Config!$B$6="","",Config!$B$6)</f>
        <v/>
      </c>
      <c r="B5" s="48" t="inlineStr">
        <is>
          <t>Medialunas</t>
        </is>
      </c>
      <c r="C5" s="49" t="inlineStr">
        <is>
          <t>Facturería</t>
        </is>
      </c>
      <c r="D5" s="50" t="n">
        <v>24</v>
      </c>
      <c r="E5" s="49" t="inlineStr">
        <is>
          <t>u</t>
        </is>
      </c>
      <c r="F5" s="48" t="inlineStr">
        <is>
          <t>Consumo del personal</t>
        </is>
      </c>
      <c r="G5" s="48" t="inlineStr">
        <is>
          <t>Salon manana</t>
        </is>
      </c>
    </row>
    <row r="6">
      <c r="A6" s="12" t="n"/>
      <c r="B6" s="16" t="n"/>
      <c r="C6" s="18" t="n"/>
      <c r="D6" s="28" t="n"/>
      <c r="E6" s="18" t="n"/>
      <c r="F6" s="16" t="n"/>
      <c r="G6" s="18" t="n"/>
      <c r="H6" s="16" t="n"/>
    </row>
    <row r="7">
      <c r="A7" s="12" t="n"/>
      <c r="B7" s="16" t="n"/>
      <c r="C7" s="18" t="n"/>
      <c r="D7" s="28" t="n"/>
      <c r="E7" s="18" t="n"/>
      <c r="F7" s="16" t="n"/>
      <c r="G7" s="18" t="n"/>
      <c r="H7" s="16" t="n"/>
    </row>
    <row r="8">
      <c r="A8" s="12" t="n"/>
      <c r="B8" s="16" t="n"/>
      <c r="C8" s="18" t="n"/>
      <c r="D8" s="28" t="n"/>
      <c r="E8" s="18" t="n"/>
      <c r="F8" s="16" t="n"/>
      <c r="G8" s="18" t="n"/>
      <c r="H8" s="16" t="n"/>
    </row>
    <row r="9">
      <c r="A9" s="12" t="n"/>
      <c r="B9" s="16" t="n"/>
      <c r="C9" s="18" t="n"/>
      <c r="D9" s="28" t="n"/>
      <c r="E9" s="18" t="n"/>
      <c r="F9" s="16" t="n"/>
      <c r="G9" s="18" t="n"/>
      <c r="H9" s="16" t="n"/>
    </row>
    <row r="10">
      <c r="A10" s="12" t="n"/>
      <c r="B10" s="16" t="n"/>
      <c r="C10" s="18" t="n"/>
      <c r="D10" s="28" t="n"/>
      <c r="E10" s="18" t="n"/>
      <c r="F10" s="16" t="n"/>
      <c r="G10" s="18" t="n"/>
      <c r="H10" s="16" t="n"/>
    </row>
    <row r="11">
      <c r="A11" s="12" t="n"/>
      <c r="B11" s="16" t="n"/>
      <c r="C11" s="18" t="n"/>
      <c r="D11" s="28" t="n"/>
      <c r="E11" s="18" t="n"/>
      <c r="F11" s="16" t="n"/>
      <c r="G11" s="18" t="n"/>
      <c r="H11" s="16" t="n"/>
    </row>
    <row r="12">
      <c r="A12" s="12" t="n"/>
      <c r="B12" s="16" t="n"/>
      <c r="C12" s="18" t="n"/>
      <c r="D12" s="28" t="n"/>
      <c r="E12" s="18" t="n"/>
      <c r="F12" s="16" t="n"/>
      <c r="G12" s="18" t="n"/>
      <c r="H12" s="16" t="n"/>
    </row>
    <row r="13">
      <c r="A13" s="12" t="n"/>
      <c r="B13" s="16" t="n"/>
      <c r="C13" s="18" t="n"/>
      <c r="D13" s="28" t="n"/>
      <c r="E13" s="18" t="n"/>
      <c r="F13" s="16" t="n"/>
      <c r="G13" s="18" t="n"/>
      <c r="H13" s="16" t="n"/>
    </row>
    <row r="14">
      <c r="A14" s="12" t="n"/>
      <c r="B14" s="16" t="n"/>
      <c r="C14" s="18" t="n"/>
      <c r="D14" s="28" t="n"/>
      <c r="E14" s="18" t="n"/>
      <c r="F14" s="16" t="n"/>
      <c r="G14" s="18" t="n"/>
      <c r="H14" s="16" t="n"/>
    </row>
    <row r="15">
      <c r="A15" s="12" t="n"/>
      <c r="B15" s="16" t="n"/>
      <c r="C15" s="18" t="n"/>
      <c r="D15" s="28" t="n"/>
      <c r="E15" s="18" t="n"/>
      <c r="F15" s="16" t="n"/>
      <c r="G15" s="18" t="n"/>
      <c r="H15" s="16" t="n"/>
    </row>
    <row r="16">
      <c r="A16" s="12" t="n"/>
      <c r="B16" s="16" t="n"/>
      <c r="C16" s="18" t="n"/>
      <c r="D16" s="28" t="n"/>
      <c r="E16" s="18" t="n"/>
      <c r="F16" s="16" t="n"/>
      <c r="G16" s="18" t="n"/>
      <c r="H16" s="16" t="n"/>
    </row>
    <row r="17">
      <c r="A17" s="12" t="n"/>
      <c r="B17" s="16" t="n"/>
      <c r="C17" s="18" t="n"/>
      <c r="D17" s="28" t="n"/>
      <c r="E17" s="18" t="n"/>
      <c r="F17" s="16" t="n"/>
      <c r="G17" s="18" t="n"/>
      <c r="H17" s="16" t="n"/>
    </row>
    <row r="18">
      <c r="A18" s="12" t="n"/>
      <c r="B18" s="16" t="n"/>
      <c r="C18" s="18" t="n"/>
      <c r="D18" s="28" t="n"/>
      <c r="E18" s="18" t="n"/>
      <c r="F18" s="16" t="n"/>
      <c r="G18" s="18" t="n"/>
      <c r="H18" s="16" t="n"/>
    </row>
    <row r="19">
      <c r="A19" s="12" t="n"/>
      <c r="B19" s="16" t="n"/>
      <c r="C19" s="18" t="n"/>
      <c r="D19" s="28" t="n"/>
      <c r="E19" s="18" t="n"/>
      <c r="F19" s="16" t="n"/>
      <c r="G19" s="18" t="n"/>
      <c r="H19" s="16" t="n"/>
    </row>
    <row r="20">
      <c r="A20" s="12" t="n"/>
      <c r="B20" s="16" t="n"/>
      <c r="C20" s="18" t="n"/>
      <c r="D20" s="28" t="n"/>
      <c r="E20" s="18" t="n"/>
      <c r="F20" s="16" t="n"/>
      <c r="G20" s="18" t="n"/>
      <c r="H20" s="16" t="n"/>
    </row>
    <row r="21">
      <c r="A21" s="12" t="n"/>
      <c r="B21" s="16" t="n"/>
      <c r="C21" s="18" t="n"/>
      <c r="D21" s="28" t="n"/>
      <c r="E21" s="18" t="n"/>
      <c r="F21" s="16" t="n"/>
      <c r="G21" s="18" t="n"/>
      <c r="H21" s="16" t="n"/>
    </row>
    <row r="22">
      <c r="A22" s="12" t="n"/>
      <c r="B22" s="16" t="n"/>
      <c r="C22" s="18" t="n"/>
      <c r="D22" s="28" t="n"/>
      <c r="E22" s="18" t="n"/>
      <c r="F22" s="16" t="n"/>
      <c r="G22" s="18" t="n"/>
      <c r="H22" s="16" t="n"/>
    </row>
    <row r="23">
      <c r="A23" s="12" t="n"/>
      <c r="B23" s="16" t="n"/>
      <c r="C23" s="18" t="n"/>
      <c r="D23" s="28" t="n"/>
      <c r="E23" s="18" t="n"/>
      <c r="F23" s="16" t="n"/>
      <c r="G23" s="18" t="n"/>
      <c r="H23" s="16" t="n"/>
    </row>
    <row r="24">
      <c r="A24" s="12" t="n"/>
      <c r="B24" s="16" t="n"/>
      <c r="C24" s="18" t="n"/>
      <c r="D24" s="28" t="n"/>
      <c r="E24" s="18" t="n"/>
      <c r="F24" s="16" t="n"/>
      <c r="G24" s="18" t="n"/>
      <c r="H24" s="16" t="n"/>
    </row>
    <row r="25">
      <c r="A25" s="12" t="n"/>
      <c r="B25" s="16" t="n"/>
      <c r="C25" s="18" t="n"/>
      <c r="D25" s="28" t="n"/>
      <c r="E25" s="18" t="n"/>
      <c r="F25" s="16" t="n"/>
      <c r="G25" s="18" t="n"/>
      <c r="H25" s="16" t="n"/>
    </row>
    <row r="26">
      <c r="A26" s="12" t="n"/>
      <c r="B26" s="16" t="n"/>
      <c r="C26" s="18" t="n"/>
      <c r="D26" s="28" t="n"/>
      <c r="E26" s="18" t="n"/>
      <c r="F26" s="16" t="n"/>
      <c r="G26" s="18" t="n"/>
      <c r="H26" s="16" t="n"/>
    </row>
    <row r="27">
      <c r="A27" s="12" t="n"/>
      <c r="B27" s="16" t="n"/>
      <c r="C27" s="18" t="n"/>
      <c r="D27" s="28" t="n"/>
      <c r="E27" s="18" t="n"/>
      <c r="F27" s="16" t="n"/>
      <c r="G27" s="18" t="n"/>
      <c r="H27" s="16" t="n"/>
    </row>
    <row r="28">
      <c r="A28" s="12" t="n"/>
      <c r="B28" s="16" t="n"/>
      <c r="C28" s="18" t="n"/>
      <c r="D28" s="28" t="n"/>
      <c r="E28" s="18" t="n"/>
      <c r="F28" s="16" t="n"/>
      <c r="G28" s="18" t="n"/>
      <c r="H28" s="16" t="n"/>
    </row>
    <row r="29">
      <c r="A29" s="12" t="n"/>
      <c r="B29" s="16" t="n"/>
      <c r="C29" s="18" t="n"/>
      <c r="D29" s="28" t="n"/>
      <c r="E29" s="18" t="n"/>
      <c r="F29" s="16" t="n"/>
      <c r="G29" s="18" t="n"/>
      <c r="H29" s="16" t="n"/>
    </row>
    <row r="30">
      <c r="A30" s="12" t="n"/>
      <c r="B30" s="16" t="n"/>
      <c r="C30" s="18" t="n"/>
      <c r="D30" s="28" t="n"/>
      <c r="E30" s="18" t="n"/>
      <c r="F30" s="16" t="n"/>
      <c r="G30" s="18" t="n"/>
      <c r="H30" s="16" t="n"/>
    </row>
    <row r="31">
      <c r="A31" s="12" t="n"/>
      <c r="B31" s="16" t="n"/>
      <c r="C31" s="18" t="n"/>
      <c r="D31" s="28" t="n"/>
      <c r="E31" s="18" t="n"/>
      <c r="F31" s="16" t="n"/>
      <c r="G31" s="18" t="n"/>
      <c r="H31" s="16" t="n"/>
    </row>
    <row r="32">
      <c r="A32" s="12" t="n"/>
      <c r="B32" s="16" t="n"/>
      <c r="C32" s="18" t="n"/>
      <c r="D32" s="28" t="n"/>
      <c r="E32" s="18" t="n"/>
      <c r="F32" s="16" t="n"/>
      <c r="G32" s="18" t="n"/>
      <c r="H32" s="16" t="n"/>
    </row>
    <row r="33">
      <c r="A33" s="12" t="n"/>
      <c r="B33" s="16" t="n"/>
      <c r="C33" s="18" t="n"/>
      <c r="D33" s="28" t="n"/>
      <c r="E33" s="18" t="n"/>
      <c r="F33" s="16" t="n"/>
      <c r="G33" s="18" t="n"/>
      <c r="H33" s="16" t="n"/>
    </row>
    <row r="34">
      <c r="A34" s="12" t="n"/>
      <c r="B34" s="16" t="n"/>
      <c r="C34" s="18" t="n"/>
      <c r="D34" s="28" t="n"/>
      <c r="E34" s="18" t="n"/>
      <c r="F34" s="16" t="n"/>
      <c r="G34" s="18" t="n"/>
      <c r="H34" s="16" t="n"/>
    </row>
    <row r="35">
      <c r="A35" s="12" t="n"/>
      <c r="B35" s="16" t="n"/>
      <c r="C35" s="18" t="n"/>
      <c r="D35" s="28" t="n"/>
      <c r="E35" s="18" t="n"/>
      <c r="F35" s="16" t="n"/>
      <c r="G35" s="18" t="n"/>
      <c r="H35" s="16" t="n"/>
    </row>
    <row r="36">
      <c r="A36" s="12" t="n"/>
      <c r="B36" s="16" t="n"/>
      <c r="C36" s="18" t="n"/>
      <c r="D36" s="28" t="n"/>
      <c r="E36" s="18" t="n"/>
      <c r="F36" s="16" t="n"/>
      <c r="G36" s="18" t="n"/>
      <c r="H36" s="16" t="n"/>
    </row>
    <row r="37">
      <c r="A37" s="12" t="n"/>
      <c r="B37" s="16" t="n"/>
      <c r="C37" s="18" t="n"/>
      <c r="D37" s="28" t="n"/>
      <c r="E37" s="18" t="n"/>
      <c r="F37" s="16" t="n"/>
      <c r="G37" s="18" t="n"/>
      <c r="H37" s="16" t="n"/>
    </row>
    <row r="38">
      <c r="A38" s="12" t="n"/>
      <c r="B38" s="16" t="n"/>
      <c r="C38" s="18" t="n"/>
      <c r="D38" s="28" t="n"/>
      <c r="E38" s="18" t="n"/>
      <c r="F38" s="16" t="n"/>
      <c r="G38" s="18" t="n"/>
      <c r="H38" s="16" t="n"/>
    </row>
    <row r="39">
      <c r="A39" s="12" t="n"/>
      <c r="B39" s="16" t="n"/>
      <c r="C39" s="18" t="n"/>
      <c r="D39" s="28" t="n"/>
      <c r="E39" s="18" t="n"/>
      <c r="F39" s="16" t="n"/>
      <c r="G39" s="18" t="n"/>
      <c r="H39" s="16" t="n"/>
    </row>
    <row r="40">
      <c r="A40" s="12" t="n"/>
      <c r="B40" s="16" t="n"/>
      <c r="C40" s="18" t="n"/>
      <c r="D40" s="28" t="n"/>
      <c r="E40" s="18" t="n"/>
      <c r="F40" s="16" t="n"/>
      <c r="G40" s="18" t="n"/>
      <c r="H40" s="16" t="n"/>
    </row>
    <row r="41">
      <c r="A41" s="12" t="n"/>
      <c r="B41" s="16" t="n"/>
      <c r="C41" s="18" t="n"/>
      <c r="D41" s="28" t="n"/>
      <c r="E41" s="18" t="n"/>
      <c r="F41" s="16" t="n"/>
      <c r="G41" s="18" t="n"/>
      <c r="H41" s="16" t="n"/>
    </row>
    <row r="42">
      <c r="A42" s="12" t="n"/>
      <c r="B42" s="16" t="n"/>
      <c r="C42" s="18" t="n"/>
      <c r="D42" s="28" t="n"/>
      <c r="E42" s="18" t="n"/>
      <c r="F42" s="16" t="n"/>
      <c r="G42" s="18" t="n"/>
      <c r="H42" s="16" t="n"/>
    </row>
    <row r="43">
      <c r="A43" s="12" t="n"/>
      <c r="B43" s="16" t="n"/>
      <c r="C43" s="18" t="n"/>
      <c r="D43" s="28" t="n"/>
      <c r="E43" s="18" t="n"/>
      <c r="F43" s="16" t="n"/>
      <c r="G43" s="18" t="n"/>
      <c r="H43" s="16" t="n"/>
    </row>
    <row r="44">
      <c r="A44" s="12" t="n"/>
      <c r="B44" s="16" t="n"/>
      <c r="C44" s="18" t="n"/>
      <c r="D44" s="28" t="n"/>
      <c r="E44" s="18" t="n"/>
      <c r="F44" s="16" t="n"/>
      <c r="G44" s="18" t="n"/>
      <c r="H44" s="16" t="n"/>
    </row>
    <row r="45">
      <c r="A45" s="12" t="n"/>
      <c r="B45" s="16" t="n"/>
      <c r="C45" s="18" t="n"/>
      <c r="D45" s="28" t="n"/>
      <c r="E45" s="18" t="n"/>
      <c r="F45" s="16" t="n"/>
      <c r="G45" s="18" t="n"/>
      <c r="H45" s="16" t="n"/>
    </row>
    <row r="46">
      <c r="A46" s="12" t="n"/>
      <c r="B46" s="16" t="n"/>
      <c r="C46" s="18" t="n"/>
      <c r="D46" s="28" t="n"/>
      <c r="E46" s="18" t="n"/>
      <c r="F46" s="16" t="n"/>
      <c r="G46" s="18" t="n"/>
      <c r="H46" s="16" t="n"/>
    </row>
    <row r="47">
      <c r="A47" s="12" t="n"/>
      <c r="B47" s="16" t="n"/>
      <c r="C47" s="18" t="n"/>
      <c r="D47" s="28" t="n"/>
      <c r="E47" s="18" t="n"/>
      <c r="F47" s="16" t="n"/>
      <c r="G47" s="18" t="n"/>
      <c r="H47" s="16" t="n"/>
    </row>
    <row r="48">
      <c r="A48" s="12" t="n"/>
      <c r="B48" s="16" t="n"/>
      <c r="C48" s="18" t="n"/>
      <c r="D48" s="28" t="n"/>
      <c r="E48" s="18" t="n"/>
      <c r="F48" s="16" t="n"/>
      <c r="G48" s="18" t="n"/>
      <c r="H48" s="16" t="n"/>
    </row>
    <row r="49">
      <c r="A49" s="12" t="n"/>
      <c r="B49" s="16" t="n"/>
      <c r="C49" s="18" t="n"/>
      <c r="D49" s="28" t="n"/>
      <c r="E49" s="18" t="n"/>
      <c r="F49" s="16" t="n"/>
      <c r="G49" s="18" t="n"/>
      <c r="H49" s="16" t="n"/>
    </row>
    <row r="50">
      <c r="A50" s="12" t="n"/>
      <c r="B50" s="16" t="n"/>
      <c r="C50" s="18" t="n"/>
      <c r="D50" s="28" t="n"/>
      <c r="E50" s="18" t="n"/>
      <c r="F50" s="16" t="n"/>
      <c r="G50" s="18" t="n"/>
      <c r="H50" s="16" t="n"/>
    </row>
    <row r="51">
      <c r="A51" s="12" t="n"/>
      <c r="B51" s="16" t="n"/>
      <c r="C51" s="18" t="n"/>
      <c r="D51" s="28" t="n"/>
      <c r="E51" s="18" t="n"/>
      <c r="F51" s="16" t="n"/>
      <c r="G51" s="18" t="n"/>
      <c r="H51" s="16" t="n"/>
    </row>
    <row r="52">
      <c r="A52" s="12" t="n"/>
      <c r="B52" s="16" t="n"/>
      <c r="C52" s="18" t="n"/>
      <c r="D52" s="28" t="n"/>
      <c r="E52" s="18" t="n"/>
      <c r="F52" s="16" t="n"/>
      <c r="G52" s="18" t="n"/>
      <c r="H52" s="16" t="n"/>
    </row>
    <row r="53">
      <c r="A53" s="12" t="n"/>
      <c r="B53" s="16" t="n"/>
      <c r="C53" s="18" t="n"/>
      <c r="D53" s="28" t="n"/>
      <c r="E53" s="18" t="n"/>
      <c r="F53" s="16" t="n"/>
      <c r="G53" s="18" t="n"/>
      <c r="H53" s="16" t="n"/>
    </row>
    <row r="54">
      <c r="A54" s="12" t="n"/>
      <c r="B54" s="16" t="n"/>
      <c r="C54" s="18" t="n"/>
      <c r="D54" s="28" t="n"/>
      <c r="E54" s="18" t="n"/>
      <c r="F54" s="16" t="n"/>
      <c r="G54" s="18" t="n"/>
      <c r="H54" s="16" t="n"/>
    </row>
    <row r="55">
      <c r="A55" s="12" t="n"/>
      <c r="B55" s="16" t="n"/>
      <c r="C55" s="18" t="n"/>
      <c r="D55" s="28" t="n"/>
      <c r="E55" s="18" t="n"/>
      <c r="F55" s="16" t="n"/>
      <c r="G55" s="18" t="n"/>
      <c r="H55" s="16" t="n"/>
    </row>
    <row r="56">
      <c r="A56" s="12" t="n"/>
      <c r="B56" s="16" t="n"/>
      <c r="C56" s="18" t="n"/>
      <c r="D56" s="28" t="n"/>
      <c r="E56" s="18" t="n"/>
      <c r="F56" s="16" t="n"/>
      <c r="G56" s="18" t="n"/>
      <c r="H56" s="16" t="n"/>
    </row>
    <row r="57">
      <c r="A57" s="12" t="n"/>
      <c r="B57" s="16" t="n"/>
      <c r="C57" s="18" t="n"/>
      <c r="D57" s="28" t="n"/>
      <c r="E57" s="18" t="n"/>
      <c r="F57" s="16" t="n"/>
      <c r="G57" s="18" t="n"/>
      <c r="H57" s="16" t="n"/>
    </row>
    <row r="58">
      <c r="A58" s="12" t="n"/>
      <c r="B58" s="16" t="n"/>
      <c r="C58" s="18" t="n"/>
      <c r="D58" s="28" t="n"/>
      <c r="E58" s="18" t="n"/>
      <c r="F58" s="16" t="n"/>
      <c r="G58" s="18" t="n"/>
      <c r="H58" s="16" t="n"/>
    </row>
    <row r="59">
      <c r="A59" s="12" t="n"/>
      <c r="B59" s="16" t="n"/>
      <c r="C59" s="18" t="n"/>
      <c r="D59" s="28" t="n"/>
      <c r="E59" s="18" t="n"/>
      <c r="F59" s="16" t="n"/>
      <c r="G59" s="18" t="n"/>
      <c r="H59" s="16" t="n"/>
    </row>
    <row r="60">
      <c r="A60" s="12" t="n"/>
      <c r="B60" s="16" t="n"/>
      <c r="C60" s="18" t="n"/>
      <c r="D60" s="28" t="n"/>
      <c r="E60" s="18" t="n"/>
      <c r="F60" s="16" t="n"/>
      <c r="G60" s="18" t="n"/>
      <c r="H60" s="16" t="n"/>
    </row>
    <row r="61">
      <c r="A61" s="12" t="n"/>
      <c r="B61" s="16" t="n"/>
      <c r="C61" s="18" t="n"/>
      <c r="D61" s="28" t="n"/>
      <c r="E61" s="18" t="n"/>
      <c r="F61" s="16" t="n"/>
      <c r="G61" s="18" t="n"/>
      <c r="H61" s="16" t="n"/>
    </row>
    <row r="62">
      <c r="A62" s="12" t="n"/>
      <c r="B62" s="16" t="n"/>
      <c r="C62" s="18" t="n"/>
      <c r="D62" s="28" t="n"/>
      <c r="E62" s="18" t="n"/>
      <c r="F62" s="16" t="n"/>
      <c r="G62" s="18" t="n"/>
      <c r="H62" s="16" t="n"/>
    </row>
    <row r="63">
      <c r="A63" s="12" t="n"/>
      <c r="B63" s="16" t="n"/>
      <c r="C63" s="18" t="n"/>
      <c r="D63" s="28" t="n"/>
      <c r="E63" s="18" t="n"/>
      <c r="F63" s="16" t="n"/>
      <c r="G63" s="18" t="n"/>
      <c r="H63" s="16" t="n"/>
    </row>
    <row r="64">
      <c r="A64" s="12" t="n"/>
      <c r="B64" s="16" t="n"/>
      <c r="C64" s="18" t="n"/>
      <c r="D64" s="28" t="n"/>
      <c r="E64" s="18" t="n"/>
      <c r="F64" s="16" t="n"/>
      <c r="G64" s="18" t="n"/>
      <c r="H64" s="16" t="n"/>
    </row>
    <row r="65">
      <c r="A65" s="12" t="n"/>
      <c r="B65" s="16" t="n"/>
      <c r="C65" s="18" t="n"/>
      <c r="D65" s="28" t="n"/>
      <c r="E65" s="18" t="n"/>
      <c r="F65" s="16" t="n"/>
      <c r="G65" s="18" t="n"/>
      <c r="H65" s="16" t="n"/>
    </row>
    <row r="66">
      <c r="A66" s="12" t="n"/>
      <c r="B66" s="16" t="n"/>
      <c r="C66" s="18" t="n"/>
      <c r="D66" s="28" t="n"/>
      <c r="E66" s="18" t="n"/>
      <c r="F66" s="16" t="n"/>
      <c r="G66" s="18" t="n"/>
      <c r="H66" s="16" t="n"/>
    </row>
    <row r="67">
      <c r="A67" s="12" t="n"/>
      <c r="B67" s="16" t="n"/>
      <c r="C67" s="18" t="n"/>
      <c r="D67" s="28" t="n"/>
      <c r="E67" s="18" t="n"/>
      <c r="F67" s="16" t="n"/>
      <c r="G67" s="18" t="n"/>
      <c r="H67" s="16" t="n"/>
    </row>
    <row r="68">
      <c r="A68" s="12" t="n"/>
      <c r="B68" s="16" t="n"/>
      <c r="C68" s="18" t="n"/>
      <c r="D68" s="28" t="n"/>
      <c r="E68" s="18" t="n"/>
      <c r="F68" s="16" t="n"/>
      <c r="G68" s="18" t="n"/>
      <c r="H68" s="16" t="n"/>
    </row>
    <row r="69">
      <c r="A69" s="12" t="n"/>
      <c r="B69" s="16" t="n"/>
      <c r="C69" s="18" t="n"/>
      <c r="D69" s="28" t="n"/>
      <c r="E69" s="18" t="n"/>
      <c r="F69" s="16" t="n"/>
      <c r="G69" s="18" t="n"/>
      <c r="H69" s="16" t="n"/>
    </row>
    <row r="70">
      <c r="A70" s="12" t="n"/>
      <c r="B70" s="16" t="n"/>
      <c r="C70" s="18" t="n"/>
      <c r="D70" s="28" t="n"/>
      <c r="E70" s="18" t="n"/>
      <c r="F70" s="16" t="n"/>
      <c r="G70" s="18" t="n"/>
      <c r="H70" s="16" t="n"/>
    </row>
    <row r="71">
      <c r="A71" s="12" t="n"/>
      <c r="B71" s="16" t="n"/>
      <c r="C71" s="18" t="n"/>
      <c r="D71" s="28" t="n"/>
      <c r="E71" s="18" t="n"/>
      <c r="F71" s="16" t="n"/>
      <c r="G71" s="18" t="n"/>
      <c r="H71" s="16" t="n"/>
    </row>
    <row r="72">
      <c r="A72" s="12" t="n"/>
      <c r="B72" s="16" t="n"/>
      <c r="C72" s="18" t="n"/>
      <c r="D72" s="28" t="n"/>
      <c r="E72" s="18" t="n"/>
      <c r="F72" s="16" t="n"/>
      <c r="G72" s="18" t="n"/>
      <c r="H72" s="16" t="n"/>
    </row>
    <row r="73">
      <c r="A73" s="12" t="n"/>
      <c r="B73" s="16" t="n"/>
      <c r="C73" s="18" t="n"/>
      <c r="D73" s="28" t="n"/>
      <c r="E73" s="18" t="n"/>
      <c r="F73" s="16" t="n"/>
      <c r="G73" s="18" t="n"/>
      <c r="H73" s="16" t="n"/>
    </row>
    <row r="74">
      <c r="A74" s="12" t="n"/>
      <c r="B74" s="16" t="n"/>
      <c r="C74" s="18" t="n"/>
      <c r="D74" s="28" t="n"/>
      <c r="E74" s="18" t="n"/>
      <c r="F74" s="16" t="n"/>
      <c r="G74" s="18" t="n"/>
      <c r="H74" s="16" t="n"/>
    </row>
    <row r="75">
      <c r="A75" s="12" t="n"/>
      <c r="B75" s="16" t="n"/>
      <c r="C75" s="18" t="n"/>
      <c r="D75" s="28" t="n"/>
      <c r="E75" s="18" t="n"/>
      <c r="F75" s="16" t="n"/>
      <c r="G75" s="18" t="n"/>
      <c r="H75" s="16" t="n"/>
    </row>
    <row r="76">
      <c r="A76" s="12" t="n"/>
      <c r="B76" s="16" t="n"/>
      <c r="C76" s="18" t="n"/>
      <c r="D76" s="28" t="n"/>
      <c r="E76" s="18" t="n"/>
      <c r="F76" s="16" t="n"/>
      <c r="G76" s="18" t="n"/>
      <c r="H76" s="16" t="n"/>
    </row>
    <row r="77">
      <c r="A77" s="12" t="n"/>
      <c r="B77" s="16" t="n"/>
      <c r="C77" s="18" t="n"/>
      <c r="D77" s="28" t="n"/>
      <c r="E77" s="18" t="n"/>
      <c r="F77" s="16" t="n"/>
      <c r="G77" s="18" t="n"/>
      <c r="H77" s="16" t="n"/>
    </row>
    <row r="78">
      <c r="A78" s="12" t="n"/>
      <c r="B78" s="16" t="n"/>
      <c r="C78" s="18" t="n"/>
      <c r="D78" s="28" t="n"/>
      <c r="E78" s="18" t="n"/>
      <c r="F78" s="16" t="n"/>
      <c r="G78" s="18" t="n"/>
      <c r="H78" s="16" t="n"/>
    </row>
    <row r="79">
      <c r="A79" s="12" t="n"/>
      <c r="B79" s="16" t="n"/>
      <c r="C79" s="18" t="n"/>
      <c r="D79" s="28" t="n"/>
      <c r="E79" s="18" t="n"/>
      <c r="F79" s="16" t="n"/>
      <c r="G79" s="18" t="n"/>
      <c r="H79" s="16" t="n"/>
    </row>
    <row r="80">
      <c r="A80" s="12" t="n"/>
      <c r="B80" s="16" t="n"/>
      <c r="C80" s="18" t="n"/>
      <c r="D80" s="28" t="n"/>
      <c r="E80" s="18" t="n"/>
      <c r="F80" s="16" t="n"/>
      <c r="G80" s="18" t="n"/>
      <c r="H80" s="16" t="n"/>
    </row>
    <row r="81">
      <c r="A81" s="12" t="n"/>
      <c r="B81" s="16" t="n"/>
      <c r="C81" s="18" t="n"/>
      <c r="D81" s="28" t="n"/>
      <c r="E81" s="18" t="n"/>
      <c r="F81" s="16" t="n"/>
      <c r="G81" s="18" t="n"/>
      <c r="H81" s="16" t="n"/>
    </row>
    <row r="82">
      <c r="A82" s="12" t="n"/>
      <c r="B82" s="16" t="n"/>
      <c r="C82" s="18" t="n"/>
      <c r="D82" s="28" t="n"/>
      <c r="E82" s="18" t="n"/>
      <c r="F82" s="16" t="n"/>
      <c r="G82" s="18" t="n"/>
      <c r="H82" s="16" t="n"/>
    </row>
    <row r="83">
      <c r="A83" s="12" t="n"/>
      <c r="B83" s="16" t="n"/>
      <c r="C83" s="18" t="n"/>
      <c r="D83" s="28" t="n"/>
      <c r="E83" s="18" t="n"/>
      <c r="F83" s="16" t="n"/>
      <c r="G83" s="18" t="n"/>
      <c r="H83" s="16" t="n"/>
    </row>
    <row r="84">
      <c r="A84" s="12" t="n"/>
      <c r="B84" s="16" t="n"/>
      <c r="C84" s="18" t="n"/>
      <c r="D84" s="28" t="n"/>
      <c r="E84" s="18" t="n"/>
      <c r="F84" s="16" t="n"/>
      <c r="G84" s="18" t="n"/>
      <c r="H84" s="16" t="n"/>
    </row>
    <row r="85">
      <c r="A85" s="12" t="n"/>
      <c r="B85" s="16" t="n"/>
      <c r="C85" s="18" t="n"/>
      <c r="D85" s="28" t="n"/>
      <c r="E85" s="18" t="n"/>
      <c r="F85" s="16" t="n"/>
      <c r="G85" s="18" t="n"/>
      <c r="H85" s="16" t="n"/>
    </row>
    <row r="86">
      <c r="A86" s="12" t="n"/>
      <c r="B86" s="16" t="n"/>
      <c r="C86" s="18" t="n"/>
      <c r="D86" s="28" t="n"/>
      <c r="E86" s="18" t="n"/>
      <c r="F86" s="16" t="n"/>
      <c r="G86" s="18" t="n"/>
      <c r="H86" s="16" t="n"/>
    </row>
    <row r="87">
      <c r="A87" s="12" t="n"/>
      <c r="B87" s="16" t="n"/>
      <c r="C87" s="18" t="n"/>
      <c r="D87" s="28" t="n"/>
      <c r="E87" s="18" t="n"/>
      <c r="F87" s="16" t="n"/>
      <c r="G87" s="18" t="n"/>
      <c r="H87" s="16" t="n"/>
    </row>
    <row r="88">
      <c r="A88" s="12" t="n"/>
      <c r="B88" s="16" t="n"/>
      <c r="C88" s="18" t="n"/>
      <c r="D88" s="28" t="n"/>
      <c r="E88" s="18" t="n"/>
      <c r="F88" s="16" t="n"/>
      <c r="G88" s="18" t="n"/>
      <c r="H88" s="16" t="n"/>
    </row>
    <row r="89">
      <c r="A89" s="12" t="n"/>
      <c r="B89" s="16" t="n"/>
      <c r="C89" s="18" t="n"/>
      <c r="D89" s="28" t="n"/>
      <c r="E89" s="18" t="n"/>
      <c r="F89" s="16" t="n"/>
      <c r="G89" s="18" t="n"/>
      <c r="H89" s="16" t="n"/>
    </row>
    <row r="90">
      <c r="A90" s="12" t="n"/>
      <c r="B90" s="16" t="n"/>
      <c r="C90" s="18" t="n"/>
      <c r="D90" s="28" t="n"/>
      <c r="E90" s="18" t="n"/>
      <c r="F90" s="16" t="n"/>
      <c r="G90" s="18" t="n"/>
      <c r="H90" s="16" t="n"/>
    </row>
    <row r="91">
      <c r="A91" s="12" t="n"/>
      <c r="B91" s="16" t="n"/>
      <c r="C91" s="18" t="n"/>
      <c r="D91" s="28" t="n"/>
      <c r="E91" s="18" t="n"/>
      <c r="F91" s="16" t="n"/>
      <c r="G91" s="18" t="n"/>
      <c r="H91" s="16" t="n"/>
    </row>
    <row r="92">
      <c r="A92" s="12" t="n"/>
      <c r="B92" s="16" t="n"/>
      <c r="C92" s="18" t="n"/>
      <c r="D92" s="28" t="n"/>
      <c r="E92" s="18" t="n"/>
      <c r="F92" s="16" t="n"/>
      <c r="G92" s="18" t="n"/>
      <c r="H92" s="16" t="n"/>
    </row>
    <row r="93">
      <c r="A93" s="12" t="n"/>
      <c r="B93" s="16" t="n"/>
      <c r="C93" s="18" t="n"/>
      <c r="D93" s="28" t="n"/>
      <c r="E93" s="18" t="n"/>
      <c r="F93" s="16" t="n"/>
      <c r="G93" s="18" t="n"/>
      <c r="H93" s="16" t="n"/>
    </row>
    <row r="94">
      <c r="A94" s="12" t="n"/>
      <c r="B94" s="16" t="n"/>
      <c r="C94" s="18" t="n"/>
      <c r="D94" s="28" t="n"/>
      <c r="E94" s="18" t="n"/>
      <c r="F94" s="16" t="n"/>
      <c r="G94" s="18" t="n"/>
      <c r="H94" s="16" t="n"/>
    </row>
    <row r="95">
      <c r="A95" s="12" t="n"/>
      <c r="B95" s="16" t="n"/>
      <c r="C95" s="18" t="n"/>
      <c r="D95" s="28" t="n"/>
      <c r="E95" s="18" t="n"/>
      <c r="F95" s="16" t="n"/>
      <c r="G95" s="18" t="n"/>
      <c r="H95" s="16" t="n"/>
    </row>
    <row r="96">
      <c r="A96" s="12" t="n"/>
      <c r="B96" s="16" t="n"/>
      <c r="C96" s="18" t="n"/>
      <c r="D96" s="28" t="n"/>
      <c r="E96" s="18" t="n"/>
      <c r="F96" s="16" t="n"/>
      <c r="G96" s="18" t="n"/>
      <c r="H96" s="16" t="n"/>
    </row>
    <row r="97">
      <c r="A97" s="12" t="n"/>
      <c r="B97" s="16" t="n"/>
      <c r="C97" s="18" t="n"/>
      <c r="D97" s="28" t="n"/>
      <c r="E97" s="18" t="n"/>
      <c r="F97" s="16" t="n"/>
      <c r="G97" s="18" t="n"/>
      <c r="H97" s="16" t="n"/>
    </row>
    <row r="98">
      <c r="A98" s="12" t="n"/>
      <c r="B98" s="16" t="n"/>
      <c r="C98" s="18" t="n"/>
      <c r="D98" s="28" t="n"/>
      <c r="E98" s="18" t="n"/>
      <c r="F98" s="16" t="n"/>
      <c r="G98" s="18" t="n"/>
      <c r="H98" s="16" t="n"/>
    </row>
    <row r="99">
      <c r="A99" s="12" t="n"/>
      <c r="B99" s="16" t="n"/>
      <c r="C99" s="18" t="n"/>
      <c r="D99" s="28" t="n"/>
      <c r="E99" s="18" t="n"/>
      <c r="F99" s="16" t="n"/>
      <c r="G99" s="18" t="n"/>
      <c r="H99" s="16" t="n"/>
    </row>
    <row r="100">
      <c r="A100" s="12" t="n"/>
      <c r="B100" s="16" t="n"/>
      <c r="C100" s="18" t="n"/>
      <c r="D100" s="28" t="n"/>
      <c r="E100" s="18" t="n"/>
      <c r="F100" s="16" t="n"/>
      <c r="G100" s="18" t="n"/>
      <c r="H100" s="16" t="n"/>
    </row>
    <row r="101">
      <c r="A101" s="12" t="n"/>
      <c r="B101" s="16" t="n"/>
      <c r="C101" s="18" t="n"/>
      <c r="D101" s="28" t="n"/>
      <c r="E101" s="18" t="n"/>
      <c r="F101" s="16" t="n"/>
      <c r="G101" s="18" t="n"/>
      <c r="H101" s="16" t="n"/>
    </row>
    <row r="102">
      <c r="A102" s="12" t="n"/>
      <c r="B102" s="16" t="n"/>
      <c r="C102" s="18" t="n"/>
      <c r="D102" s="28" t="n"/>
      <c r="E102" s="18" t="n"/>
      <c r="F102" s="16" t="n"/>
      <c r="G102" s="18" t="n"/>
      <c r="H102" s="16" t="n"/>
    </row>
    <row r="103">
      <c r="A103" s="12" t="n"/>
      <c r="B103" s="16" t="n"/>
      <c r="C103" s="18" t="n"/>
      <c r="D103" s="28" t="n"/>
      <c r="E103" s="18" t="n"/>
      <c r="F103" s="16" t="n"/>
      <c r="G103" s="18" t="n"/>
      <c r="H103" s="16" t="n"/>
    </row>
    <row r="104">
      <c r="A104" s="12" t="n"/>
      <c r="B104" s="16" t="n"/>
      <c r="C104" s="18" t="n"/>
      <c r="D104" s="28" t="n"/>
      <c r="E104" s="18" t="n"/>
      <c r="F104" s="16" t="n"/>
      <c r="G104" s="18" t="n"/>
      <c r="H104" s="16" t="n"/>
    </row>
    <row r="105">
      <c r="A105" s="12" t="n"/>
      <c r="B105" s="16" t="n"/>
      <c r="C105" s="18" t="n"/>
      <c r="D105" s="28" t="n"/>
      <c r="E105" s="18" t="n"/>
      <c r="F105" s="16" t="n"/>
      <c r="G105" s="18" t="n"/>
      <c r="H105" s="16" t="n"/>
    </row>
    <row r="106">
      <c r="A106" s="12" t="n"/>
      <c r="B106" s="16" t="n"/>
      <c r="C106" s="18" t="n"/>
      <c r="D106" s="28" t="n"/>
      <c r="E106" s="18" t="n"/>
      <c r="F106" s="16" t="n"/>
      <c r="G106" s="18" t="n"/>
      <c r="H106" s="16" t="n"/>
    </row>
    <row r="107">
      <c r="A107" s="12" t="n"/>
      <c r="B107" s="16" t="n"/>
      <c r="C107" s="18" t="n"/>
      <c r="D107" s="28" t="n"/>
      <c r="E107" s="18" t="n"/>
      <c r="F107" s="16" t="n"/>
      <c r="G107" s="18" t="n"/>
      <c r="H107" s="16" t="n"/>
    </row>
    <row r="108">
      <c r="A108" s="12" t="n"/>
      <c r="B108" s="16" t="n"/>
      <c r="C108" s="18" t="n"/>
      <c r="D108" s="28" t="n"/>
      <c r="E108" s="18" t="n"/>
      <c r="F108" s="16" t="n"/>
      <c r="G108" s="18" t="n"/>
      <c r="H108" s="16" t="n"/>
    </row>
    <row r="109">
      <c r="A109" s="12" t="n"/>
      <c r="B109" s="16" t="n"/>
      <c r="C109" s="18" t="n"/>
      <c r="D109" s="28" t="n"/>
      <c r="E109" s="18" t="n"/>
      <c r="F109" s="16" t="n"/>
      <c r="G109" s="18" t="n"/>
      <c r="H109" s="16" t="n"/>
    </row>
    <row r="110">
      <c r="A110" s="12" t="n"/>
      <c r="B110" s="16" t="n"/>
      <c r="C110" s="18" t="n"/>
      <c r="D110" s="28" t="n"/>
      <c r="E110" s="18" t="n"/>
      <c r="F110" s="16" t="n"/>
      <c r="G110" s="18" t="n"/>
      <c r="H110" s="16" t="n"/>
    </row>
    <row r="111">
      <c r="A111" s="12" t="n"/>
      <c r="B111" s="16" t="n"/>
      <c r="C111" s="18" t="n"/>
      <c r="D111" s="28" t="n"/>
      <c r="E111" s="18" t="n"/>
      <c r="F111" s="16" t="n"/>
      <c r="G111" s="18" t="n"/>
      <c r="H111" s="16" t="n"/>
    </row>
    <row r="112">
      <c r="A112" s="12" t="n"/>
      <c r="B112" s="16" t="n"/>
      <c r="C112" s="18" t="n"/>
      <c r="D112" s="28" t="n"/>
      <c r="E112" s="18" t="n"/>
      <c r="F112" s="16" t="n"/>
      <c r="G112" s="18" t="n"/>
      <c r="H112" s="16" t="n"/>
    </row>
    <row r="113">
      <c r="A113" s="12" t="n"/>
      <c r="B113" s="16" t="n"/>
      <c r="C113" s="18" t="n"/>
      <c r="D113" s="28" t="n"/>
      <c r="E113" s="18" t="n"/>
      <c r="F113" s="16" t="n"/>
      <c r="G113" s="18" t="n"/>
      <c r="H113" s="16" t="n"/>
    </row>
    <row r="114">
      <c r="A114" s="12" t="n"/>
      <c r="B114" s="16" t="n"/>
      <c r="C114" s="18" t="n"/>
      <c r="D114" s="28" t="n"/>
      <c r="E114" s="18" t="n"/>
      <c r="F114" s="16" t="n"/>
      <c r="G114" s="18" t="n"/>
      <c r="H114" s="16" t="n"/>
    </row>
    <row r="115">
      <c r="A115" s="12" t="n"/>
      <c r="B115" s="16" t="n"/>
      <c r="C115" s="18" t="n"/>
      <c r="D115" s="28" t="n"/>
      <c r="E115" s="18" t="n"/>
      <c r="F115" s="16" t="n"/>
      <c r="G115" s="18" t="n"/>
      <c r="H115" s="16" t="n"/>
    </row>
    <row r="116">
      <c r="A116" s="12" t="n"/>
      <c r="B116" s="16" t="n"/>
      <c r="C116" s="18" t="n"/>
      <c r="D116" s="28" t="n"/>
      <c r="E116" s="18" t="n"/>
      <c r="F116" s="16" t="n"/>
      <c r="G116" s="18" t="n"/>
      <c r="H116" s="16" t="n"/>
    </row>
    <row r="117">
      <c r="A117" s="12" t="n"/>
      <c r="B117" s="16" t="n"/>
      <c r="C117" s="18" t="n"/>
      <c r="D117" s="28" t="n"/>
      <c r="E117" s="18" t="n"/>
      <c r="F117" s="16" t="n"/>
      <c r="G117" s="18" t="n"/>
      <c r="H117" s="16" t="n"/>
    </row>
    <row r="118">
      <c r="A118" s="12" t="n"/>
      <c r="B118" s="16" t="n"/>
      <c r="C118" s="18" t="n"/>
      <c r="D118" s="28" t="n"/>
      <c r="E118" s="18" t="n"/>
      <c r="F118" s="16" t="n"/>
      <c r="G118" s="18" t="n"/>
      <c r="H118" s="16" t="n"/>
    </row>
    <row r="119">
      <c r="A119" s="12" t="n"/>
      <c r="B119" s="16" t="n"/>
      <c r="C119" s="18" t="n"/>
      <c r="D119" s="28" t="n"/>
      <c r="E119" s="18" t="n"/>
      <c r="F119" s="16" t="n"/>
      <c r="G119" s="18" t="n"/>
      <c r="H119" s="16" t="n"/>
    </row>
    <row r="120">
      <c r="A120" s="12" t="n"/>
      <c r="B120" s="16" t="n"/>
      <c r="C120" s="18" t="n"/>
      <c r="D120" s="28" t="n"/>
      <c r="E120" s="18" t="n"/>
      <c r="F120" s="16" t="n"/>
      <c r="G120" s="18" t="n"/>
      <c r="H120" s="16" t="n"/>
    </row>
    <row r="121">
      <c r="A121" s="12" t="n"/>
      <c r="B121" s="16" t="n"/>
      <c r="C121" s="18" t="n"/>
      <c r="D121" s="28" t="n"/>
      <c r="E121" s="18" t="n"/>
      <c r="F121" s="16" t="n"/>
      <c r="G121" s="18" t="n"/>
      <c r="H121" s="16" t="n"/>
    </row>
    <row r="122">
      <c r="A122" s="12" t="n"/>
      <c r="B122" s="16" t="n"/>
      <c r="C122" s="18" t="n"/>
      <c r="D122" s="28" t="n"/>
      <c r="E122" s="18" t="n"/>
      <c r="F122" s="16" t="n"/>
      <c r="G122" s="18" t="n"/>
      <c r="H122" s="16" t="n"/>
    </row>
    <row r="123">
      <c r="A123" s="12" t="n"/>
      <c r="B123" s="16" t="n"/>
      <c r="C123" s="18" t="n"/>
      <c r="D123" s="28" t="n"/>
      <c r="E123" s="18" t="n"/>
      <c r="F123" s="16" t="n"/>
      <c r="G123" s="18" t="n"/>
      <c r="H123" s="16" t="n"/>
    </row>
    <row r="124">
      <c r="A124" s="12" t="n"/>
      <c r="B124" s="16" t="n"/>
      <c r="C124" s="18" t="n"/>
      <c r="D124" s="28" t="n"/>
      <c r="E124" s="18" t="n"/>
      <c r="F124" s="16" t="n"/>
      <c r="G124" s="18" t="n"/>
      <c r="H124" s="16" t="n"/>
    </row>
    <row r="125">
      <c r="A125" s="12" t="n"/>
      <c r="B125" s="16" t="n"/>
      <c r="C125" s="18" t="n"/>
      <c r="D125" s="28" t="n"/>
      <c r="E125" s="18" t="n"/>
      <c r="F125" s="16" t="n"/>
      <c r="G125" s="18" t="n"/>
      <c r="H125" s="16" t="n"/>
    </row>
    <row r="126">
      <c r="A126" s="12" t="n"/>
      <c r="B126" s="16" t="n"/>
      <c r="C126" s="18" t="n"/>
      <c r="D126" s="28" t="n"/>
      <c r="E126" s="18" t="n"/>
      <c r="F126" s="16" t="n"/>
      <c r="G126" s="18" t="n"/>
      <c r="H126" s="16" t="n"/>
    </row>
    <row r="127">
      <c r="A127" s="12" t="n"/>
      <c r="B127" s="16" t="n"/>
      <c r="C127" s="18" t="n"/>
      <c r="D127" s="28" t="n"/>
      <c r="E127" s="18" t="n"/>
      <c r="F127" s="16" t="n"/>
      <c r="G127" s="18" t="n"/>
      <c r="H127" s="16" t="n"/>
    </row>
    <row r="128">
      <c r="A128" s="12" t="n"/>
      <c r="B128" s="16" t="n"/>
      <c r="C128" s="18" t="n"/>
      <c r="D128" s="28" t="n"/>
      <c r="E128" s="18" t="n"/>
      <c r="F128" s="16" t="n"/>
      <c r="G128" s="18" t="n"/>
      <c r="H128" s="16" t="n"/>
    </row>
    <row r="129">
      <c r="A129" s="12" t="n"/>
      <c r="B129" s="16" t="n"/>
      <c r="C129" s="18" t="n"/>
      <c r="D129" s="28" t="n"/>
      <c r="E129" s="18" t="n"/>
      <c r="F129" s="16" t="n"/>
      <c r="G129" s="18" t="n"/>
      <c r="H129" s="16" t="n"/>
    </row>
    <row r="130">
      <c r="A130" s="12" t="n"/>
      <c r="B130" s="16" t="n"/>
      <c r="C130" s="18" t="n"/>
      <c r="D130" s="28" t="n"/>
      <c r="E130" s="18" t="n"/>
      <c r="F130" s="16" t="n"/>
      <c r="G130" s="18" t="n"/>
      <c r="H130" s="16" t="n"/>
    </row>
    <row r="131">
      <c r="A131" s="12" t="n"/>
      <c r="B131" s="16" t="n"/>
      <c r="C131" s="18" t="n"/>
      <c r="D131" s="28" t="n"/>
      <c r="E131" s="18" t="n"/>
      <c r="F131" s="16" t="n"/>
      <c r="G131" s="18" t="n"/>
      <c r="H131" s="16" t="n"/>
    </row>
    <row r="132">
      <c r="A132" s="12" t="n"/>
      <c r="B132" s="16" t="n"/>
      <c r="C132" s="18" t="n"/>
      <c r="D132" s="28" t="n"/>
      <c r="E132" s="18" t="n"/>
      <c r="F132" s="16" t="n"/>
      <c r="G132" s="18" t="n"/>
      <c r="H132" s="16" t="n"/>
    </row>
    <row r="133">
      <c r="A133" s="12" t="n"/>
      <c r="B133" s="16" t="n"/>
      <c r="C133" s="18" t="n"/>
      <c r="D133" s="28" t="n"/>
      <c r="E133" s="18" t="n"/>
      <c r="F133" s="16" t="n"/>
      <c r="G133" s="18" t="n"/>
      <c r="H133" s="16" t="n"/>
    </row>
    <row r="134">
      <c r="A134" s="12" t="n"/>
      <c r="B134" s="16" t="n"/>
      <c r="C134" s="18" t="n"/>
      <c r="D134" s="28" t="n"/>
      <c r="E134" s="18" t="n"/>
      <c r="F134" s="16" t="n"/>
      <c r="G134" s="18" t="n"/>
      <c r="H134" s="16" t="n"/>
    </row>
    <row r="135">
      <c r="A135" s="12" t="n"/>
      <c r="B135" s="16" t="n"/>
      <c r="C135" s="18" t="n"/>
      <c r="D135" s="28" t="n"/>
      <c r="E135" s="18" t="n"/>
      <c r="F135" s="16" t="n"/>
      <c r="G135" s="18" t="n"/>
      <c r="H135" s="16" t="n"/>
    </row>
    <row r="136">
      <c r="A136" s="12" t="n"/>
      <c r="B136" s="16" t="n"/>
      <c r="C136" s="18" t="n"/>
      <c r="D136" s="28" t="n"/>
      <c r="E136" s="18" t="n"/>
      <c r="F136" s="16" t="n"/>
      <c r="G136" s="18" t="n"/>
      <c r="H136" s="16" t="n"/>
    </row>
    <row r="137">
      <c r="A137" s="12" t="n"/>
      <c r="B137" s="16" t="n"/>
      <c r="C137" s="18" t="n"/>
      <c r="D137" s="28" t="n"/>
      <c r="E137" s="18" t="n"/>
      <c r="F137" s="16" t="n"/>
      <c r="G137" s="18" t="n"/>
      <c r="H137" s="16" t="n"/>
    </row>
    <row r="138">
      <c r="A138" s="12" t="n"/>
      <c r="B138" s="16" t="n"/>
      <c r="C138" s="18" t="n"/>
      <c r="D138" s="28" t="n"/>
      <c r="E138" s="18" t="n"/>
      <c r="F138" s="16" t="n"/>
      <c r="G138" s="18" t="n"/>
      <c r="H138" s="16" t="n"/>
    </row>
    <row r="139">
      <c r="A139" s="12" t="n"/>
      <c r="B139" s="16" t="n"/>
      <c r="C139" s="18" t="n"/>
      <c r="D139" s="28" t="n"/>
      <c r="E139" s="18" t="n"/>
      <c r="F139" s="16" t="n"/>
      <c r="G139" s="18" t="n"/>
      <c r="H139" s="16" t="n"/>
    </row>
    <row r="140">
      <c r="A140" s="12" t="n"/>
      <c r="B140" s="16" t="n"/>
      <c r="C140" s="18" t="n"/>
      <c r="D140" s="28" t="n"/>
      <c r="E140" s="18" t="n"/>
      <c r="F140" s="16" t="n"/>
      <c r="G140" s="18" t="n"/>
      <c r="H140" s="16" t="n"/>
    </row>
    <row r="141">
      <c r="A141" s="12" t="n"/>
      <c r="B141" s="16" t="n"/>
      <c r="C141" s="18" t="n"/>
      <c r="D141" s="28" t="n"/>
      <c r="E141" s="18" t="n"/>
      <c r="F141" s="16" t="n"/>
      <c r="G141" s="18" t="n"/>
      <c r="H141" s="16" t="n"/>
    </row>
    <row r="142">
      <c r="A142" s="12" t="n"/>
      <c r="B142" s="16" t="n"/>
      <c r="C142" s="18" t="n"/>
      <c r="D142" s="28" t="n"/>
      <c r="E142" s="18" t="n"/>
      <c r="F142" s="16" t="n"/>
      <c r="G142" s="18" t="n"/>
      <c r="H142" s="16" t="n"/>
    </row>
    <row r="143">
      <c r="A143" s="12" t="n"/>
      <c r="B143" s="16" t="n"/>
      <c r="C143" s="18" t="n"/>
      <c r="D143" s="28" t="n"/>
      <c r="E143" s="18" t="n"/>
      <c r="F143" s="16" t="n"/>
      <c r="G143" s="18" t="n"/>
      <c r="H143" s="16" t="n"/>
    </row>
    <row r="144">
      <c r="A144" s="12" t="n"/>
      <c r="B144" s="16" t="n"/>
      <c r="C144" s="18" t="n"/>
      <c r="D144" s="28" t="n"/>
      <c r="E144" s="18" t="n"/>
      <c r="F144" s="16" t="n"/>
      <c r="G144" s="18" t="n"/>
      <c r="H144" s="16" t="n"/>
    </row>
    <row r="145">
      <c r="A145" s="12" t="n"/>
      <c r="B145" s="16" t="n"/>
      <c r="C145" s="18" t="n"/>
      <c r="D145" s="28" t="n"/>
      <c r="E145" s="18" t="n"/>
      <c r="F145" s="16" t="n"/>
      <c r="G145" s="18" t="n"/>
      <c r="H145" s="16" t="n"/>
    </row>
    <row r="146">
      <c r="A146" s="12" t="n"/>
      <c r="B146" s="16" t="n"/>
      <c r="C146" s="18" t="n"/>
      <c r="D146" s="28" t="n"/>
      <c r="E146" s="18" t="n"/>
      <c r="F146" s="16" t="n"/>
      <c r="G146" s="18" t="n"/>
      <c r="H146" s="16" t="n"/>
    </row>
    <row r="147">
      <c r="A147" s="12" t="n"/>
      <c r="B147" s="16" t="n"/>
      <c r="C147" s="18" t="n"/>
      <c r="D147" s="28" t="n"/>
      <c r="E147" s="18" t="n"/>
      <c r="F147" s="16" t="n"/>
      <c r="G147" s="18" t="n"/>
      <c r="H147" s="16" t="n"/>
    </row>
    <row r="148">
      <c r="A148" s="12" t="n"/>
      <c r="B148" s="16" t="n"/>
      <c r="C148" s="18" t="n"/>
      <c r="D148" s="28" t="n"/>
      <c r="E148" s="18" t="n"/>
      <c r="F148" s="16" t="n"/>
      <c r="G148" s="18" t="n"/>
      <c r="H148" s="16" t="n"/>
    </row>
    <row r="149">
      <c r="A149" s="12" t="n"/>
      <c r="B149" s="16" t="n"/>
      <c r="C149" s="18" t="n"/>
      <c r="D149" s="28" t="n"/>
      <c r="E149" s="18" t="n"/>
      <c r="F149" s="16" t="n"/>
      <c r="G149" s="18" t="n"/>
      <c r="H149" s="16" t="n"/>
    </row>
    <row r="150">
      <c r="A150" s="12" t="n"/>
      <c r="B150" s="16" t="n"/>
      <c r="C150" s="18" t="n"/>
      <c r="D150" s="28" t="n"/>
      <c r="E150" s="18" t="n"/>
      <c r="F150" s="16" t="n"/>
      <c r="G150" s="18" t="n"/>
      <c r="H150" s="16" t="n"/>
    </row>
    <row r="151">
      <c r="A151" s="12" t="n"/>
      <c r="B151" s="16" t="n"/>
      <c r="C151" s="18" t="n"/>
      <c r="D151" s="28" t="n"/>
      <c r="E151" s="18" t="n"/>
      <c r="F151" s="16" t="n"/>
      <c r="G151" s="18" t="n"/>
      <c r="H151" s="16" t="n"/>
    </row>
    <row r="152">
      <c r="A152" s="12" t="n"/>
      <c r="B152" s="16" t="n"/>
      <c r="C152" s="18" t="n"/>
      <c r="D152" s="28" t="n"/>
      <c r="E152" s="18" t="n"/>
      <c r="F152" s="16" t="n"/>
      <c r="G152" s="18" t="n"/>
      <c r="H152" s="16" t="n"/>
    </row>
    <row r="153">
      <c r="A153" s="12" t="n"/>
      <c r="B153" s="16" t="n"/>
      <c r="C153" s="18" t="n"/>
      <c r="D153" s="28" t="n"/>
      <c r="E153" s="18" t="n"/>
      <c r="F153" s="16" t="n"/>
      <c r="G153" s="18" t="n"/>
      <c r="H153" s="16" t="n"/>
    </row>
    <row r="154">
      <c r="A154" s="12" t="n"/>
      <c r="B154" s="16" t="n"/>
      <c r="C154" s="18" t="n"/>
      <c r="D154" s="28" t="n"/>
      <c r="E154" s="18" t="n"/>
      <c r="F154" s="16" t="n"/>
      <c r="G154" s="18" t="n"/>
      <c r="H154" s="16" t="n"/>
    </row>
    <row r="155">
      <c r="A155" s="12" t="n"/>
      <c r="B155" s="16" t="n"/>
      <c r="C155" s="18" t="n"/>
      <c r="D155" s="28" t="n"/>
      <c r="E155" s="18" t="n"/>
      <c r="F155" s="16" t="n"/>
      <c r="G155" s="18" t="n"/>
      <c r="H155" s="16" t="n"/>
    </row>
    <row r="156">
      <c r="A156" s="12" t="n"/>
      <c r="B156" s="16" t="n"/>
      <c r="C156" s="18" t="n"/>
      <c r="D156" s="28" t="n"/>
      <c r="E156" s="18" t="n"/>
      <c r="F156" s="16" t="n"/>
      <c r="G156" s="18" t="n"/>
      <c r="H156" s="16" t="n"/>
    </row>
    <row r="157">
      <c r="A157" s="12" t="n"/>
      <c r="B157" s="16" t="n"/>
      <c r="C157" s="18" t="n"/>
      <c r="D157" s="28" t="n"/>
      <c r="E157" s="18" t="n"/>
      <c r="F157" s="16" t="n"/>
      <c r="G157" s="18" t="n"/>
      <c r="H157" s="16" t="n"/>
    </row>
    <row r="158">
      <c r="A158" s="12" t="n"/>
      <c r="B158" s="16" t="n"/>
      <c r="C158" s="18" t="n"/>
      <c r="D158" s="28" t="n"/>
      <c r="E158" s="18" t="n"/>
      <c r="F158" s="16" t="n"/>
      <c r="G158" s="18" t="n"/>
      <c r="H158" s="16" t="n"/>
    </row>
    <row r="159">
      <c r="A159" s="12" t="n"/>
      <c r="B159" s="16" t="n"/>
      <c r="C159" s="18" t="n"/>
      <c r="D159" s="28" t="n"/>
      <c r="E159" s="18" t="n"/>
      <c r="F159" s="16" t="n"/>
      <c r="G159" s="18" t="n"/>
      <c r="H159" s="16" t="n"/>
    </row>
    <row r="160">
      <c r="A160" s="12" t="n"/>
      <c r="B160" s="16" t="n"/>
      <c r="C160" s="18" t="n"/>
      <c r="D160" s="28" t="n"/>
      <c r="E160" s="18" t="n"/>
      <c r="F160" s="16" t="n"/>
      <c r="G160" s="18" t="n"/>
      <c r="H160" s="16" t="n"/>
    </row>
    <row r="161">
      <c r="A161" s="12" t="n"/>
      <c r="B161" s="16" t="n"/>
      <c r="C161" s="18" t="n"/>
      <c r="D161" s="28" t="n"/>
      <c r="E161" s="18" t="n"/>
      <c r="F161" s="16" t="n"/>
      <c r="G161" s="18" t="n"/>
      <c r="H161" s="16" t="n"/>
    </row>
    <row r="162">
      <c r="A162" s="12" t="n"/>
      <c r="B162" s="16" t="n"/>
      <c r="C162" s="18" t="n"/>
      <c r="D162" s="28" t="n"/>
      <c r="E162" s="18" t="n"/>
      <c r="F162" s="16" t="n"/>
      <c r="G162" s="18" t="n"/>
      <c r="H162" s="16" t="n"/>
    </row>
    <row r="163">
      <c r="A163" s="12" t="n"/>
      <c r="B163" s="16" t="n"/>
      <c r="C163" s="18" t="n"/>
      <c r="D163" s="28" t="n"/>
      <c r="E163" s="18" t="n"/>
      <c r="F163" s="16" t="n"/>
      <c r="G163" s="18" t="n"/>
      <c r="H163" s="16" t="n"/>
    </row>
    <row r="164">
      <c r="A164" s="12" t="n"/>
      <c r="B164" s="16" t="n"/>
      <c r="C164" s="18" t="n"/>
      <c r="D164" s="28" t="n"/>
      <c r="E164" s="18" t="n"/>
      <c r="F164" s="16" t="n"/>
      <c r="G164" s="18" t="n"/>
      <c r="H164" s="16" t="n"/>
    </row>
    <row r="165">
      <c r="A165" s="12" t="n"/>
      <c r="B165" s="16" t="n"/>
      <c r="C165" s="18" t="n"/>
      <c r="D165" s="28" t="n"/>
      <c r="E165" s="18" t="n"/>
      <c r="F165" s="16" t="n"/>
      <c r="G165" s="18" t="n"/>
      <c r="H165" s="16" t="n"/>
    </row>
    <row r="166">
      <c r="A166" s="12" t="n"/>
      <c r="B166" s="16" t="n"/>
      <c r="C166" s="18" t="n"/>
      <c r="D166" s="28" t="n"/>
      <c r="E166" s="18" t="n"/>
      <c r="F166" s="16" t="n"/>
      <c r="G166" s="18" t="n"/>
      <c r="H166" s="16" t="n"/>
    </row>
    <row r="167">
      <c r="A167" s="12" t="n"/>
      <c r="B167" s="16" t="n"/>
      <c r="C167" s="18" t="n"/>
      <c r="D167" s="28" t="n"/>
      <c r="E167" s="18" t="n"/>
      <c r="F167" s="16" t="n"/>
      <c r="G167" s="18" t="n"/>
      <c r="H167" s="16" t="n"/>
    </row>
    <row r="168">
      <c r="A168" s="12" t="n"/>
      <c r="B168" s="16" t="n"/>
      <c r="C168" s="18" t="n"/>
      <c r="D168" s="28" t="n"/>
      <c r="E168" s="18" t="n"/>
      <c r="F168" s="16" t="n"/>
      <c r="G168" s="18" t="n"/>
      <c r="H168" s="16" t="n"/>
    </row>
    <row r="169">
      <c r="A169" s="12" t="n"/>
      <c r="B169" s="16" t="n"/>
      <c r="C169" s="18" t="n"/>
      <c r="D169" s="28" t="n"/>
      <c r="E169" s="18" t="n"/>
      <c r="F169" s="16" t="n"/>
      <c r="G169" s="18" t="n"/>
      <c r="H169" s="16" t="n"/>
    </row>
    <row r="170">
      <c r="A170" s="12" t="n"/>
      <c r="B170" s="16" t="n"/>
      <c r="C170" s="18" t="n"/>
      <c r="D170" s="28" t="n"/>
      <c r="E170" s="18" t="n"/>
      <c r="F170" s="16" t="n"/>
      <c r="G170" s="18" t="n"/>
      <c r="H170" s="16" t="n"/>
    </row>
    <row r="171">
      <c r="A171" s="12" t="n"/>
      <c r="B171" s="16" t="n"/>
      <c r="C171" s="18" t="n"/>
      <c r="D171" s="28" t="n"/>
      <c r="E171" s="18" t="n"/>
      <c r="F171" s="16" t="n"/>
      <c r="G171" s="18" t="n"/>
      <c r="H171" s="16" t="n"/>
    </row>
    <row r="172">
      <c r="A172" s="12" t="n"/>
      <c r="B172" s="16" t="n"/>
      <c r="C172" s="18" t="n"/>
      <c r="D172" s="28" t="n"/>
      <c r="E172" s="18" t="n"/>
      <c r="F172" s="16" t="n"/>
      <c r="G172" s="18" t="n"/>
      <c r="H172" s="16" t="n"/>
    </row>
    <row r="173">
      <c r="A173" s="12" t="n"/>
      <c r="B173" s="16" t="n"/>
      <c r="C173" s="18" t="n"/>
      <c r="D173" s="28" t="n"/>
      <c r="E173" s="18" t="n"/>
      <c r="F173" s="16" t="n"/>
      <c r="G173" s="18" t="n"/>
      <c r="H173" s="16" t="n"/>
    </row>
    <row r="174">
      <c r="A174" s="12" t="n"/>
      <c r="B174" s="16" t="n"/>
      <c r="C174" s="18" t="n"/>
      <c r="D174" s="28" t="n"/>
      <c r="E174" s="18" t="n"/>
      <c r="F174" s="16" t="n"/>
      <c r="G174" s="18" t="n"/>
      <c r="H174" s="16" t="n"/>
    </row>
    <row r="175">
      <c r="A175" s="12" t="n"/>
      <c r="B175" s="16" t="n"/>
      <c r="C175" s="18" t="n"/>
      <c r="D175" s="28" t="n"/>
      <c r="E175" s="18" t="n"/>
      <c r="F175" s="16" t="n"/>
      <c r="G175" s="18" t="n"/>
      <c r="H175" s="16" t="n"/>
    </row>
    <row r="176">
      <c r="A176" s="12" t="n"/>
      <c r="B176" s="16" t="n"/>
      <c r="C176" s="18" t="n"/>
      <c r="D176" s="28" t="n"/>
      <c r="E176" s="18" t="n"/>
      <c r="F176" s="16" t="n"/>
      <c r="G176" s="18" t="n"/>
      <c r="H176" s="16" t="n"/>
    </row>
    <row r="177">
      <c r="A177" s="12" t="n"/>
      <c r="B177" s="16" t="n"/>
      <c r="C177" s="18" t="n"/>
      <c r="D177" s="28" t="n"/>
      <c r="E177" s="18" t="n"/>
      <c r="F177" s="16" t="n"/>
      <c r="G177" s="18" t="n"/>
      <c r="H177" s="16" t="n"/>
    </row>
    <row r="178">
      <c r="A178" s="12" t="n"/>
      <c r="B178" s="16" t="n"/>
      <c r="C178" s="18" t="n"/>
      <c r="D178" s="28" t="n"/>
      <c r="E178" s="18" t="n"/>
      <c r="F178" s="16" t="n"/>
      <c r="G178" s="18" t="n"/>
      <c r="H178" s="16" t="n"/>
    </row>
    <row r="179">
      <c r="A179" s="12" t="n"/>
      <c r="B179" s="16" t="n"/>
      <c r="C179" s="18" t="n"/>
      <c r="D179" s="28" t="n"/>
      <c r="E179" s="18" t="n"/>
      <c r="F179" s="16" t="n"/>
      <c r="G179" s="18" t="n"/>
      <c r="H179" s="16" t="n"/>
    </row>
    <row r="180">
      <c r="A180" s="12" t="n"/>
      <c r="B180" s="16" t="n"/>
      <c r="C180" s="18" t="n"/>
      <c r="D180" s="28" t="n"/>
      <c r="E180" s="18" t="n"/>
      <c r="F180" s="16" t="n"/>
      <c r="G180" s="18" t="n"/>
      <c r="H180" s="16" t="n"/>
    </row>
    <row r="181">
      <c r="A181" s="12" t="n"/>
      <c r="B181" s="16" t="n"/>
      <c r="C181" s="18" t="n"/>
      <c r="D181" s="28" t="n"/>
      <c r="E181" s="18" t="n"/>
      <c r="F181" s="16" t="n"/>
      <c r="G181" s="18" t="n"/>
      <c r="H181" s="16" t="n"/>
    </row>
    <row r="182">
      <c r="A182" s="12" t="n"/>
      <c r="B182" s="16" t="n"/>
      <c r="C182" s="18" t="n"/>
      <c r="D182" s="28" t="n"/>
      <c r="E182" s="18" t="n"/>
      <c r="F182" s="16" t="n"/>
      <c r="G182" s="18" t="n"/>
      <c r="H182" s="16" t="n"/>
    </row>
    <row r="183">
      <c r="A183" s="12" t="n"/>
      <c r="B183" s="16" t="n"/>
      <c r="C183" s="18" t="n"/>
      <c r="D183" s="28" t="n"/>
      <c r="E183" s="18" t="n"/>
      <c r="F183" s="16" t="n"/>
      <c r="G183" s="18" t="n"/>
      <c r="H183" s="16" t="n"/>
    </row>
    <row r="184">
      <c r="A184" s="12" t="n"/>
      <c r="B184" s="16" t="n"/>
      <c r="C184" s="18" t="n"/>
      <c r="D184" s="28" t="n"/>
      <c r="E184" s="18" t="n"/>
      <c r="F184" s="16" t="n"/>
      <c r="G184" s="18" t="n"/>
      <c r="H184" s="16" t="n"/>
    </row>
    <row r="185">
      <c r="A185" s="12" t="n"/>
      <c r="B185" s="16" t="n"/>
      <c r="C185" s="18" t="n"/>
      <c r="D185" s="28" t="n"/>
      <c r="E185" s="18" t="n"/>
      <c r="F185" s="16" t="n"/>
      <c r="G185" s="18" t="n"/>
      <c r="H185" s="16" t="n"/>
    </row>
    <row r="186">
      <c r="A186" s="12" t="n"/>
      <c r="B186" s="16" t="n"/>
      <c r="C186" s="18" t="n"/>
      <c r="D186" s="28" t="n"/>
      <c r="E186" s="18" t="n"/>
      <c r="F186" s="16" t="n"/>
      <c r="G186" s="18" t="n"/>
      <c r="H186" s="16" t="n"/>
    </row>
    <row r="187">
      <c r="A187" s="12" t="n"/>
      <c r="B187" s="16" t="n"/>
      <c r="C187" s="18" t="n"/>
      <c r="D187" s="28" t="n"/>
      <c r="E187" s="18" t="n"/>
      <c r="F187" s="16" t="n"/>
      <c r="G187" s="18" t="n"/>
      <c r="H187" s="16" t="n"/>
    </row>
    <row r="188">
      <c r="A188" s="12" t="n"/>
      <c r="B188" s="16" t="n"/>
      <c r="C188" s="18" t="n"/>
      <c r="D188" s="28" t="n"/>
      <c r="E188" s="18" t="n"/>
      <c r="F188" s="16" t="n"/>
      <c r="G188" s="18" t="n"/>
      <c r="H188" s="16" t="n"/>
    </row>
    <row r="189">
      <c r="A189" s="12" t="n"/>
      <c r="B189" s="16" t="n"/>
      <c r="C189" s="18" t="n"/>
      <c r="D189" s="28" t="n"/>
      <c r="E189" s="18" t="n"/>
      <c r="F189" s="16" t="n"/>
      <c r="G189" s="18" t="n"/>
      <c r="H189" s="16" t="n"/>
    </row>
    <row r="190">
      <c r="A190" s="12" t="n"/>
      <c r="B190" s="16" t="n"/>
      <c r="C190" s="18" t="n"/>
      <c r="D190" s="28" t="n"/>
      <c r="E190" s="18" t="n"/>
      <c r="F190" s="16" t="n"/>
      <c r="G190" s="18" t="n"/>
      <c r="H190" s="16" t="n"/>
    </row>
    <row r="191">
      <c r="A191" s="12" t="n"/>
      <c r="B191" s="16" t="n"/>
      <c r="C191" s="18" t="n"/>
      <c r="D191" s="28" t="n"/>
      <c r="E191" s="18" t="n"/>
      <c r="F191" s="16" t="n"/>
      <c r="G191" s="18" t="n"/>
      <c r="H191" s="16" t="n"/>
    </row>
    <row r="192">
      <c r="A192" s="12" t="n"/>
      <c r="B192" s="16" t="n"/>
      <c r="C192" s="18" t="n"/>
      <c r="D192" s="28" t="n"/>
      <c r="E192" s="18" t="n"/>
      <c r="F192" s="16" t="n"/>
      <c r="G192" s="18" t="n"/>
      <c r="H192" s="16" t="n"/>
    </row>
    <row r="193">
      <c r="A193" s="12" t="n"/>
      <c r="B193" s="16" t="n"/>
      <c r="C193" s="18" t="n"/>
      <c r="D193" s="28" t="n"/>
      <c r="E193" s="18" t="n"/>
      <c r="F193" s="16" t="n"/>
      <c r="G193" s="18" t="n"/>
      <c r="H193" s="16" t="n"/>
    </row>
    <row r="194">
      <c r="A194" s="12" t="n"/>
      <c r="B194" s="16" t="n"/>
      <c r="C194" s="18" t="n"/>
      <c r="D194" s="28" t="n"/>
      <c r="E194" s="18" t="n"/>
      <c r="F194" s="16" t="n"/>
      <c r="G194" s="18" t="n"/>
      <c r="H194" s="16" t="n"/>
    </row>
    <row r="195">
      <c r="A195" s="12" t="n"/>
      <c r="B195" s="16" t="n"/>
      <c r="C195" s="18" t="n"/>
      <c r="D195" s="28" t="n"/>
      <c r="E195" s="18" t="n"/>
      <c r="F195" s="16" t="n"/>
      <c r="G195" s="18" t="n"/>
      <c r="H195" s="16" t="n"/>
    </row>
    <row r="196">
      <c r="A196" s="12" t="n"/>
      <c r="B196" s="16" t="n"/>
      <c r="C196" s="18" t="n"/>
      <c r="D196" s="28" t="n"/>
      <c r="E196" s="18" t="n"/>
      <c r="F196" s="16" t="n"/>
      <c r="G196" s="18" t="n"/>
      <c r="H196" s="16" t="n"/>
    </row>
    <row r="197">
      <c r="A197" s="12" t="n"/>
      <c r="B197" s="16" t="n"/>
      <c r="C197" s="18" t="n"/>
      <c r="D197" s="28" t="n"/>
      <c r="E197" s="18" t="n"/>
      <c r="F197" s="16" t="n"/>
      <c r="G197" s="18" t="n"/>
      <c r="H197" s="16" t="n"/>
    </row>
    <row r="198">
      <c r="A198" s="12" t="n"/>
      <c r="B198" s="16" t="n"/>
      <c r="C198" s="18" t="n"/>
      <c r="D198" s="28" t="n"/>
      <c r="E198" s="18" t="n"/>
      <c r="F198" s="16" t="n"/>
      <c r="G198" s="18" t="n"/>
      <c r="H198" s="16" t="n"/>
    </row>
    <row r="199">
      <c r="A199" s="12" t="n"/>
      <c r="B199" s="16" t="n"/>
      <c r="C199" s="18" t="n"/>
      <c r="D199" s="28" t="n"/>
      <c r="E199" s="18" t="n"/>
      <c r="F199" s="16" t="n"/>
      <c r="G199" s="18" t="n"/>
      <c r="H199" s="16" t="n"/>
    </row>
    <row r="200">
      <c r="A200" s="12" t="n"/>
      <c r="B200" s="16" t="n"/>
      <c r="C200" s="18" t="n"/>
      <c r="D200" s="28" t="n"/>
      <c r="E200" s="18" t="n"/>
      <c r="F200" s="16" t="n"/>
      <c r="G200" s="18" t="n"/>
      <c r="H200" s="16" t="n"/>
    </row>
    <row r="201">
      <c r="A201" s="12" t="n"/>
      <c r="B201" s="16" t="n"/>
      <c r="C201" s="18" t="n"/>
      <c r="D201" s="28" t="n"/>
      <c r="E201" s="18" t="n"/>
      <c r="F201" s="16" t="n"/>
      <c r="G201" s="18" t="n"/>
      <c r="H201" s="16" t="n"/>
    </row>
    <row r="202">
      <c r="A202" s="12" t="n"/>
      <c r="B202" s="16" t="n"/>
      <c r="C202" s="18" t="n"/>
      <c r="D202" s="28" t="n"/>
      <c r="E202" s="18" t="n"/>
      <c r="F202" s="16" t="n"/>
      <c r="G202" s="18" t="n"/>
      <c r="H202" s="16" t="n"/>
    </row>
    <row r="203">
      <c r="A203" s="12" t="n"/>
      <c r="B203" s="16" t="n"/>
      <c r="C203" s="18" t="n"/>
      <c r="D203" s="28" t="n"/>
      <c r="E203" s="18" t="n"/>
      <c r="F203" s="16" t="n"/>
      <c r="G203" s="18" t="n"/>
      <c r="H203" s="16" t="n"/>
    </row>
    <row r="204">
      <c r="A204" s="12" t="n"/>
      <c r="B204" s="16" t="n"/>
      <c r="C204" s="18" t="n"/>
      <c r="D204" s="28" t="n"/>
      <c r="E204" s="18" t="n"/>
      <c r="F204" s="16" t="n"/>
      <c r="G204" s="18" t="n"/>
      <c r="H204" s="16" t="n"/>
    </row>
    <row r="205">
      <c r="A205" s="12" t="n"/>
      <c r="B205" s="16" t="n"/>
      <c r="C205" s="18" t="n"/>
      <c r="D205" s="28" t="n"/>
      <c r="E205" s="18" t="n"/>
      <c r="F205" s="16" t="n"/>
      <c r="G205" s="18" t="n"/>
      <c r="H205" s="16" t="n"/>
    </row>
    <row r="206">
      <c r="A206" s="12" t="n"/>
      <c r="B206" s="16" t="n"/>
      <c r="C206" s="18" t="n"/>
      <c r="D206" s="28" t="n"/>
      <c r="E206" s="18" t="n"/>
      <c r="F206" s="16" t="n"/>
      <c r="G206" s="18" t="n"/>
      <c r="H206" s="16" t="n"/>
    </row>
    <row r="207">
      <c r="A207" s="12" t="n"/>
      <c r="B207" s="16" t="n"/>
      <c r="C207" s="18" t="n"/>
      <c r="D207" s="28" t="n"/>
      <c r="E207" s="18" t="n"/>
      <c r="F207" s="16" t="n"/>
      <c r="G207" s="18" t="n"/>
      <c r="H207" s="16" t="n"/>
    </row>
    <row r="208">
      <c r="A208" s="12" t="n"/>
      <c r="B208" s="16" t="n"/>
      <c r="C208" s="18" t="n"/>
      <c r="D208" s="28" t="n"/>
      <c r="E208" s="18" t="n"/>
      <c r="F208" s="16" t="n"/>
      <c r="G208" s="18" t="n"/>
      <c r="H208" s="16" t="n"/>
    </row>
    <row r="209">
      <c r="A209" s="12" t="n"/>
      <c r="B209" s="16" t="n"/>
      <c r="C209" s="18" t="n"/>
      <c r="D209" s="28" t="n"/>
      <c r="E209" s="18" t="n"/>
      <c r="F209" s="16" t="n"/>
      <c r="G209" s="18" t="n"/>
      <c r="H209" s="16" t="n"/>
    </row>
    <row r="210">
      <c r="A210" s="12" t="n"/>
      <c r="B210" s="16" t="n"/>
      <c r="C210" s="18" t="n"/>
      <c r="D210" s="28" t="n"/>
      <c r="E210" s="18" t="n"/>
      <c r="F210" s="16" t="n"/>
      <c r="G210" s="18" t="n"/>
      <c r="H210" s="16" t="n"/>
    </row>
    <row r="211">
      <c r="A211" s="12" t="n"/>
      <c r="B211" s="16" t="n"/>
      <c r="C211" s="18" t="n"/>
      <c r="D211" s="28" t="n"/>
      <c r="E211" s="18" t="n"/>
      <c r="F211" s="16" t="n"/>
      <c r="G211" s="18" t="n"/>
      <c r="H211" s="16" t="n"/>
    </row>
    <row r="212">
      <c r="A212" s="12" t="n"/>
      <c r="B212" s="16" t="n"/>
      <c r="C212" s="18" t="n"/>
      <c r="D212" s="28" t="n"/>
      <c r="E212" s="18" t="n"/>
      <c r="F212" s="16" t="n"/>
      <c r="G212" s="18" t="n"/>
      <c r="H212" s="16" t="n"/>
    </row>
    <row r="213">
      <c r="A213" s="12" t="n"/>
      <c r="B213" s="16" t="n"/>
      <c r="C213" s="18" t="n"/>
      <c r="D213" s="28" t="n"/>
      <c r="E213" s="18" t="n"/>
      <c r="F213" s="16" t="n"/>
      <c r="G213" s="18" t="n"/>
      <c r="H213" s="16" t="n"/>
    </row>
    <row r="214">
      <c r="A214" s="12" t="n"/>
      <c r="B214" s="16" t="n"/>
      <c r="C214" s="18" t="n"/>
      <c r="D214" s="28" t="n"/>
      <c r="E214" s="18" t="n"/>
      <c r="F214" s="16" t="n"/>
      <c r="G214" s="18" t="n"/>
      <c r="H214" s="16" t="n"/>
    </row>
    <row r="215">
      <c r="A215" s="12" t="n"/>
      <c r="B215" s="16" t="n"/>
      <c r="C215" s="18" t="n"/>
      <c r="D215" s="28" t="n"/>
      <c r="E215" s="18" t="n"/>
      <c r="F215" s="16" t="n"/>
      <c r="G215" s="18" t="n"/>
      <c r="H215" s="16" t="n"/>
    </row>
    <row r="216">
      <c r="A216" s="12" t="n"/>
      <c r="B216" s="16" t="n"/>
      <c r="C216" s="18" t="n"/>
      <c r="D216" s="28" t="n"/>
      <c r="E216" s="18" t="n"/>
      <c r="F216" s="16" t="n"/>
      <c r="G216" s="18" t="n"/>
      <c r="H216" s="16" t="n"/>
    </row>
    <row r="217">
      <c r="A217" s="12" t="n"/>
      <c r="B217" s="16" t="n"/>
      <c r="C217" s="18" t="n"/>
      <c r="D217" s="28" t="n"/>
      <c r="E217" s="18" t="n"/>
      <c r="F217" s="16" t="n"/>
      <c r="G217" s="18" t="n"/>
      <c r="H217" s="16" t="n"/>
    </row>
    <row r="218">
      <c r="A218" s="12" t="n"/>
      <c r="B218" s="16" t="n"/>
      <c r="C218" s="18" t="n"/>
      <c r="D218" s="28" t="n"/>
      <c r="E218" s="18" t="n"/>
      <c r="F218" s="16" t="n"/>
      <c r="G218" s="18" t="n"/>
      <c r="H218" s="16" t="n"/>
    </row>
    <row r="219">
      <c r="A219" s="12" t="n"/>
      <c r="B219" s="16" t="n"/>
      <c r="C219" s="18" t="n"/>
      <c r="D219" s="28" t="n"/>
      <c r="E219" s="18" t="n"/>
      <c r="F219" s="16" t="n"/>
      <c r="G219" s="18" t="n"/>
      <c r="H219" s="16" t="n"/>
    </row>
    <row r="220">
      <c r="A220" s="12" t="n"/>
      <c r="B220" s="16" t="n"/>
      <c r="C220" s="18" t="n"/>
      <c r="D220" s="28" t="n"/>
      <c r="E220" s="18" t="n"/>
      <c r="F220" s="16" t="n"/>
      <c r="G220" s="18" t="n"/>
      <c r="H220" s="16" t="n"/>
    </row>
    <row r="221">
      <c r="A221" s="12" t="n"/>
      <c r="B221" s="16" t="n"/>
      <c r="C221" s="18" t="n"/>
      <c r="D221" s="28" t="n"/>
      <c r="E221" s="18" t="n"/>
      <c r="F221" s="16" t="n"/>
      <c r="G221" s="18" t="n"/>
      <c r="H221" s="16" t="n"/>
    </row>
    <row r="222">
      <c r="A222" s="12" t="n"/>
      <c r="B222" s="16" t="n"/>
      <c r="C222" s="18" t="n"/>
      <c r="D222" s="28" t="n"/>
      <c r="E222" s="18" t="n"/>
      <c r="F222" s="16" t="n"/>
      <c r="G222" s="18" t="n"/>
      <c r="H222" s="16" t="n"/>
    </row>
    <row r="223">
      <c r="A223" s="12" t="n"/>
      <c r="B223" s="16" t="n"/>
      <c r="C223" s="18" t="n"/>
      <c r="D223" s="28" t="n"/>
      <c r="E223" s="18" t="n"/>
      <c r="F223" s="16" t="n"/>
      <c r="G223" s="18" t="n"/>
      <c r="H223" s="16" t="n"/>
    </row>
    <row r="224">
      <c r="A224" s="12" t="n"/>
      <c r="B224" s="16" t="n"/>
      <c r="C224" s="18" t="n"/>
      <c r="D224" s="28" t="n"/>
      <c r="E224" s="18" t="n"/>
      <c r="F224" s="16" t="n"/>
      <c r="G224" s="18" t="n"/>
      <c r="H224" s="16" t="n"/>
    </row>
    <row r="225">
      <c r="A225" s="12" t="n"/>
      <c r="B225" s="16" t="n"/>
      <c r="C225" s="18" t="n"/>
      <c r="D225" s="28" t="n"/>
      <c r="E225" s="18" t="n"/>
      <c r="F225" s="16" t="n"/>
      <c r="G225" s="18" t="n"/>
      <c r="H225" s="16" t="n"/>
    </row>
    <row r="226">
      <c r="A226" s="12" t="n"/>
      <c r="B226" s="16" t="n"/>
      <c r="C226" s="18" t="n"/>
      <c r="D226" s="28" t="n"/>
      <c r="E226" s="18" t="n"/>
      <c r="F226" s="16" t="n"/>
      <c r="G226" s="18" t="n"/>
      <c r="H226" s="16" t="n"/>
    </row>
    <row r="227">
      <c r="A227" s="12" t="n"/>
      <c r="B227" s="16" t="n"/>
      <c r="C227" s="18" t="n"/>
      <c r="D227" s="28" t="n"/>
      <c r="E227" s="18" t="n"/>
      <c r="F227" s="16" t="n"/>
      <c r="G227" s="18" t="n"/>
      <c r="H227" s="16" t="n"/>
    </row>
    <row r="228">
      <c r="A228" s="12" t="n"/>
      <c r="B228" s="16" t="n"/>
      <c r="C228" s="18" t="n"/>
      <c r="D228" s="28" t="n"/>
      <c r="E228" s="18" t="n"/>
      <c r="F228" s="16" t="n"/>
      <c r="G228" s="18" t="n"/>
      <c r="H228" s="16" t="n"/>
    </row>
    <row r="229">
      <c r="A229" s="12" t="n"/>
      <c r="B229" s="16" t="n"/>
      <c r="C229" s="18" t="n"/>
      <c r="D229" s="28" t="n"/>
      <c r="E229" s="18" t="n"/>
      <c r="F229" s="16" t="n"/>
      <c r="G229" s="18" t="n"/>
      <c r="H229" s="16" t="n"/>
    </row>
    <row r="230">
      <c r="A230" s="12" t="n"/>
      <c r="B230" s="16" t="n"/>
      <c r="C230" s="18" t="n"/>
      <c r="D230" s="28" t="n"/>
      <c r="E230" s="18" t="n"/>
      <c r="F230" s="16" t="n"/>
      <c r="G230" s="18" t="n"/>
      <c r="H230" s="16" t="n"/>
    </row>
    <row r="231">
      <c r="A231" s="12" t="n"/>
      <c r="B231" s="16" t="n"/>
      <c r="C231" s="18" t="n"/>
      <c r="D231" s="28" t="n"/>
      <c r="E231" s="18" t="n"/>
      <c r="F231" s="16" t="n"/>
      <c r="G231" s="18" t="n"/>
      <c r="H231" s="16" t="n"/>
    </row>
    <row r="232">
      <c r="A232" s="12" t="n"/>
      <c r="B232" s="16" t="n"/>
      <c r="C232" s="18" t="n"/>
      <c r="D232" s="28" t="n"/>
      <c r="E232" s="18" t="n"/>
      <c r="F232" s="16" t="n"/>
      <c r="G232" s="18" t="n"/>
      <c r="H232" s="16" t="n"/>
    </row>
    <row r="233">
      <c r="A233" s="12" t="n"/>
      <c r="B233" s="16" t="n"/>
      <c r="C233" s="18" t="n"/>
      <c r="D233" s="28" t="n"/>
      <c r="E233" s="18" t="n"/>
      <c r="F233" s="16" t="n"/>
      <c r="G233" s="18" t="n"/>
      <c r="H233" s="16" t="n"/>
    </row>
    <row r="234">
      <c r="A234" s="12" t="n"/>
      <c r="B234" s="16" t="n"/>
      <c r="C234" s="18" t="n"/>
      <c r="D234" s="28" t="n"/>
      <c r="E234" s="18" t="n"/>
      <c r="F234" s="16" t="n"/>
      <c r="G234" s="18" t="n"/>
      <c r="H234" s="16" t="n"/>
    </row>
    <row r="235">
      <c r="A235" s="12" t="n"/>
      <c r="B235" s="16" t="n"/>
      <c r="C235" s="18" t="n"/>
      <c r="D235" s="28" t="n"/>
      <c r="E235" s="18" t="n"/>
      <c r="F235" s="16" t="n"/>
      <c r="G235" s="18" t="n"/>
      <c r="H235" s="16" t="n"/>
    </row>
    <row r="236">
      <c r="A236" s="12" t="n"/>
      <c r="B236" s="16" t="n"/>
      <c r="C236" s="18" t="n"/>
      <c r="D236" s="28" t="n"/>
      <c r="E236" s="18" t="n"/>
      <c r="F236" s="16" t="n"/>
      <c r="G236" s="18" t="n"/>
      <c r="H236" s="16" t="n"/>
    </row>
    <row r="237">
      <c r="A237" s="12" t="n"/>
      <c r="B237" s="16" t="n"/>
      <c r="C237" s="18" t="n"/>
      <c r="D237" s="28" t="n"/>
      <c r="E237" s="18" t="n"/>
      <c r="F237" s="16" t="n"/>
      <c r="G237" s="18" t="n"/>
      <c r="H237" s="16" t="n"/>
    </row>
    <row r="238">
      <c r="A238" s="12" t="n"/>
      <c r="B238" s="16" t="n"/>
      <c r="C238" s="18" t="n"/>
      <c r="D238" s="28" t="n"/>
      <c r="E238" s="18" t="n"/>
      <c r="F238" s="16" t="n"/>
      <c r="G238" s="18" t="n"/>
      <c r="H238" s="16" t="n"/>
    </row>
    <row r="239">
      <c r="A239" s="12" t="n"/>
      <c r="B239" s="16" t="n"/>
      <c r="C239" s="18" t="n"/>
      <c r="D239" s="28" t="n"/>
      <c r="E239" s="18" t="n"/>
      <c r="F239" s="16" t="n"/>
      <c r="G239" s="18" t="n"/>
      <c r="H239" s="16" t="n"/>
    </row>
    <row r="240">
      <c r="A240" s="12" t="n"/>
      <c r="B240" s="16" t="n"/>
      <c r="C240" s="18" t="n"/>
      <c r="D240" s="28" t="n"/>
      <c r="E240" s="18" t="n"/>
      <c r="F240" s="16" t="n"/>
      <c r="G240" s="18" t="n"/>
      <c r="H240" s="16" t="n"/>
    </row>
    <row r="241">
      <c r="A241" s="12" t="n"/>
      <c r="B241" s="16" t="n"/>
      <c r="C241" s="18" t="n"/>
      <c r="D241" s="28" t="n"/>
      <c r="E241" s="18" t="n"/>
      <c r="F241" s="16" t="n"/>
      <c r="G241" s="18" t="n"/>
      <c r="H241" s="16" t="n"/>
    </row>
    <row r="242">
      <c r="A242" s="12" t="n"/>
      <c r="B242" s="16" t="n"/>
      <c r="C242" s="18" t="n"/>
      <c r="D242" s="28" t="n"/>
      <c r="E242" s="18" t="n"/>
      <c r="F242" s="16" t="n"/>
      <c r="G242" s="18" t="n"/>
      <c r="H242" s="16" t="n"/>
    </row>
    <row r="243">
      <c r="A243" s="12" t="n"/>
      <c r="B243" s="16" t="n"/>
      <c r="C243" s="18" t="n"/>
      <c r="D243" s="28" t="n"/>
      <c r="E243" s="18" t="n"/>
      <c r="F243" s="16" t="n"/>
      <c r="G243" s="18" t="n"/>
      <c r="H243" s="16" t="n"/>
    </row>
    <row r="244">
      <c r="A244" s="12" t="n"/>
      <c r="B244" s="16" t="n"/>
      <c r="C244" s="18" t="n"/>
      <c r="D244" s="28" t="n"/>
      <c r="E244" s="18" t="n"/>
      <c r="F244" s="16" t="n"/>
      <c r="G244" s="18" t="n"/>
      <c r="H244" s="16" t="n"/>
    </row>
    <row r="245">
      <c r="A245" s="12" t="n"/>
      <c r="B245" s="16" t="n"/>
      <c r="C245" s="18" t="n"/>
      <c r="D245" s="28" t="n"/>
      <c r="E245" s="18" t="n"/>
      <c r="F245" s="16" t="n"/>
      <c r="G245" s="18" t="n"/>
      <c r="H245" s="16" t="n"/>
    </row>
    <row r="246">
      <c r="A246" s="12" t="n"/>
      <c r="B246" s="16" t="n"/>
      <c r="C246" s="18" t="n"/>
      <c r="D246" s="28" t="n"/>
      <c r="E246" s="18" t="n"/>
      <c r="F246" s="16" t="n"/>
      <c r="G246" s="18" t="n"/>
      <c r="H246" s="16" t="n"/>
    </row>
    <row r="247">
      <c r="A247" s="12" t="n"/>
      <c r="B247" s="16" t="n"/>
      <c r="C247" s="18" t="n"/>
      <c r="D247" s="28" t="n"/>
      <c r="E247" s="18" t="n"/>
      <c r="F247" s="16" t="n"/>
      <c r="G247" s="18" t="n"/>
      <c r="H247" s="16" t="n"/>
    </row>
    <row r="248">
      <c r="A248" s="12" t="n"/>
      <c r="B248" s="16" t="n"/>
      <c r="C248" s="18" t="n"/>
      <c r="D248" s="28" t="n"/>
      <c r="E248" s="18" t="n"/>
      <c r="F248" s="16" t="n"/>
      <c r="G248" s="18" t="n"/>
      <c r="H248" s="16" t="n"/>
    </row>
    <row r="249">
      <c r="A249" s="12" t="n"/>
      <c r="B249" s="16" t="n"/>
      <c r="C249" s="18" t="n"/>
      <c r="D249" s="28" t="n"/>
      <c r="E249" s="18" t="n"/>
      <c r="F249" s="16" t="n"/>
      <c r="G249" s="18" t="n"/>
      <c r="H249" s="16" t="n"/>
    </row>
    <row r="250">
      <c r="A250" s="12" t="n"/>
      <c r="B250" s="16" t="n"/>
      <c r="C250" s="18" t="n"/>
      <c r="D250" s="28" t="n"/>
      <c r="E250" s="18" t="n"/>
      <c r="F250" s="16" t="n"/>
      <c r="G250" s="18" t="n"/>
      <c r="H250" s="16" t="n"/>
    </row>
    <row r="251">
      <c r="A251" s="12" t="n"/>
      <c r="B251" s="16" t="n"/>
      <c r="C251" s="18" t="n"/>
      <c r="D251" s="28" t="n"/>
      <c r="E251" s="18" t="n"/>
      <c r="F251" s="16" t="n"/>
      <c r="G251" s="18" t="n"/>
      <c r="H251" s="16" t="n"/>
    </row>
    <row r="252">
      <c r="A252" s="12" t="n"/>
      <c r="B252" s="16" t="n"/>
      <c r="C252" s="18" t="n"/>
      <c r="D252" s="28" t="n"/>
      <c r="E252" s="18" t="n"/>
      <c r="F252" s="16" t="n"/>
      <c r="G252" s="18" t="n"/>
      <c r="H252" s="16" t="n"/>
    </row>
    <row r="253">
      <c r="A253" s="12" t="n"/>
      <c r="B253" s="16" t="n"/>
      <c r="C253" s="18" t="n"/>
      <c r="D253" s="28" t="n"/>
      <c r="E253" s="18" t="n"/>
      <c r="F253" s="16" t="n"/>
      <c r="G253" s="18" t="n"/>
      <c r="H253" s="16" t="n"/>
    </row>
    <row r="254">
      <c r="A254" s="12" t="n"/>
      <c r="B254" s="16" t="n"/>
      <c r="C254" s="18" t="n"/>
      <c r="D254" s="28" t="n"/>
      <c r="E254" s="18" t="n"/>
      <c r="F254" s="16" t="n"/>
      <c r="G254" s="18" t="n"/>
      <c r="H254" s="16" t="n"/>
    </row>
    <row r="255">
      <c r="A255" s="12" t="n"/>
      <c r="B255" s="16" t="n"/>
      <c r="C255" s="18" t="n"/>
      <c r="D255" s="28" t="n"/>
      <c r="E255" s="18" t="n"/>
      <c r="F255" s="16" t="n"/>
      <c r="G255" s="18" t="n"/>
      <c r="H255" s="16" t="n"/>
    </row>
  </sheetData>
  <autoFilter ref="A4:H255"/>
  <mergeCells count="3">
    <mergeCell ref="A3:H3"/>
    <mergeCell ref="A2:H2"/>
    <mergeCell ref="A1:H1"/>
  </mergeCells>
  <dataValidations count="4">
    <dataValidation sqref="C6:C255" showDropDown="0" showInputMessage="0" showErrorMessage="0" allowBlank="1" type="list">
      <formula1>Listas!$A$2:$A$7</formula1>
    </dataValidation>
    <dataValidation sqref="B6:B255" showDropDown="0" showInputMessage="0" showErrorMessage="0" allowBlank="1" type="list">
      <formula1>Listas!$E$2:$E$141</formula1>
    </dataValidation>
    <dataValidation sqref="F6:F255" showDropDown="0" showInputMessage="0" showErrorMessage="0" allowBlank="1" type="list">
      <formula1>Listas!$F$2:$F$6</formula1>
    </dataValidation>
    <dataValidation sqref="E6:E255" showDropDown="0" showInputMessage="0" showErrorMessage="0" allowBlank="1" type="list">
      <formula1>Listas!$D$2:$D$7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R1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3" customWidth="1" min="2" max="2"/>
    <col width="7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1" customWidth="1" min="13" max="13"/>
    <col width="14" customWidth="1" min="14" max="14"/>
    <col width="14" customWidth="1" min="15" max="15"/>
    <col width="34" customWidth="1" min="16" max="16"/>
    <col hidden="1" width="8" customWidth="1" min="17" max="17"/>
    <col hidden="1" width="8" customWidth="1" min="18" max="18"/>
  </cols>
  <sheetData>
    <row r="1" ht="30" customHeight="1">
      <c r="A1" s="1" t="inlineStr">
        <is>
          <t>ANALISIS A · CONSUMO REAL DE INSUMOS DE LA SEMANA</t>
        </is>
      </c>
    </row>
    <row r="2" ht="18" customHeight="1">
      <c r="A2" s="2" t="inlineStr">
        <is>
          <t>CONSUMO REAL = Stock inicial + Ingresos de la semana - Stock final.  Se compara contra las facturas y contra Fudo.</t>
        </is>
      </c>
    </row>
    <row r="3" ht="18" customHeight="1">
      <c r="A3" s="3" t="inlineStr">
        <is>
          <t>Un CONSUMO NEGATIVO significa que entro mercaderia que nadie anoto. Un DESVIO ALTO contra Fudo es el candidato a faltante o a mal uso.</t>
        </is>
      </c>
    </row>
    <row r="4" ht="36" customHeight="1">
      <c r="A4" s="6" t="inlineStr">
        <is>
          <t>AREA</t>
        </is>
      </c>
      <c r="B4" s="6" t="inlineStr">
        <is>
          <t>INSUMO</t>
        </is>
      </c>
      <c r="C4" s="6" t="inlineStr">
        <is>
          <t>UNID.</t>
        </is>
      </c>
      <c r="D4" s="6" t="inlineStr">
        <is>
          <t>STOCK
INICIAL</t>
        </is>
      </c>
      <c r="E4" s="6" t="inlineStr">
        <is>
          <t>INGRESOS
S/PLANILLA</t>
        </is>
      </c>
      <c r="F4" s="6" t="inlineStr">
        <is>
          <t>STOCK
FINAL</t>
        </is>
      </c>
      <c r="G4" s="6" t="inlineStr">
        <is>
          <t>CONSUMO
REAL</t>
        </is>
      </c>
      <c r="H4" s="6" t="inlineStr">
        <is>
          <t>COMPRAS
S/FACTURAS</t>
        </is>
      </c>
      <c r="I4" s="6" t="inlineStr">
        <is>
          <t>DIF. RECEP.
VS FACTURA</t>
        </is>
      </c>
      <c r="J4" s="6" t="inlineStr">
        <is>
          <t>CONSUMO
S/FUDO</t>
        </is>
      </c>
      <c r="K4" s="6" t="inlineStr">
        <is>
          <t>DIF. REAL
VS FUDO</t>
        </is>
      </c>
      <c r="L4" s="6" t="inlineStr">
        <is>
          <t>% DESVIO</t>
        </is>
      </c>
      <c r="M4" s="6" t="inlineStr">
        <is>
          <t>COSTO
UNIT. $</t>
        </is>
      </c>
      <c r="N4" s="6" t="inlineStr">
        <is>
          <t>CONSUMO
VALORIZADO $</t>
        </is>
      </c>
      <c r="O4" s="6" t="inlineStr">
        <is>
          <t>DESVIO
VALORIZADO $</t>
        </is>
      </c>
      <c r="P4" s="6" t="inlineStr">
        <is>
          <t>ALERTA</t>
        </is>
      </c>
      <c r="Q4" s="6" t="inlineStr">
        <is>
          <t>k%</t>
        </is>
      </c>
      <c r="R4" s="6" t="inlineStr">
        <is>
          <t>k$</t>
        </is>
      </c>
    </row>
    <row r="5">
      <c r="A5" s="38">
        <f>Insumos!$A5</f>
        <v/>
      </c>
      <c r="B5" s="39">
        <f>Insumos!$B5</f>
        <v/>
      </c>
      <c r="C5" s="40">
        <f>Insumos!$E5</f>
        <v/>
      </c>
      <c r="D5" s="41">
        <f>'1 Inv Inicial'!$G5</f>
        <v/>
      </c>
      <c r="E5" s="69">
        <f>SUMIFS('2 Ingresos'!$I$6:$I$255,'2 Ingresos'!$B$6:$B$255,$A5,'2 Ingresos'!$C$6:$C$255,$B5)</f>
        <v/>
      </c>
      <c r="F5" s="41">
        <f>'6 Inv Final'!$G5</f>
        <v/>
      </c>
      <c r="G5" s="70">
        <f>$D5+$E5-$F5</f>
        <v/>
      </c>
      <c r="H5" s="69">
        <f>SUMIFS('7 Facturas'!$F$6:$F$255,'7 Facturas'!$D$6:$D$255,$A5,'7 Facturas'!$E$6:$E$255,$B5)</f>
        <v/>
      </c>
      <c r="I5" s="69">
        <f>$E5-$H5</f>
        <v/>
      </c>
      <c r="J5" s="69">
        <f>IFERROR(INDEX('8 Fudo Stock'!$H$6:$H$205,MATCH($A5&amp;" | "&amp;$B5,'8 Fudo Stock'!$I$6:$I$205,0)),"")</f>
        <v/>
      </c>
      <c r="K5" s="69">
        <f>IF($J5="","",$G5-$J5)</f>
        <v/>
      </c>
      <c r="L5" s="71">
        <f>IF(OR($J5="",$J5=0),"",$K5/$J5)</f>
        <v/>
      </c>
      <c r="M5" s="72">
        <f>IF(Insumos!$H5="","",Insumos!$H5)</f>
        <v/>
      </c>
      <c r="N5" s="73">
        <f>IF($M5="","",$G5*$M5)</f>
        <v/>
      </c>
      <c r="O5" s="74">
        <f>IF(OR($M5="",$K5=""),"",$K5*$M5)</f>
        <v/>
      </c>
      <c r="P5" s="75">
        <f>IF(AND('1 Inv Inicial'!$E5="",'1 Inv Inicial'!$F5=""),"Falta inventario inicial",IF(AND('6 Inv Final'!$E5="",'6 Inv Final'!$F5=""),"Falta inventario final",IF($G5&lt;0,"Consumo negativo: entro mercaderia sin registrar",IF(AND($L5&lt;&gt;"",ABS($L5)&gt;Config!$B$46),"Desvio alto vs Fudo: investigar",IF(AND($H5&gt;0,ABS($I5)/$H5&gt;Config!$B$46),"Lo recibido no coincide con la factura",IF(AND($J5="",$G5&gt;0),"Sin dato de Fudo para comparar","OK"))))))</f>
        <v/>
      </c>
      <c r="Q5" s="76">
        <f>IF($L5="","",ABS($L5)+ROW()/1000000)</f>
        <v/>
      </c>
      <c r="R5" s="76">
        <f>IF($O5="","",ABS($O5)+ROW()/1000000)</f>
        <v/>
      </c>
    </row>
    <row r="6">
      <c r="A6" s="43">
        <f>Insumos!$A6</f>
        <v/>
      </c>
      <c r="B6" s="44">
        <f>Insumos!$B6</f>
        <v/>
      </c>
      <c r="C6" s="45">
        <f>Insumos!$E6</f>
        <v/>
      </c>
      <c r="D6" s="41">
        <f>'1 Inv Inicial'!$G6</f>
        <v/>
      </c>
      <c r="E6" s="69">
        <f>SUMIFS('2 Ingresos'!$I$6:$I$255,'2 Ingresos'!$B$6:$B$255,$A6,'2 Ingresos'!$C$6:$C$255,$B6)</f>
        <v/>
      </c>
      <c r="F6" s="41">
        <f>'6 Inv Final'!$G6</f>
        <v/>
      </c>
      <c r="G6" s="70">
        <f>$D6+$E6-$F6</f>
        <v/>
      </c>
      <c r="H6" s="69">
        <f>SUMIFS('7 Facturas'!$F$6:$F$255,'7 Facturas'!$D$6:$D$255,$A6,'7 Facturas'!$E$6:$E$255,$B6)</f>
        <v/>
      </c>
      <c r="I6" s="69">
        <f>$E6-$H6</f>
        <v/>
      </c>
      <c r="J6" s="69">
        <f>IFERROR(INDEX('8 Fudo Stock'!$H$6:$H$205,MATCH($A6&amp;" | "&amp;$B6,'8 Fudo Stock'!$I$6:$I$205,0)),"")</f>
        <v/>
      </c>
      <c r="K6" s="69">
        <f>IF($J6="","",$G6-$J6)</f>
        <v/>
      </c>
      <c r="L6" s="71">
        <f>IF(OR($J6="",$J6=0),"",$K6/$J6)</f>
        <v/>
      </c>
      <c r="M6" s="72">
        <f>IF(Insumos!$H6="","",Insumos!$H6)</f>
        <v/>
      </c>
      <c r="N6" s="73">
        <f>IF($M6="","",$G6*$M6)</f>
        <v/>
      </c>
      <c r="O6" s="74">
        <f>IF(OR($M6="",$K6=""),"",$K6*$M6)</f>
        <v/>
      </c>
      <c r="P6" s="75">
        <f>IF(AND('1 Inv Inicial'!$E6="",'1 Inv Inicial'!$F6=""),"Falta inventario inicial",IF(AND('6 Inv Final'!$E6="",'6 Inv Final'!$F6=""),"Falta inventario final",IF($G6&lt;0,"Consumo negativo: entro mercaderia sin registrar",IF(AND($L6&lt;&gt;"",ABS($L6)&gt;Config!$B$46),"Desvio alto vs Fudo: investigar",IF(AND($H6&gt;0,ABS($I6)/$H6&gt;Config!$B$46),"Lo recibido no coincide con la factura",IF(AND($J6="",$G6&gt;0),"Sin dato de Fudo para comparar","OK"))))))</f>
        <v/>
      </c>
      <c r="Q6" s="76">
        <f>IF($L6="","",ABS($L6)+ROW()/1000000)</f>
        <v/>
      </c>
      <c r="R6" s="76">
        <f>IF($O6="","",ABS($O6)+ROW()/1000000)</f>
        <v/>
      </c>
    </row>
    <row r="7">
      <c r="A7" s="38">
        <f>Insumos!$A7</f>
        <v/>
      </c>
      <c r="B7" s="39">
        <f>Insumos!$B7</f>
        <v/>
      </c>
      <c r="C7" s="40">
        <f>Insumos!$E7</f>
        <v/>
      </c>
      <c r="D7" s="41">
        <f>'1 Inv Inicial'!$G7</f>
        <v/>
      </c>
      <c r="E7" s="69">
        <f>SUMIFS('2 Ingresos'!$I$6:$I$255,'2 Ingresos'!$B$6:$B$255,$A7,'2 Ingresos'!$C$6:$C$255,$B7)</f>
        <v/>
      </c>
      <c r="F7" s="41">
        <f>'6 Inv Final'!$G7</f>
        <v/>
      </c>
      <c r="G7" s="70">
        <f>$D7+$E7-$F7</f>
        <v/>
      </c>
      <c r="H7" s="69">
        <f>SUMIFS('7 Facturas'!$F$6:$F$255,'7 Facturas'!$D$6:$D$255,$A7,'7 Facturas'!$E$6:$E$255,$B7)</f>
        <v/>
      </c>
      <c r="I7" s="69">
        <f>$E7-$H7</f>
        <v/>
      </c>
      <c r="J7" s="69">
        <f>IFERROR(INDEX('8 Fudo Stock'!$H$6:$H$205,MATCH($A7&amp;" | "&amp;$B7,'8 Fudo Stock'!$I$6:$I$205,0)),"")</f>
        <v/>
      </c>
      <c r="K7" s="69">
        <f>IF($J7="","",$G7-$J7)</f>
        <v/>
      </c>
      <c r="L7" s="71">
        <f>IF(OR($J7="",$J7=0),"",$K7/$J7)</f>
        <v/>
      </c>
      <c r="M7" s="72">
        <f>IF(Insumos!$H7="","",Insumos!$H7)</f>
        <v/>
      </c>
      <c r="N7" s="73">
        <f>IF($M7="","",$G7*$M7)</f>
        <v/>
      </c>
      <c r="O7" s="74">
        <f>IF(OR($M7="",$K7=""),"",$K7*$M7)</f>
        <v/>
      </c>
      <c r="P7" s="75">
        <f>IF(AND('1 Inv Inicial'!$E7="",'1 Inv Inicial'!$F7=""),"Falta inventario inicial",IF(AND('6 Inv Final'!$E7="",'6 Inv Final'!$F7=""),"Falta inventario final",IF($G7&lt;0,"Consumo negativo: entro mercaderia sin registrar",IF(AND($L7&lt;&gt;"",ABS($L7)&gt;Config!$B$46),"Desvio alto vs Fudo: investigar",IF(AND($H7&gt;0,ABS($I7)/$H7&gt;Config!$B$46),"Lo recibido no coincide con la factura",IF(AND($J7="",$G7&gt;0),"Sin dato de Fudo para comparar","OK"))))))</f>
        <v/>
      </c>
      <c r="Q7" s="76">
        <f>IF($L7="","",ABS($L7)+ROW()/1000000)</f>
        <v/>
      </c>
      <c r="R7" s="76">
        <f>IF($O7="","",ABS($O7)+ROW()/1000000)</f>
        <v/>
      </c>
    </row>
    <row r="8">
      <c r="A8" s="43">
        <f>Insumos!$A8</f>
        <v/>
      </c>
      <c r="B8" s="44">
        <f>Insumos!$B8</f>
        <v/>
      </c>
      <c r="C8" s="45">
        <f>Insumos!$E8</f>
        <v/>
      </c>
      <c r="D8" s="41">
        <f>'1 Inv Inicial'!$G8</f>
        <v/>
      </c>
      <c r="E8" s="69">
        <f>SUMIFS('2 Ingresos'!$I$6:$I$255,'2 Ingresos'!$B$6:$B$255,$A8,'2 Ingresos'!$C$6:$C$255,$B8)</f>
        <v/>
      </c>
      <c r="F8" s="41">
        <f>'6 Inv Final'!$G8</f>
        <v/>
      </c>
      <c r="G8" s="70">
        <f>$D8+$E8-$F8</f>
        <v/>
      </c>
      <c r="H8" s="69">
        <f>SUMIFS('7 Facturas'!$F$6:$F$255,'7 Facturas'!$D$6:$D$255,$A8,'7 Facturas'!$E$6:$E$255,$B8)</f>
        <v/>
      </c>
      <c r="I8" s="69">
        <f>$E8-$H8</f>
        <v/>
      </c>
      <c r="J8" s="69">
        <f>IFERROR(INDEX('8 Fudo Stock'!$H$6:$H$205,MATCH($A8&amp;" | "&amp;$B8,'8 Fudo Stock'!$I$6:$I$205,0)),"")</f>
        <v/>
      </c>
      <c r="K8" s="69">
        <f>IF($J8="","",$G8-$J8)</f>
        <v/>
      </c>
      <c r="L8" s="71">
        <f>IF(OR($J8="",$J8=0),"",$K8/$J8)</f>
        <v/>
      </c>
      <c r="M8" s="72">
        <f>IF(Insumos!$H8="","",Insumos!$H8)</f>
        <v/>
      </c>
      <c r="N8" s="73">
        <f>IF($M8="","",$G8*$M8)</f>
        <v/>
      </c>
      <c r="O8" s="74">
        <f>IF(OR($M8="",$K8=""),"",$K8*$M8)</f>
        <v/>
      </c>
      <c r="P8" s="75">
        <f>IF(AND('1 Inv Inicial'!$E8="",'1 Inv Inicial'!$F8=""),"Falta inventario inicial",IF(AND('6 Inv Final'!$E8="",'6 Inv Final'!$F8=""),"Falta inventario final",IF($G8&lt;0,"Consumo negativo: entro mercaderia sin registrar",IF(AND($L8&lt;&gt;"",ABS($L8)&gt;Config!$B$46),"Desvio alto vs Fudo: investigar",IF(AND($H8&gt;0,ABS($I8)/$H8&gt;Config!$B$46),"Lo recibido no coincide con la factura",IF(AND($J8="",$G8&gt;0),"Sin dato de Fudo para comparar","OK"))))))</f>
        <v/>
      </c>
      <c r="Q8" s="76">
        <f>IF($L8="","",ABS($L8)+ROW()/1000000)</f>
        <v/>
      </c>
      <c r="R8" s="76">
        <f>IF($O8="","",ABS($O8)+ROW()/1000000)</f>
        <v/>
      </c>
    </row>
    <row r="9">
      <c r="A9" s="38">
        <f>Insumos!$A9</f>
        <v/>
      </c>
      <c r="B9" s="39">
        <f>Insumos!$B9</f>
        <v/>
      </c>
      <c r="C9" s="40">
        <f>Insumos!$E9</f>
        <v/>
      </c>
      <c r="D9" s="41">
        <f>'1 Inv Inicial'!$G9</f>
        <v/>
      </c>
      <c r="E9" s="69">
        <f>SUMIFS('2 Ingresos'!$I$6:$I$255,'2 Ingresos'!$B$6:$B$255,$A9,'2 Ingresos'!$C$6:$C$255,$B9)</f>
        <v/>
      </c>
      <c r="F9" s="41">
        <f>'6 Inv Final'!$G9</f>
        <v/>
      </c>
      <c r="G9" s="70">
        <f>$D9+$E9-$F9</f>
        <v/>
      </c>
      <c r="H9" s="69">
        <f>SUMIFS('7 Facturas'!$F$6:$F$255,'7 Facturas'!$D$6:$D$255,$A9,'7 Facturas'!$E$6:$E$255,$B9)</f>
        <v/>
      </c>
      <c r="I9" s="69">
        <f>$E9-$H9</f>
        <v/>
      </c>
      <c r="J9" s="69">
        <f>IFERROR(INDEX('8 Fudo Stock'!$H$6:$H$205,MATCH($A9&amp;" | "&amp;$B9,'8 Fudo Stock'!$I$6:$I$205,0)),"")</f>
        <v/>
      </c>
      <c r="K9" s="69">
        <f>IF($J9="","",$G9-$J9)</f>
        <v/>
      </c>
      <c r="L9" s="71">
        <f>IF(OR($J9="",$J9=0),"",$K9/$J9)</f>
        <v/>
      </c>
      <c r="M9" s="72">
        <f>IF(Insumos!$H9="","",Insumos!$H9)</f>
        <v/>
      </c>
      <c r="N9" s="73">
        <f>IF($M9="","",$G9*$M9)</f>
        <v/>
      </c>
      <c r="O9" s="74">
        <f>IF(OR($M9="",$K9=""),"",$K9*$M9)</f>
        <v/>
      </c>
      <c r="P9" s="75">
        <f>IF(AND('1 Inv Inicial'!$E9="",'1 Inv Inicial'!$F9=""),"Falta inventario inicial",IF(AND('6 Inv Final'!$E9="",'6 Inv Final'!$F9=""),"Falta inventario final",IF($G9&lt;0,"Consumo negativo: entro mercaderia sin registrar",IF(AND($L9&lt;&gt;"",ABS($L9)&gt;Config!$B$46),"Desvio alto vs Fudo: investigar",IF(AND($H9&gt;0,ABS($I9)/$H9&gt;Config!$B$46),"Lo recibido no coincide con la factura",IF(AND($J9="",$G9&gt;0),"Sin dato de Fudo para comparar","OK"))))))</f>
        <v/>
      </c>
      <c r="Q9" s="76">
        <f>IF($L9="","",ABS($L9)+ROW()/1000000)</f>
        <v/>
      </c>
      <c r="R9" s="76">
        <f>IF($O9="","",ABS($O9)+ROW()/1000000)</f>
        <v/>
      </c>
    </row>
    <row r="10">
      <c r="A10" s="43">
        <f>Insumos!$A10</f>
        <v/>
      </c>
      <c r="B10" s="44">
        <f>Insumos!$B10</f>
        <v/>
      </c>
      <c r="C10" s="45">
        <f>Insumos!$E10</f>
        <v/>
      </c>
      <c r="D10" s="41">
        <f>'1 Inv Inicial'!$G10</f>
        <v/>
      </c>
      <c r="E10" s="69">
        <f>SUMIFS('2 Ingresos'!$I$6:$I$255,'2 Ingresos'!$B$6:$B$255,$A10,'2 Ingresos'!$C$6:$C$255,$B10)</f>
        <v/>
      </c>
      <c r="F10" s="41">
        <f>'6 Inv Final'!$G10</f>
        <v/>
      </c>
      <c r="G10" s="70">
        <f>$D10+$E10-$F10</f>
        <v/>
      </c>
      <c r="H10" s="69">
        <f>SUMIFS('7 Facturas'!$F$6:$F$255,'7 Facturas'!$D$6:$D$255,$A10,'7 Facturas'!$E$6:$E$255,$B10)</f>
        <v/>
      </c>
      <c r="I10" s="69">
        <f>$E10-$H10</f>
        <v/>
      </c>
      <c r="J10" s="69">
        <f>IFERROR(INDEX('8 Fudo Stock'!$H$6:$H$205,MATCH($A10&amp;" | "&amp;$B10,'8 Fudo Stock'!$I$6:$I$205,0)),"")</f>
        <v/>
      </c>
      <c r="K10" s="69">
        <f>IF($J10="","",$G10-$J10)</f>
        <v/>
      </c>
      <c r="L10" s="71">
        <f>IF(OR($J10="",$J10=0),"",$K10/$J10)</f>
        <v/>
      </c>
      <c r="M10" s="72">
        <f>IF(Insumos!$H10="","",Insumos!$H10)</f>
        <v/>
      </c>
      <c r="N10" s="73">
        <f>IF($M10="","",$G10*$M10)</f>
        <v/>
      </c>
      <c r="O10" s="74">
        <f>IF(OR($M10="",$K10=""),"",$K10*$M10)</f>
        <v/>
      </c>
      <c r="P10" s="75">
        <f>IF(AND('1 Inv Inicial'!$E10="",'1 Inv Inicial'!$F10=""),"Falta inventario inicial",IF(AND('6 Inv Final'!$E10="",'6 Inv Final'!$F10=""),"Falta inventario final",IF($G10&lt;0,"Consumo negativo: entro mercaderia sin registrar",IF(AND($L10&lt;&gt;"",ABS($L10)&gt;Config!$B$46),"Desvio alto vs Fudo: investigar",IF(AND($H10&gt;0,ABS($I10)/$H10&gt;Config!$B$46),"Lo recibido no coincide con la factura",IF(AND($J10="",$G10&gt;0),"Sin dato de Fudo para comparar","OK"))))))</f>
        <v/>
      </c>
      <c r="Q10" s="76">
        <f>IF($L10="","",ABS($L10)+ROW()/1000000)</f>
        <v/>
      </c>
      <c r="R10" s="76">
        <f>IF($O10="","",ABS($O10)+ROW()/1000000)</f>
        <v/>
      </c>
    </row>
    <row r="11">
      <c r="A11" s="38">
        <f>Insumos!$A11</f>
        <v/>
      </c>
      <c r="B11" s="39">
        <f>Insumos!$B11</f>
        <v/>
      </c>
      <c r="C11" s="40">
        <f>Insumos!$E11</f>
        <v/>
      </c>
      <c r="D11" s="41">
        <f>'1 Inv Inicial'!$G11</f>
        <v/>
      </c>
      <c r="E11" s="69">
        <f>SUMIFS('2 Ingresos'!$I$6:$I$255,'2 Ingresos'!$B$6:$B$255,$A11,'2 Ingresos'!$C$6:$C$255,$B11)</f>
        <v/>
      </c>
      <c r="F11" s="41">
        <f>'6 Inv Final'!$G11</f>
        <v/>
      </c>
      <c r="G11" s="70">
        <f>$D11+$E11-$F11</f>
        <v/>
      </c>
      <c r="H11" s="69">
        <f>SUMIFS('7 Facturas'!$F$6:$F$255,'7 Facturas'!$D$6:$D$255,$A11,'7 Facturas'!$E$6:$E$255,$B11)</f>
        <v/>
      </c>
      <c r="I11" s="69">
        <f>$E11-$H11</f>
        <v/>
      </c>
      <c r="J11" s="69">
        <f>IFERROR(INDEX('8 Fudo Stock'!$H$6:$H$205,MATCH($A11&amp;" | "&amp;$B11,'8 Fudo Stock'!$I$6:$I$205,0)),"")</f>
        <v/>
      </c>
      <c r="K11" s="69">
        <f>IF($J11="","",$G11-$J11)</f>
        <v/>
      </c>
      <c r="L11" s="71">
        <f>IF(OR($J11="",$J11=0),"",$K11/$J11)</f>
        <v/>
      </c>
      <c r="M11" s="72">
        <f>IF(Insumos!$H11="","",Insumos!$H11)</f>
        <v/>
      </c>
      <c r="N11" s="73">
        <f>IF($M11="","",$G11*$M11)</f>
        <v/>
      </c>
      <c r="O11" s="74">
        <f>IF(OR($M11="",$K11=""),"",$K11*$M11)</f>
        <v/>
      </c>
      <c r="P11" s="75">
        <f>IF(AND('1 Inv Inicial'!$E11="",'1 Inv Inicial'!$F11=""),"Falta inventario inicial",IF(AND('6 Inv Final'!$E11="",'6 Inv Final'!$F11=""),"Falta inventario final",IF($G11&lt;0,"Consumo negativo: entro mercaderia sin registrar",IF(AND($L11&lt;&gt;"",ABS($L11)&gt;Config!$B$46),"Desvio alto vs Fudo: investigar",IF(AND($H11&gt;0,ABS($I11)/$H11&gt;Config!$B$46),"Lo recibido no coincide con la factura",IF(AND($J11="",$G11&gt;0),"Sin dato de Fudo para comparar","OK"))))))</f>
        <v/>
      </c>
      <c r="Q11" s="76">
        <f>IF($L11="","",ABS($L11)+ROW()/1000000)</f>
        <v/>
      </c>
      <c r="R11" s="76">
        <f>IF($O11="","",ABS($O11)+ROW()/1000000)</f>
        <v/>
      </c>
    </row>
    <row r="12">
      <c r="A12" s="43">
        <f>Insumos!$A12</f>
        <v/>
      </c>
      <c r="B12" s="44">
        <f>Insumos!$B12</f>
        <v/>
      </c>
      <c r="C12" s="45">
        <f>Insumos!$E12</f>
        <v/>
      </c>
      <c r="D12" s="41">
        <f>'1 Inv Inicial'!$G12</f>
        <v/>
      </c>
      <c r="E12" s="69">
        <f>SUMIFS('2 Ingresos'!$I$6:$I$255,'2 Ingresos'!$B$6:$B$255,$A12,'2 Ingresos'!$C$6:$C$255,$B12)</f>
        <v/>
      </c>
      <c r="F12" s="41">
        <f>'6 Inv Final'!$G12</f>
        <v/>
      </c>
      <c r="G12" s="70">
        <f>$D12+$E12-$F12</f>
        <v/>
      </c>
      <c r="H12" s="69">
        <f>SUMIFS('7 Facturas'!$F$6:$F$255,'7 Facturas'!$D$6:$D$255,$A12,'7 Facturas'!$E$6:$E$255,$B12)</f>
        <v/>
      </c>
      <c r="I12" s="69">
        <f>$E12-$H12</f>
        <v/>
      </c>
      <c r="J12" s="69">
        <f>IFERROR(INDEX('8 Fudo Stock'!$H$6:$H$205,MATCH($A12&amp;" | "&amp;$B12,'8 Fudo Stock'!$I$6:$I$205,0)),"")</f>
        <v/>
      </c>
      <c r="K12" s="69">
        <f>IF($J12="","",$G12-$J12)</f>
        <v/>
      </c>
      <c r="L12" s="71">
        <f>IF(OR($J12="",$J12=0),"",$K12/$J12)</f>
        <v/>
      </c>
      <c r="M12" s="72">
        <f>IF(Insumos!$H12="","",Insumos!$H12)</f>
        <v/>
      </c>
      <c r="N12" s="73">
        <f>IF($M12="","",$G12*$M12)</f>
        <v/>
      </c>
      <c r="O12" s="74">
        <f>IF(OR($M12="",$K12=""),"",$K12*$M12)</f>
        <v/>
      </c>
      <c r="P12" s="75">
        <f>IF(AND('1 Inv Inicial'!$E12="",'1 Inv Inicial'!$F12=""),"Falta inventario inicial",IF(AND('6 Inv Final'!$E12="",'6 Inv Final'!$F12=""),"Falta inventario final",IF($G12&lt;0,"Consumo negativo: entro mercaderia sin registrar",IF(AND($L12&lt;&gt;"",ABS($L12)&gt;Config!$B$46),"Desvio alto vs Fudo: investigar",IF(AND($H12&gt;0,ABS($I12)/$H12&gt;Config!$B$46),"Lo recibido no coincide con la factura",IF(AND($J12="",$G12&gt;0),"Sin dato de Fudo para comparar","OK"))))))</f>
        <v/>
      </c>
      <c r="Q12" s="76">
        <f>IF($L12="","",ABS($L12)+ROW()/1000000)</f>
        <v/>
      </c>
      <c r="R12" s="76">
        <f>IF($O12="","",ABS($O12)+ROW()/1000000)</f>
        <v/>
      </c>
    </row>
    <row r="13">
      <c r="A13" s="38">
        <f>Insumos!$A13</f>
        <v/>
      </c>
      <c r="B13" s="39">
        <f>Insumos!$B13</f>
        <v/>
      </c>
      <c r="C13" s="40">
        <f>Insumos!$E13</f>
        <v/>
      </c>
      <c r="D13" s="41">
        <f>'1 Inv Inicial'!$G13</f>
        <v/>
      </c>
      <c r="E13" s="69">
        <f>SUMIFS('2 Ingresos'!$I$6:$I$255,'2 Ingresos'!$B$6:$B$255,$A13,'2 Ingresos'!$C$6:$C$255,$B13)</f>
        <v/>
      </c>
      <c r="F13" s="41">
        <f>'6 Inv Final'!$G13</f>
        <v/>
      </c>
      <c r="G13" s="70">
        <f>$D13+$E13-$F13</f>
        <v/>
      </c>
      <c r="H13" s="69">
        <f>SUMIFS('7 Facturas'!$F$6:$F$255,'7 Facturas'!$D$6:$D$255,$A13,'7 Facturas'!$E$6:$E$255,$B13)</f>
        <v/>
      </c>
      <c r="I13" s="69">
        <f>$E13-$H13</f>
        <v/>
      </c>
      <c r="J13" s="69">
        <f>IFERROR(INDEX('8 Fudo Stock'!$H$6:$H$205,MATCH($A13&amp;" | "&amp;$B13,'8 Fudo Stock'!$I$6:$I$205,0)),"")</f>
        <v/>
      </c>
      <c r="K13" s="69">
        <f>IF($J13="","",$G13-$J13)</f>
        <v/>
      </c>
      <c r="L13" s="71">
        <f>IF(OR($J13="",$J13=0),"",$K13/$J13)</f>
        <v/>
      </c>
      <c r="M13" s="72">
        <f>IF(Insumos!$H13="","",Insumos!$H13)</f>
        <v/>
      </c>
      <c r="N13" s="73">
        <f>IF($M13="","",$G13*$M13)</f>
        <v/>
      </c>
      <c r="O13" s="74">
        <f>IF(OR($M13="",$K13=""),"",$K13*$M13)</f>
        <v/>
      </c>
      <c r="P13" s="75">
        <f>IF(AND('1 Inv Inicial'!$E13="",'1 Inv Inicial'!$F13=""),"Falta inventario inicial",IF(AND('6 Inv Final'!$E13="",'6 Inv Final'!$F13=""),"Falta inventario final",IF($G13&lt;0,"Consumo negativo: entro mercaderia sin registrar",IF(AND($L13&lt;&gt;"",ABS($L13)&gt;Config!$B$46),"Desvio alto vs Fudo: investigar",IF(AND($H13&gt;0,ABS($I13)/$H13&gt;Config!$B$46),"Lo recibido no coincide con la factura",IF(AND($J13="",$G13&gt;0),"Sin dato de Fudo para comparar","OK"))))))</f>
        <v/>
      </c>
      <c r="Q13" s="76">
        <f>IF($L13="","",ABS($L13)+ROW()/1000000)</f>
        <v/>
      </c>
      <c r="R13" s="76">
        <f>IF($O13="","",ABS($O13)+ROW()/1000000)</f>
        <v/>
      </c>
    </row>
    <row r="14">
      <c r="A14" s="43">
        <f>Insumos!$A14</f>
        <v/>
      </c>
      <c r="B14" s="44">
        <f>Insumos!$B14</f>
        <v/>
      </c>
      <c r="C14" s="45">
        <f>Insumos!$E14</f>
        <v/>
      </c>
      <c r="D14" s="41">
        <f>'1 Inv Inicial'!$G14</f>
        <v/>
      </c>
      <c r="E14" s="69">
        <f>SUMIFS('2 Ingresos'!$I$6:$I$255,'2 Ingresos'!$B$6:$B$255,$A14,'2 Ingresos'!$C$6:$C$255,$B14)</f>
        <v/>
      </c>
      <c r="F14" s="41">
        <f>'6 Inv Final'!$G14</f>
        <v/>
      </c>
      <c r="G14" s="70">
        <f>$D14+$E14-$F14</f>
        <v/>
      </c>
      <c r="H14" s="69">
        <f>SUMIFS('7 Facturas'!$F$6:$F$255,'7 Facturas'!$D$6:$D$255,$A14,'7 Facturas'!$E$6:$E$255,$B14)</f>
        <v/>
      </c>
      <c r="I14" s="69">
        <f>$E14-$H14</f>
        <v/>
      </c>
      <c r="J14" s="69">
        <f>IFERROR(INDEX('8 Fudo Stock'!$H$6:$H$205,MATCH($A14&amp;" | "&amp;$B14,'8 Fudo Stock'!$I$6:$I$205,0)),"")</f>
        <v/>
      </c>
      <c r="K14" s="69">
        <f>IF($J14="","",$G14-$J14)</f>
        <v/>
      </c>
      <c r="L14" s="71">
        <f>IF(OR($J14="",$J14=0),"",$K14/$J14)</f>
        <v/>
      </c>
      <c r="M14" s="72">
        <f>IF(Insumos!$H14="","",Insumos!$H14)</f>
        <v/>
      </c>
      <c r="N14" s="73">
        <f>IF($M14="","",$G14*$M14)</f>
        <v/>
      </c>
      <c r="O14" s="74">
        <f>IF(OR($M14="",$K14=""),"",$K14*$M14)</f>
        <v/>
      </c>
      <c r="P14" s="75">
        <f>IF(AND('1 Inv Inicial'!$E14="",'1 Inv Inicial'!$F14=""),"Falta inventario inicial",IF(AND('6 Inv Final'!$E14="",'6 Inv Final'!$F14=""),"Falta inventario final",IF($G14&lt;0,"Consumo negativo: entro mercaderia sin registrar",IF(AND($L14&lt;&gt;"",ABS($L14)&gt;Config!$B$46),"Desvio alto vs Fudo: investigar",IF(AND($H14&gt;0,ABS($I14)/$H14&gt;Config!$B$46),"Lo recibido no coincide con la factura",IF(AND($J14="",$G14&gt;0),"Sin dato de Fudo para comparar","OK"))))))</f>
        <v/>
      </c>
      <c r="Q14" s="76">
        <f>IF($L14="","",ABS($L14)+ROW()/1000000)</f>
        <v/>
      </c>
      <c r="R14" s="76">
        <f>IF($O14="","",ABS($O14)+ROW()/1000000)</f>
        <v/>
      </c>
    </row>
    <row r="15">
      <c r="A15" s="38">
        <f>Insumos!$A15</f>
        <v/>
      </c>
      <c r="B15" s="39">
        <f>Insumos!$B15</f>
        <v/>
      </c>
      <c r="C15" s="40">
        <f>Insumos!$E15</f>
        <v/>
      </c>
      <c r="D15" s="41">
        <f>'1 Inv Inicial'!$G15</f>
        <v/>
      </c>
      <c r="E15" s="69">
        <f>SUMIFS('2 Ingresos'!$I$6:$I$255,'2 Ingresos'!$B$6:$B$255,$A15,'2 Ingresos'!$C$6:$C$255,$B15)</f>
        <v/>
      </c>
      <c r="F15" s="41">
        <f>'6 Inv Final'!$G15</f>
        <v/>
      </c>
      <c r="G15" s="70">
        <f>$D15+$E15-$F15</f>
        <v/>
      </c>
      <c r="H15" s="69">
        <f>SUMIFS('7 Facturas'!$F$6:$F$255,'7 Facturas'!$D$6:$D$255,$A15,'7 Facturas'!$E$6:$E$255,$B15)</f>
        <v/>
      </c>
      <c r="I15" s="69">
        <f>$E15-$H15</f>
        <v/>
      </c>
      <c r="J15" s="69">
        <f>IFERROR(INDEX('8 Fudo Stock'!$H$6:$H$205,MATCH($A15&amp;" | "&amp;$B15,'8 Fudo Stock'!$I$6:$I$205,0)),"")</f>
        <v/>
      </c>
      <c r="K15" s="69">
        <f>IF($J15="","",$G15-$J15)</f>
        <v/>
      </c>
      <c r="L15" s="71">
        <f>IF(OR($J15="",$J15=0),"",$K15/$J15)</f>
        <v/>
      </c>
      <c r="M15" s="72">
        <f>IF(Insumos!$H15="","",Insumos!$H15)</f>
        <v/>
      </c>
      <c r="N15" s="73">
        <f>IF($M15="","",$G15*$M15)</f>
        <v/>
      </c>
      <c r="O15" s="74">
        <f>IF(OR($M15="",$K15=""),"",$K15*$M15)</f>
        <v/>
      </c>
      <c r="P15" s="75">
        <f>IF(AND('1 Inv Inicial'!$E15="",'1 Inv Inicial'!$F15=""),"Falta inventario inicial",IF(AND('6 Inv Final'!$E15="",'6 Inv Final'!$F15=""),"Falta inventario final",IF($G15&lt;0,"Consumo negativo: entro mercaderia sin registrar",IF(AND($L15&lt;&gt;"",ABS($L15)&gt;Config!$B$46),"Desvio alto vs Fudo: investigar",IF(AND($H15&gt;0,ABS($I15)/$H15&gt;Config!$B$46),"Lo recibido no coincide con la factura",IF(AND($J15="",$G15&gt;0),"Sin dato de Fudo para comparar","OK"))))))</f>
        <v/>
      </c>
      <c r="Q15" s="76">
        <f>IF($L15="","",ABS($L15)+ROW()/1000000)</f>
        <v/>
      </c>
      <c r="R15" s="76">
        <f>IF($O15="","",ABS($O15)+ROW()/1000000)</f>
        <v/>
      </c>
    </row>
    <row r="16">
      <c r="A16" s="43">
        <f>Insumos!$A16</f>
        <v/>
      </c>
      <c r="B16" s="44">
        <f>Insumos!$B16</f>
        <v/>
      </c>
      <c r="C16" s="45">
        <f>Insumos!$E16</f>
        <v/>
      </c>
      <c r="D16" s="41">
        <f>'1 Inv Inicial'!$G16</f>
        <v/>
      </c>
      <c r="E16" s="69">
        <f>SUMIFS('2 Ingresos'!$I$6:$I$255,'2 Ingresos'!$B$6:$B$255,$A16,'2 Ingresos'!$C$6:$C$255,$B16)</f>
        <v/>
      </c>
      <c r="F16" s="41">
        <f>'6 Inv Final'!$G16</f>
        <v/>
      </c>
      <c r="G16" s="70">
        <f>$D16+$E16-$F16</f>
        <v/>
      </c>
      <c r="H16" s="69">
        <f>SUMIFS('7 Facturas'!$F$6:$F$255,'7 Facturas'!$D$6:$D$255,$A16,'7 Facturas'!$E$6:$E$255,$B16)</f>
        <v/>
      </c>
      <c r="I16" s="69">
        <f>$E16-$H16</f>
        <v/>
      </c>
      <c r="J16" s="69">
        <f>IFERROR(INDEX('8 Fudo Stock'!$H$6:$H$205,MATCH($A16&amp;" | "&amp;$B16,'8 Fudo Stock'!$I$6:$I$205,0)),"")</f>
        <v/>
      </c>
      <c r="K16" s="69">
        <f>IF($J16="","",$G16-$J16)</f>
        <v/>
      </c>
      <c r="L16" s="71">
        <f>IF(OR($J16="",$J16=0),"",$K16/$J16)</f>
        <v/>
      </c>
      <c r="M16" s="72">
        <f>IF(Insumos!$H16="","",Insumos!$H16)</f>
        <v/>
      </c>
      <c r="N16" s="73">
        <f>IF($M16="","",$G16*$M16)</f>
        <v/>
      </c>
      <c r="O16" s="74">
        <f>IF(OR($M16="",$K16=""),"",$K16*$M16)</f>
        <v/>
      </c>
      <c r="P16" s="75">
        <f>IF(AND('1 Inv Inicial'!$E16="",'1 Inv Inicial'!$F16=""),"Falta inventario inicial",IF(AND('6 Inv Final'!$E16="",'6 Inv Final'!$F16=""),"Falta inventario final",IF($G16&lt;0,"Consumo negativo: entro mercaderia sin registrar",IF(AND($L16&lt;&gt;"",ABS($L16)&gt;Config!$B$46),"Desvio alto vs Fudo: investigar",IF(AND($H16&gt;0,ABS($I16)/$H16&gt;Config!$B$46),"Lo recibido no coincide con la factura",IF(AND($J16="",$G16&gt;0),"Sin dato de Fudo para comparar","OK"))))))</f>
        <v/>
      </c>
      <c r="Q16" s="76">
        <f>IF($L16="","",ABS($L16)+ROW()/1000000)</f>
        <v/>
      </c>
      <c r="R16" s="76">
        <f>IF($O16="","",ABS($O16)+ROW()/1000000)</f>
        <v/>
      </c>
    </row>
    <row r="17">
      <c r="A17" s="38">
        <f>Insumos!$A17</f>
        <v/>
      </c>
      <c r="B17" s="39">
        <f>Insumos!$B17</f>
        <v/>
      </c>
      <c r="C17" s="40">
        <f>Insumos!$E17</f>
        <v/>
      </c>
      <c r="D17" s="41">
        <f>'1 Inv Inicial'!$G17</f>
        <v/>
      </c>
      <c r="E17" s="69">
        <f>SUMIFS('2 Ingresos'!$I$6:$I$255,'2 Ingresos'!$B$6:$B$255,$A17,'2 Ingresos'!$C$6:$C$255,$B17)</f>
        <v/>
      </c>
      <c r="F17" s="41">
        <f>'6 Inv Final'!$G17</f>
        <v/>
      </c>
      <c r="G17" s="70">
        <f>$D17+$E17-$F17</f>
        <v/>
      </c>
      <c r="H17" s="69">
        <f>SUMIFS('7 Facturas'!$F$6:$F$255,'7 Facturas'!$D$6:$D$255,$A17,'7 Facturas'!$E$6:$E$255,$B17)</f>
        <v/>
      </c>
      <c r="I17" s="69">
        <f>$E17-$H17</f>
        <v/>
      </c>
      <c r="J17" s="69">
        <f>IFERROR(INDEX('8 Fudo Stock'!$H$6:$H$205,MATCH($A17&amp;" | "&amp;$B17,'8 Fudo Stock'!$I$6:$I$205,0)),"")</f>
        <v/>
      </c>
      <c r="K17" s="69">
        <f>IF($J17="","",$G17-$J17)</f>
        <v/>
      </c>
      <c r="L17" s="71">
        <f>IF(OR($J17="",$J17=0),"",$K17/$J17)</f>
        <v/>
      </c>
      <c r="M17" s="72">
        <f>IF(Insumos!$H17="","",Insumos!$H17)</f>
        <v/>
      </c>
      <c r="N17" s="73">
        <f>IF($M17="","",$G17*$M17)</f>
        <v/>
      </c>
      <c r="O17" s="74">
        <f>IF(OR($M17="",$K17=""),"",$K17*$M17)</f>
        <v/>
      </c>
      <c r="P17" s="75">
        <f>IF(AND('1 Inv Inicial'!$E17="",'1 Inv Inicial'!$F17=""),"Falta inventario inicial",IF(AND('6 Inv Final'!$E17="",'6 Inv Final'!$F17=""),"Falta inventario final",IF($G17&lt;0,"Consumo negativo: entro mercaderia sin registrar",IF(AND($L17&lt;&gt;"",ABS($L17)&gt;Config!$B$46),"Desvio alto vs Fudo: investigar",IF(AND($H17&gt;0,ABS($I17)/$H17&gt;Config!$B$46),"Lo recibido no coincide con la factura",IF(AND($J17="",$G17&gt;0),"Sin dato de Fudo para comparar","OK"))))))</f>
        <v/>
      </c>
      <c r="Q17" s="76">
        <f>IF($L17="","",ABS($L17)+ROW()/1000000)</f>
        <v/>
      </c>
      <c r="R17" s="76">
        <f>IF($O17="","",ABS($O17)+ROW()/1000000)</f>
        <v/>
      </c>
    </row>
    <row r="18">
      <c r="A18" s="43">
        <f>Insumos!$A18</f>
        <v/>
      </c>
      <c r="B18" s="44">
        <f>Insumos!$B18</f>
        <v/>
      </c>
      <c r="C18" s="45">
        <f>Insumos!$E18</f>
        <v/>
      </c>
      <c r="D18" s="41">
        <f>'1 Inv Inicial'!$G18</f>
        <v/>
      </c>
      <c r="E18" s="69">
        <f>SUMIFS('2 Ingresos'!$I$6:$I$255,'2 Ingresos'!$B$6:$B$255,$A18,'2 Ingresos'!$C$6:$C$255,$B18)</f>
        <v/>
      </c>
      <c r="F18" s="41">
        <f>'6 Inv Final'!$G18</f>
        <v/>
      </c>
      <c r="G18" s="70">
        <f>$D18+$E18-$F18</f>
        <v/>
      </c>
      <c r="H18" s="69">
        <f>SUMIFS('7 Facturas'!$F$6:$F$255,'7 Facturas'!$D$6:$D$255,$A18,'7 Facturas'!$E$6:$E$255,$B18)</f>
        <v/>
      </c>
      <c r="I18" s="69">
        <f>$E18-$H18</f>
        <v/>
      </c>
      <c r="J18" s="69">
        <f>IFERROR(INDEX('8 Fudo Stock'!$H$6:$H$205,MATCH($A18&amp;" | "&amp;$B18,'8 Fudo Stock'!$I$6:$I$205,0)),"")</f>
        <v/>
      </c>
      <c r="K18" s="69">
        <f>IF($J18="","",$G18-$J18)</f>
        <v/>
      </c>
      <c r="L18" s="71">
        <f>IF(OR($J18="",$J18=0),"",$K18/$J18)</f>
        <v/>
      </c>
      <c r="M18" s="72">
        <f>IF(Insumos!$H18="","",Insumos!$H18)</f>
        <v/>
      </c>
      <c r="N18" s="73">
        <f>IF($M18="","",$G18*$M18)</f>
        <v/>
      </c>
      <c r="O18" s="74">
        <f>IF(OR($M18="",$K18=""),"",$K18*$M18)</f>
        <v/>
      </c>
      <c r="P18" s="75">
        <f>IF(AND('1 Inv Inicial'!$E18="",'1 Inv Inicial'!$F18=""),"Falta inventario inicial",IF(AND('6 Inv Final'!$E18="",'6 Inv Final'!$F18=""),"Falta inventario final",IF($G18&lt;0,"Consumo negativo: entro mercaderia sin registrar",IF(AND($L18&lt;&gt;"",ABS($L18)&gt;Config!$B$46),"Desvio alto vs Fudo: investigar",IF(AND($H18&gt;0,ABS($I18)/$H18&gt;Config!$B$46),"Lo recibido no coincide con la factura",IF(AND($J18="",$G18&gt;0),"Sin dato de Fudo para comparar","OK"))))))</f>
        <v/>
      </c>
      <c r="Q18" s="76">
        <f>IF($L18="","",ABS($L18)+ROW()/1000000)</f>
        <v/>
      </c>
      <c r="R18" s="76">
        <f>IF($O18="","",ABS($O18)+ROW()/1000000)</f>
        <v/>
      </c>
    </row>
    <row r="19">
      <c r="A19" s="38">
        <f>Insumos!$A19</f>
        <v/>
      </c>
      <c r="B19" s="39">
        <f>Insumos!$B19</f>
        <v/>
      </c>
      <c r="C19" s="40">
        <f>Insumos!$E19</f>
        <v/>
      </c>
      <c r="D19" s="41">
        <f>'1 Inv Inicial'!$G19</f>
        <v/>
      </c>
      <c r="E19" s="69">
        <f>SUMIFS('2 Ingresos'!$I$6:$I$255,'2 Ingresos'!$B$6:$B$255,$A19,'2 Ingresos'!$C$6:$C$255,$B19)</f>
        <v/>
      </c>
      <c r="F19" s="41">
        <f>'6 Inv Final'!$G19</f>
        <v/>
      </c>
      <c r="G19" s="70">
        <f>$D19+$E19-$F19</f>
        <v/>
      </c>
      <c r="H19" s="69">
        <f>SUMIFS('7 Facturas'!$F$6:$F$255,'7 Facturas'!$D$6:$D$255,$A19,'7 Facturas'!$E$6:$E$255,$B19)</f>
        <v/>
      </c>
      <c r="I19" s="69">
        <f>$E19-$H19</f>
        <v/>
      </c>
      <c r="J19" s="69">
        <f>IFERROR(INDEX('8 Fudo Stock'!$H$6:$H$205,MATCH($A19&amp;" | "&amp;$B19,'8 Fudo Stock'!$I$6:$I$205,0)),"")</f>
        <v/>
      </c>
      <c r="K19" s="69">
        <f>IF($J19="","",$G19-$J19)</f>
        <v/>
      </c>
      <c r="L19" s="71">
        <f>IF(OR($J19="",$J19=0),"",$K19/$J19)</f>
        <v/>
      </c>
      <c r="M19" s="72">
        <f>IF(Insumos!$H19="","",Insumos!$H19)</f>
        <v/>
      </c>
      <c r="N19" s="73">
        <f>IF($M19="","",$G19*$M19)</f>
        <v/>
      </c>
      <c r="O19" s="74">
        <f>IF(OR($M19="",$K19=""),"",$K19*$M19)</f>
        <v/>
      </c>
      <c r="P19" s="75">
        <f>IF(AND('1 Inv Inicial'!$E19="",'1 Inv Inicial'!$F19=""),"Falta inventario inicial",IF(AND('6 Inv Final'!$E19="",'6 Inv Final'!$F19=""),"Falta inventario final",IF($G19&lt;0,"Consumo negativo: entro mercaderia sin registrar",IF(AND($L19&lt;&gt;"",ABS($L19)&gt;Config!$B$46),"Desvio alto vs Fudo: investigar",IF(AND($H19&gt;0,ABS($I19)/$H19&gt;Config!$B$46),"Lo recibido no coincide con la factura",IF(AND($J19="",$G19&gt;0),"Sin dato de Fudo para comparar","OK"))))))</f>
        <v/>
      </c>
      <c r="Q19" s="76">
        <f>IF($L19="","",ABS($L19)+ROW()/1000000)</f>
        <v/>
      </c>
      <c r="R19" s="76">
        <f>IF($O19="","",ABS($O19)+ROW()/1000000)</f>
        <v/>
      </c>
    </row>
    <row r="20">
      <c r="A20" s="43">
        <f>Insumos!$A20</f>
        <v/>
      </c>
      <c r="B20" s="44">
        <f>Insumos!$B20</f>
        <v/>
      </c>
      <c r="C20" s="45">
        <f>Insumos!$E20</f>
        <v/>
      </c>
      <c r="D20" s="41">
        <f>'1 Inv Inicial'!$G20</f>
        <v/>
      </c>
      <c r="E20" s="69">
        <f>SUMIFS('2 Ingresos'!$I$6:$I$255,'2 Ingresos'!$B$6:$B$255,$A20,'2 Ingresos'!$C$6:$C$255,$B20)</f>
        <v/>
      </c>
      <c r="F20" s="41">
        <f>'6 Inv Final'!$G20</f>
        <v/>
      </c>
      <c r="G20" s="70">
        <f>$D20+$E20-$F20</f>
        <v/>
      </c>
      <c r="H20" s="69">
        <f>SUMIFS('7 Facturas'!$F$6:$F$255,'7 Facturas'!$D$6:$D$255,$A20,'7 Facturas'!$E$6:$E$255,$B20)</f>
        <v/>
      </c>
      <c r="I20" s="69">
        <f>$E20-$H20</f>
        <v/>
      </c>
      <c r="J20" s="69">
        <f>IFERROR(INDEX('8 Fudo Stock'!$H$6:$H$205,MATCH($A20&amp;" | "&amp;$B20,'8 Fudo Stock'!$I$6:$I$205,0)),"")</f>
        <v/>
      </c>
      <c r="K20" s="69">
        <f>IF($J20="","",$G20-$J20)</f>
        <v/>
      </c>
      <c r="L20" s="71">
        <f>IF(OR($J20="",$J20=0),"",$K20/$J20)</f>
        <v/>
      </c>
      <c r="M20" s="72">
        <f>IF(Insumos!$H20="","",Insumos!$H20)</f>
        <v/>
      </c>
      <c r="N20" s="73">
        <f>IF($M20="","",$G20*$M20)</f>
        <v/>
      </c>
      <c r="O20" s="74">
        <f>IF(OR($M20="",$K20=""),"",$K20*$M20)</f>
        <v/>
      </c>
      <c r="P20" s="75">
        <f>IF(AND('1 Inv Inicial'!$E20="",'1 Inv Inicial'!$F20=""),"Falta inventario inicial",IF(AND('6 Inv Final'!$E20="",'6 Inv Final'!$F20=""),"Falta inventario final",IF($G20&lt;0,"Consumo negativo: entro mercaderia sin registrar",IF(AND($L20&lt;&gt;"",ABS($L20)&gt;Config!$B$46),"Desvio alto vs Fudo: investigar",IF(AND($H20&gt;0,ABS($I20)/$H20&gt;Config!$B$46),"Lo recibido no coincide con la factura",IF(AND($J20="",$G20&gt;0),"Sin dato de Fudo para comparar","OK"))))))</f>
        <v/>
      </c>
      <c r="Q20" s="76">
        <f>IF($L20="","",ABS($L20)+ROW()/1000000)</f>
        <v/>
      </c>
      <c r="R20" s="76">
        <f>IF($O20="","",ABS($O20)+ROW()/1000000)</f>
        <v/>
      </c>
    </row>
    <row r="21">
      <c r="A21" s="38">
        <f>Insumos!$A21</f>
        <v/>
      </c>
      <c r="B21" s="39">
        <f>Insumos!$B21</f>
        <v/>
      </c>
      <c r="C21" s="40">
        <f>Insumos!$E21</f>
        <v/>
      </c>
      <c r="D21" s="41">
        <f>'1 Inv Inicial'!$G21</f>
        <v/>
      </c>
      <c r="E21" s="69">
        <f>SUMIFS('2 Ingresos'!$I$6:$I$255,'2 Ingresos'!$B$6:$B$255,$A21,'2 Ingresos'!$C$6:$C$255,$B21)</f>
        <v/>
      </c>
      <c r="F21" s="41">
        <f>'6 Inv Final'!$G21</f>
        <v/>
      </c>
      <c r="G21" s="70">
        <f>$D21+$E21-$F21</f>
        <v/>
      </c>
      <c r="H21" s="69">
        <f>SUMIFS('7 Facturas'!$F$6:$F$255,'7 Facturas'!$D$6:$D$255,$A21,'7 Facturas'!$E$6:$E$255,$B21)</f>
        <v/>
      </c>
      <c r="I21" s="69">
        <f>$E21-$H21</f>
        <v/>
      </c>
      <c r="J21" s="69">
        <f>IFERROR(INDEX('8 Fudo Stock'!$H$6:$H$205,MATCH($A21&amp;" | "&amp;$B21,'8 Fudo Stock'!$I$6:$I$205,0)),"")</f>
        <v/>
      </c>
      <c r="K21" s="69">
        <f>IF($J21="","",$G21-$J21)</f>
        <v/>
      </c>
      <c r="L21" s="71">
        <f>IF(OR($J21="",$J21=0),"",$K21/$J21)</f>
        <v/>
      </c>
      <c r="M21" s="72">
        <f>IF(Insumos!$H21="","",Insumos!$H21)</f>
        <v/>
      </c>
      <c r="N21" s="73">
        <f>IF($M21="","",$G21*$M21)</f>
        <v/>
      </c>
      <c r="O21" s="74">
        <f>IF(OR($M21="",$K21=""),"",$K21*$M21)</f>
        <v/>
      </c>
      <c r="P21" s="75">
        <f>IF(AND('1 Inv Inicial'!$E21="",'1 Inv Inicial'!$F21=""),"Falta inventario inicial",IF(AND('6 Inv Final'!$E21="",'6 Inv Final'!$F21=""),"Falta inventario final",IF($G21&lt;0,"Consumo negativo: entro mercaderia sin registrar",IF(AND($L21&lt;&gt;"",ABS($L21)&gt;Config!$B$46),"Desvio alto vs Fudo: investigar",IF(AND($H21&gt;0,ABS($I21)/$H21&gt;Config!$B$46),"Lo recibido no coincide con la factura",IF(AND($J21="",$G21&gt;0),"Sin dato de Fudo para comparar","OK"))))))</f>
        <v/>
      </c>
      <c r="Q21" s="76">
        <f>IF($L21="","",ABS($L21)+ROW()/1000000)</f>
        <v/>
      </c>
      <c r="R21" s="76">
        <f>IF($O21="","",ABS($O21)+ROW()/1000000)</f>
        <v/>
      </c>
    </row>
    <row r="22">
      <c r="A22" s="43">
        <f>Insumos!$A22</f>
        <v/>
      </c>
      <c r="B22" s="44">
        <f>Insumos!$B22</f>
        <v/>
      </c>
      <c r="C22" s="45">
        <f>Insumos!$E22</f>
        <v/>
      </c>
      <c r="D22" s="41">
        <f>'1 Inv Inicial'!$G22</f>
        <v/>
      </c>
      <c r="E22" s="69">
        <f>SUMIFS('2 Ingresos'!$I$6:$I$255,'2 Ingresos'!$B$6:$B$255,$A22,'2 Ingresos'!$C$6:$C$255,$B22)</f>
        <v/>
      </c>
      <c r="F22" s="41">
        <f>'6 Inv Final'!$G22</f>
        <v/>
      </c>
      <c r="G22" s="70">
        <f>$D22+$E22-$F22</f>
        <v/>
      </c>
      <c r="H22" s="69">
        <f>SUMIFS('7 Facturas'!$F$6:$F$255,'7 Facturas'!$D$6:$D$255,$A22,'7 Facturas'!$E$6:$E$255,$B22)</f>
        <v/>
      </c>
      <c r="I22" s="69">
        <f>$E22-$H22</f>
        <v/>
      </c>
      <c r="J22" s="69">
        <f>IFERROR(INDEX('8 Fudo Stock'!$H$6:$H$205,MATCH($A22&amp;" | "&amp;$B22,'8 Fudo Stock'!$I$6:$I$205,0)),"")</f>
        <v/>
      </c>
      <c r="K22" s="69">
        <f>IF($J22="","",$G22-$J22)</f>
        <v/>
      </c>
      <c r="L22" s="71">
        <f>IF(OR($J22="",$J22=0),"",$K22/$J22)</f>
        <v/>
      </c>
      <c r="M22" s="72">
        <f>IF(Insumos!$H22="","",Insumos!$H22)</f>
        <v/>
      </c>
      <c r="N22" s="73">
        <f>IF($M22="","",$G22*$M22)</f>
        <v/>
      </c>
      <c r="O22" s="74">
        <f>IF(OR($M22="",$K22=""),"",$K22*$M22)</f>
        <v/>
      </c>
      <c r="P22" s="75">
        <f>IF(AND('1 Inv Inicial'!$E22="",'1 Inv Inicial'!$F22=""),"Falta inventario inicial",IF(AND('6 Inv Final'!$E22="",'6 Inv Final'!$F22=""),"Falta inventario final",IF($G22&lt;0,"Consumo negativo: entro mercaderia sin registrar",IF(AND($L22&lt;&gt;"",ABS($L22)&gt;Config!$B$46),"Desvio alto vs Fudo: investigar",IF(AND($H22&gt;0,ABS($I22)/$H22&gt;Config!$B$46),"Lo recibido no coincide con la factura",IF(AND($J22="",$G22&gt;0),"Sin dato de Fudo para comparar","OK"))))))</f>
        <v/>
      </c>
      <c r="Q22" s="76">
        <f>IF($L22="","",ABS($L22)+ROW()/1000000)</f>
        <v/>
      </c>
      <c r="R22" s="76">
        <f>IF($O22="","",ABS($O22)+ROW()/1000000)</f>
        <v/>
      </c>
    </row>
    <row r="23">
      <c r="A23" s="38">
        <f>Insumos!$A23</f>
        <v/>
      </c>
      <c r="B23" s="39">
        <f>Insumos!$B23</f>
        <v/>
      </c>
      <c r="C23" s="40">
        <f>Insumos!$E23</f>
        <v/>
      </c>
      <c r="D23" s="41">
        <f>'1 Inv Inicial'!$G23</f>
        <v/>
      </c>
      <c r="E23" s="69">
        <f>SUMIFS('2 Ingresos'!$I$6:$I$255,'2 Ingresos'!$B$6:$B$255,$A23,'2 Ingresos'!$C$6:$C$255,$B23)</f>
        <v/>
      </c>
      <c r="F23" s="41">
        <f>'6 Inv Final'!$G23</f>
        <v/>
      </c>
      <c r="G23" s="70">
        <f>$D23+$E23-$F23</f>
        <v/>
      </c>
      <c r="H23" s="69">
        <f>SUMIFS('7 Facturas'!$F$6:$F$255,'7 Facturas'!$D$6:$D$255,$A23,'7 Facturas'!$E$6:$E$255,$B23)</f>
        <v/>
      </c>
      <c r="I23" s="69">
        <f>$E23-$H23</f>
        <v/>
      </c>
      <c r="J23" s="69">
        <f>IFERROR(INDEX('8 Fudo Stock'!$H$6:$H$205,MATCH($A23&amp;" | "&amp;$B23,'8 Fudo Stock'!$I$6:$I$205,0)),"")</f>
        <v/>
      </c>
      <c r="K23" s="69">
        <f>IF($J23="","",$G23-$J23)</f>
        <v/>
      </c>
      <c r="L23" s="71">
        <f>IF(OR($J23="",$J23=0),"",$K23/$J23)</f>
        <v/>
      </c>
      <c r="M23" s="72">
        <f>IF(Insumos!$H23="","",Insumos!$H23)</f>
        <v/>
      </c>
      <c r="N23" s="73">
        <f>IF($M23="","",$G23*$M23)</f>
        <v/>
      </c>
      <c r="O23" s="74">
        <f>IF(OR($M23="",$K23=""),"",$K23*$M23)</f>
        <v/>
      </c>
      <c r="P23" s="75">
        <f>IF(AND('1 Inv Inicial'!$E23="",'1 Inv Inicial'!$F23=""),"Falta inventario inicial",IF(AND('6 Inv Final'!$E23="",'6 Inv Final'!$F23=""),"Falta inventario final",IF($G23&lt;0,"Consumo negativo: entro mercaderia sin registrar",IF(AND($L23&lt;&gt;"",ABS($L23)&gt;Config!$B$46),"Desvio alto vs Fudo: investigar",IF(AND($H23&gt;0,ABS($I23)/$H23&gt;Config!$B$46),"Lo recibido no coincide con la factura",IF(AND($J23="",$G23&gt;0),"Sin dato de Fudo para comparar","OK"))))))</f>
        <v/>
      </c>
      <c r="Q23" s="76">
        <f>IF($L23="","",ABS($L23)+ROW()/1000000)</f>
        <v/>
      </c>
      <c r="R23" s="76">
        <f>IF($O23="","",ABS($O23)+ROW()/1000000)</f>
        <v/>
      </c>
    </row>
    <row r="24">
      <c r="A24" s="43">
        <f>Insumos!$A24</f>
        <v/>
      </c>
      <c r="B24" s="44">
        <f>Insumos!$B24</f>
        <v/>
      </c>
      <c r="C24" s="45">
        <f>Insumos!$E24</f>
        <v/>
      </c>
      <c r="D24" s="41">
        <f>'1 Inv Inicial'!$G24</f>
        <v/>
      </c>
      <c r="E24" s="69">
        <f>SUMIFS('2 Ingresos'!$I$6:$I$255,'2 Ingresos'!$B$6:$B$255,$A24,'2 Ingresos'!$C$6:$C$255,$B24)</f>
        <v/>
      </c>
      <c r="F24" s="41">
        <f>'6 Inv Final'!$G24</f>
        <v/>
      </c>
      <c r="G24" s="70">
        <f>$D24+$E24-$F24</f>
        <v/>
      </c>
      <c r="H24" s="69">
        <f>SUMIFS('7 Facturas'!$F$6:$F$255,'7 Facturas'!$D$6:$D$255,$A24,'7 Facturas'!$E$6:$E$255,$B24)</f>
        <v/>
      </c>
      <c r="I24" s="69">
        <f>$E24-$H24</f>
        <v/>
      </c>
      <c r="J24" s="69">
        <f>IFERROR(INDEX('8 Fudo Stock'!$H$6:$H$205,MATCH($A24&amp;" | "&amp;$B24,'8 Fudo Stock'!$I$6:$I$205,0)),"")</f>
        <v/>
      </c>
      <c r="K24" s="69">
        <f>IF($J24="","",$G24-$J24)</f>
        <v/>
      </c>
      <c r="L24" s="71">
        <f>IF(OR($J24="",$J24=0),"",$K24/$J24)</f>
        <v/>
      </c>
      <c r="M24" s="72">
        <f>IF(Insumos!$H24="","",Insumos!$H24)</f>
        <v/>
      </c>
      <c r="N24" s="73">
        <f>IF($M24="","",$G24*$M24)</f>
        <v/>
      </c>
      <c r="O24" s="74">
        <f>IF(OR($M24="",$K24=""),"",$K24*$M24)</f>
        <v/>
      </c>
      <c r="P24" s="75">
        <f>IF(AND('1 Inv Inicial'!$E24="",'1 Inv Inicial'!$F24=""),"Falta inventario inicial",IF(AND('6 Inv Final'!$E24="",'6 Inv Final'!$F24=""),"Falta inventario final",IF($G24&lt;0,"Consumo negativo: entro mercaderia sin registrar",IF(AND($L24&lt;&gt;"",ABS($L24)&gt;Config!$B$46),"Desvio alto vs Fudo: investigar",IF(AND($H24&gt;0,ABS($I24)/$H24&gt;Config!$B$46),"Lo recibido no coincide con la factura",IF(AND($J24="",$G24&gt;0),"Sin dato de Fudo para comparar","OK"))))))</f>
        <v/>
      </c>
      <c r="Q24" s="76">
        <f>IF($L24="","",ABS($L24)+ROW()/1000000)</f>
        <v/>
      </c>
      <c r="R24" s="76">
        <f>IF($O24="","",ABS($O24)+ROW()/1000000)</f>
        <v/>
      </c>
    </row>
    <row r="25">
      <c r="A25" s="38">
        <f>Insumos!$A25</f>
        <v/>
      </c>
      <c r="B25" s="39">
        <f>Insumos!$B25</f>
        <v/>
      </c>
      <c r="C25" s="40">
        <f>Insumos!$E25</f>
        <v/>
      </c>
      <c r="D25" s="41">
        <f>'1 Inv Inicial'!$G25</f>
        <v/>
      </c>
      <c r="E25" s="69">
        <f>SUMIFS('2 Ingresos'!$I$6:$I$255,'2 Ingresos'!$B$6:$B$255,$A25,'2 Ingresos'!$C$6:$C$255,$B25)</f>
        <v/>
      </c>
      <c r="F25" s="41">
        <f>'6 Inv Final'!$G25</f>
        <v/>
      </c>
      <c r="G25" s="70">
        <f>$D25+$E25-$F25</f>
        <v/>
      </c>
      <c r="H25" s="69">
        <f>SUMIFS('7 Facturas'!$F$6:$F$255,'7 Facturas'!$D$6:$D$255,$A25,'7 Facturas'!$E$6:$E$255,$B25)</f>
        <v/>
      </c>
      <c r="I25" s="69">
        <f>$E25-$H25</f>
        <v/>
      </c>
      <c r="J25" s="69">
        <f>IFERROR(INDEX('8 Fudo Stock'!$H$6:$H$205,MATCH($A25&amp;" | "&amp;$B25,'8 Fudo Stock'!$I$6:$I$205,0)),"")</f>
        <v/>
      </c>
      <c r="K25" s="69">
        <f>IF($J25="","",$G25-$J25)</f>
        <v/>
      </c>
      <c r="L25" s="71">
        <f>IF(OR($J25="",$J25=0),"",$K25/$J25)</f>
        <v/>
      </c>
      <c r="M25" s="72">
        <f>IF(Insumos!$H25="","",Insumos!$H25)</f>
        <v/>
      </c>
      <c r="N25" s="73">
        <f>IF($M25="","",$G25*$M25)</f>
        <v/>
      </c>
      <c r="O25" s="74">
        <f>IF(OR($M25="",$K25=""),"",$K25*$M25)</f>
        <v/>
      </c>
      <c r="P25" s="75">
        <f>IF(AND('1 Inv Inicial'!$E25="",'1 Inv Inicial'!$F25=""),"Falta inventario inicial",IF(AND('6 Inv Final'!$E25="",'6 Inv Final'!$F25=""),"Falta inventario final",IF($G25&lt;0,"Consumo negativo: entro mercaderia sin registrar",IF(AND($L25&lt;&gt;"",ABS($L25)&gt;Config!$B$46),"Desvio alto vs Fudo: investigar",IF(AND($H25&gt;0,ABS($I25)/$H25&gt;Config!$B$46),"Lo recibido no coincide con la factura",IF(AND($J25="",$G25&gt;0),"Sin dato de Fudo para comparar","OK"))))))</f>
        <v/>
      </c>
      <c r="Q25" s="76">
        <f>IF($L25="","",ABS($L25)+ROW()/1000000)</f>
        <v/>
      </c>
      <c r="R25" s="76">
        <f>IF($O25="","",ABS($O25)+ROW()/1000000)</f>
        <v/>
      </c>
    </row>
    <row r="26">
      <c r="A26" s="43">
        <f>Insumos!$A26</f>
        <v/>
      </c>
      <c r="B26" s="44">
        <f>Insumos!$B26</f>
        <v/>
      </c>
      <c r="C26" s="45">
        <f>Insumos!$E26</f>
        <v/>
      </c>
      <c r="D26" s="41">
        <f>'1 Inv Inicial'!$G26</f>
        <v/>
      </c>
      <c r="E26" s="69">
        <f>SUMIFS('2 Ingresos'!$I$6:$I$255,'2 Ingresos'!$B$6:$B$255,$A26,'2 Ingresos'!$C$6:$C$255,$B26)</f>
        <v/>
      </c>
      <c r="F26" s="41">
        <f>'6 Inv Final'!$G26</f>
        <v/>
      </c>
      <c r="G26" s="70">
        <f>$D26+$E26-$F26</f>
        <v/>
      </c>
      <c r="H26" s="69">
        <f>SUMIFS('7 Facturas'!$F$6:$F$255,'7 Facturas'!$D$6:$D$255,$A26,'7 Facturas'!$E$6:$E$255,$B26)</f>
        <v/>
      </c>
      <c r="I26" s="69">
        <f>$E26-$H26</f>
        <v/>
      </c>
      <c r="J26" s="69">
        <f>IFERROR(INDEX('8 Fudo Stock'!$H$6:$H$205,MATCH($A26&amp;" | "&amp;$B26,'8 Fudo Stock'!$I$6:$I$205,0)),"")</f>
        <v/>
      </c>
      <c r="K26" s="69">
        <f>IF($J26="","",$G26-$J26)</f>
        <v/>
      </c>
      <c r="L26" s="71">
        <f>IF(OR($J26="",$J26=0),"",$K26/$J26)</f>
        <v/>
      </c>
      <c r="M26" s="72">
        <f>IF(Insumos!$H26="","",Insumos!$H26)</f>
        <v/>
      </c>
      <c r="N26" s="73">
        <f>IF($M26="","",$G26*$M26)</f>
        <v/>
      </c>
      <c r="O26" s="74">
        <f>IF(OR($M26="",$K26=""),"",$K26*$M26)</f>
        <v/>
      </c>
      <c r="P26" s="75">
        <f>IF(AND('1 Inv Inicial'!$E26="",'1 Inv Inicial'!$F26=""),"Falta inventario inicial",IF(AND('6 Inv Final'!$E26="",'6 Inv Final'!$F26=""),"Falta inventario final",IF($G26&lt;0,"Consumo negativo: entro mercaderia sin registrar",IF(AND($L26&lt;&gt;"",ABS($L26)&gt;Config!$B$46),"Desvio alto vs Fudo: investigar",IF(AND($H26&gt;0,ABS($I26)/$H26&gt;Config!$B$46),"Lo recibido no coincide con la factura",IF(AND($J26="",$G26&gt;0),"Sin dato de Fudo para comparar","OK"))))))</f>
        <v/>
      </c>
      <c r="Q26" s="76">
        <f>IF($L26="","",ABS($L26)+ROW()/1000000)</f>
        <v/>
      </c>
      <c r="R26" s="76">
        <f>IF($O26="","",ABS($O26)+ROW()/1000000)</f>
        <v/>
      </c>
    </row>
    <row r="27">
      <c r="A27" s="38">
        <f>Insumos!$A27</f>
        <v/>
      </c>
      <c r="B27" s="39">
        <f>Insumos!$B27</f>
        <v/>
      </c>
      <c r="C27" s="40">
        <f>Insumos!$E27</f>
        <v/>
      </c>
      <c r="D27" s="41">
        <f>'1 Inv Inicial'!$G27</f>
        <v/>
      </c>
      <c r="E27" s="69">
        <f>SUMIFS('2 Ingresos'!$I$6:$I$255,'2 Ingresos'!$B$6:$B$255,$A27,'2 Ingresos'!$C$6:$C$255,$B27)</f>
        <v/>
      </c>
      <c r="F27" s="41">
        <f>'6 Inv Final'!$G27</f>
        <v/>
      </c>
      <c r="G27" s="70">
        <f>$D27+$E27-$F27</f>
        <v/>
      </c>
      <c r="H27" s="69">
        <f>SUMIFS('7 Facturas'!$F$6:$F$255,'7 Facturas'!$D$6:$D$255,$A27,'7 Facturas'!$E$6:$E$255,$B27)</f>
        <v/>
      </c>
      <c r="I27" s="69">
        <f>$E27-$H27</f>
        <v/>
      </c>
      <c r="J27" s="69">
        <f>IFERROR(INDEX('8 Fudo Stock'!$H$6:$H$205,MATCH($A27&amp;" | "&amp;$B27,'8 Fudo Stock'!$I$6:$I$205,0)),"")</f>
        <v/>
      </c>
      <c r="K27" s="69">
        <f>IF($J27="","",$G27-$J27)</f>
        <v/>
      </c>
      <c r="L27" s="71">
        <f>IF(OR($J27="",$J27=0),"",$K27/$J27)</f>
        <v/>
      </c>
      <c r="M27" s="72">
        <f>IF(Insumos!$H27="","",Insumos!$H27)</f>
        <v/>
      </c>
      <c r="N27" s="73">
        <f>IF($M27="","",$G27*$M27)</f>
        <v/>
      </c>
      <c r="O27" s="74">
        <f>IF(OR($M27="",$K27=""),"",$K27*$M27)</f>
        <v/>
      </c>
      <c r="P27" s="75">
        <f>IF(AND('1 Inv Inicial'!$E27="",'1 Inv Inicial'!$F27=""),"Falta inventario inicial",IF(AND('6 Inv Final'!$E27="",'6 Inv Final'!$F27=""),"Falta inventario final",IF($G27&lt;0,"Consumo negativo: entro mercaderia sin registrar",IF(AND($L27&lt;&gt;"",ABS($L27)&gt;Config!$B$46),"Desvio alto vs Fudo: investigar",IF(AND($H27&gt;0,ABS($I27)/$H27&gt;Config!$B$46),"Lo recibido no coincide con la factura",IF(AND($J27="",$G27&gt;0),"Sin dato de Fudo para comparar","OK"))))))</f>
        <v/>
      </c>
      <c r="Q27" s="76">
        <f>IF($L27="","",ABS($L27)+ROW()/1000000)</f>
        <v/>
      </c>
      <c r="R27" s="76">
        <f>IF($O27="","",ABS($O27)+ROW()/1000000)</f>
        <v/>
      </c>
    </row>
    <row r="28">
      <c r="A28" s="43">
        <f>Insumos!$A28</f>
        <v/>
      </c>
      <c r="B28" s="44">
        <f>Insumos!$B28</f>
        <v/>
      </c>
      <c r="C28" s="45">
        <f>Insumos!$E28</f>
        <v/>
      </c>
      <c r="D28" s="41">
        <f>'1 Inv Inicial'!$G28</f>
        <v/>
      </c>
      <c r="E28" s="69">
        <f>SUMIFS('2 Ingresos'!$I$6:$I$255,'2 Ingresos'!$B$6:$B$255,$A28,'2 Ingresos'!$C$6:$C$255,$B28)</f>
        <v/>
      </c>
      <c r="F28" s="41">
        <f>'6 Inv Final'!$G28</f>
        <v/>
      </c>
      <c r="G28" s="70">
        <f>$D28+$E28-$F28</f>
        <v/>
      </c>
      <c r="H28" s="69">
        <f>SUMIFS('7 Facturas'!$F$6:$F$255,'7 Facturas'!$D$6:$D$255,$A28,'7 Facturas'!$E$6:$E$255,$B28)</f>
        <v/>
      </c>
      <c r="I28" s="69">
        <f>$E28-$H28</f>
        <v/>
      </c>
      <c r="J28" s="69">
        <f>IFERROR(INDEX('8 Fudo Stock'!$H$6:$H$205,MATCH($A28&amp;" | "&amp;$B28,'8 Fudo Stock'!$I$6:$I$205,0)),"")</f>
        <v/>
      </c>
      <c r="K28" s="69">
        <f>IF($J28="","",$G28-$J28)</f>
        <v/>
      </c>
      <c r="L28" s="71">
        <f>IF(OR($J28="",$J28=0),"",$K28/$J28)</f>
        <v/>
      </c>
      <c r="M28" s="72">
        <f>IF(Insumos!$H28="","",Insumos!$H28)</f>
        <v/>
      </c>
      <c r="N28" s="73">
        <f>IF($M28="","",$G28*$M28)</f>
        <v/>
      </c>
      <c r="O28" s="74">
        <f>IF(OR($M28="",$K28=""),"",$K28*$M28)</f>
        <v/>
      </c>
      <c r="P28" s="75">
        <f>IF(AND('1 Inv Inicial'!$E28="",'1 Inv Inicial'!$F28=""),"Falta inventario inicial",IF(AND('6 Inv Final'!$E28="",'6 Inv Final'!$F28=""),"Falta inventario final",IF($G28&lt;0,"Consumo negativo: entro mercaderia sin registrar",IF(AND($L28&lt;&gt;"",ABS($L28)&gt;Config!$B$46),"Desvio alto vs Fudo: investigar",IF(AND($H28&gt;0,ABS($I28)/$H28&gt;Config!$B$46),"Lo recibido no coincide con la factura",IF(AND($J28="",$G28&gt;0),"Sin dato de Fudo para comparar","OK"))))))</f>
        <v/>
      </c>
      <c r="Q28" s="76">
        <f>IF($L28="","",ABS($L28)+ROW()/1000000)</f>
        <v/>
      </c>
      <c r="R28" s="76">
        <f>IF($O28="","",ABS($O28)+ROW()/1000000)</f>
        <v/>
      </c>
    </row>
    <row r="29">
      <c r="A29" s="38">
        <f>Insumos!$A29</f>
        <v/>
      </c>
      <c r="B29" s="39">
        <f>Insumos!$B29</f>
        <v/>
      </c>
      <c r="C29" s="40">
        <f>Insumos!$E29</f>
        <v/>
      </c>
      <c r="D29" s="41">
        <f>'1 Inv Inicial'!$G29</f>
        <v/>
      </c>
      <c r="E29" s="69">
        <f>SUMIFS('2 Ingresos'!$I$6:$I$255,'2 Ingresos'!$B$6:$B$255,$A29,'2 Ingresos'!$C$6:$C$255,$B29)</f>
        <v/>
      </c>
      <c r="F29" s="41">
        <f>'6 Inv Final'!$G29</f>
        <v/>
      </c>
      <c r="G29" s="70">
        <f>$D29+$E29-$F29</f>
        <v/>
      </c>
      <c r="H29" s="69">
        <f>SUMIFS('7 Facturas'!$F$6:$F$255,'7 Facturas'!$D$6:$D$255,$A29,'7 Facturas'!$E$6:$E$255,$B29)</f>
        <v/>
      </c>
      <c r="I29" s="69">
        <f>$E29-$H29</f>
        <v/>
      </c>
      <c r="J29" s="69">
        <f>IFERROR(INDEX('8 Fudo Stock'!$H$6:$H$205,MATCH($A29&amp;" | "&amp;$B29,'8 Fudo Stock'!$I$6:$I$205,0)),"")</f>
        <v/>
      </c>
      <c r="K29" s="69">
        <f>IF($J29="","",$G29-$J29)</f>
        <v/>
      </c>
      <c r="L29" s="71">
        <f>IF(OR($J29="",$J29=0),"",$K29/$J29)</f>
        <v/>
      </c>
      <c r="M29" s="72">
        <f>IF(Insumos!$H29="","",Insumos!$H29)</f>
        <v/>
      </c>
      <c r="N29" s="73">
        <f>IF($M29="","",$G29*$M29)</f>
        <v/>
      </c>
      <c r="O29" s="74">
        <f>IF(OR($M29="",$K29=""),"",$K29*$M29)</f>
        <v/>
      </c>
      <c r="P29" s="75">
        <f>IF(AND('1 Inv Inicial'!$E29="",'1 Inv Inicial'!$F29=""),"Falta inventario inicial",IF(AND('6 Inv Final'!$E29="",'6 Inv Final'!$F29=""),"Falta inventario final",IF($G29&lt;0,"Consumo negativo: entro mercaderia sin registrar",IF(AND($L29&lt;&gt;"",ABS($L29)&gt;Config!$B$46),"Desvio alto vs Fudo: investigar",IF(AND($H29&gt;0,ABS($I29)/$H29&gt;Config!$B$46),"Lo recibido no coincide con la factura",IF(AND($J29="",$G29&gt;0),"Sin dato de Fudo para comparar","OK"))))))</f>
        <v/>
      </c>
      <c r="Q29" s="76">
        <f>IF($L29="","",ABS($L29)+ROW()/1000000)</f>
        <v/>
      </c>
      <c r="R29" s="76">
        <f>IF($O29="","",ABS($O29)+ROW()/1000000)</f>
        <v/>
      </c>
    </row>
    <row r="30">
      <c r="A30" s="43">
        <f>Insumos!$A30</f>
        <v/>
      </c>
      <c r="B30" s="44">
        <f>Insumos!$B30</f>
        <v/>
      </c>
      <c r="C30" s="45">
        <f>Insumos!$E30</f>
        <v/>
      </c>
      <c r="D30" s="41">
        <f>'1 Inv Inicial'!$G30</f>
        <v/>
      </c>
      <c r="E30" s="69">
        <f>SUMIFS('2 Ingresos'!$I$6:$I$255,'2 Ingresos'!$B$6:$B$255,$A30,'2 Ingresos'!$C$6:$C$255,$B30)</f>
        <v/>
      </c>
      <c r="F30" s="41">
        <f>'6 Inv Final'!$G30</f>
        <v/>
      </c>
      <c r="G30" s="70">
        <f>$D30+$E30-$F30</f>
        <v/>
      </c>
      <c r="H30" s="69">
        <f>SUMIFS('7 Facturas'!$F$6:$F$255,'7 Facturas'!$D$6:$D$255,$A30,'7 Facturas'!$E$6:$E$255,$B30)</f>
        <v/>
      </c>
      <c r="I30" s="69">
        <f>$E30-$H30</f>
        <v/>
      </c>
      <c r="J30" s="69">
        <f>IFERROR(INDEX('8 Fudo Stock'!$H$6:$H$205,MATCH($A30&amp;" | "&amp;$B30,'8 Fudo Stock'!$I$6:$I$205,0)),"")</f>
        <v/>
      </c>
      <c r="K30" s="69">
        <f>IF($J30="","",$G30-$J30)</f>
        <v/>
      </c>
      <c r="L30" s="71">
        <f>IF(OR($J30="",$J30=0),"",$K30/$J30)</f>
        <v/>
      </c>
      <c r="M30" s="72">
        <f>IF(Insumos!$H30="","",Insumos!$H30)</f>
        <v/>
      </c>
      <c r="N30" s="73">
        <f>IF($M30="","",$G30*$M30)</f>
        <v/>
      </c>
      <c r="O30" s="74">
        <f>IF(OR($M30="",$K30=""),"",$K30*$M30)</f>
        <v/>
      </c>
      <c r="P30" s="75">
        <f>IF(AND('1 Inv Inicial'!$E30="",'1 Inv Inicial'!$F30=""),"Falta inventario inicial",IF(AND('6 Inv Final'!$E30="",'6 Inv Final'!$F30=""),"Falta inventario final",IF($G30&lt;0,"Consumo negativo: entro mercaderia sin registrar",IF(AND($L30&lt;&gt;"",ABS($L30)&gt;Config!$B$46),"Desvio alto vs Fudo: investigar",IF(AND($H30&gt;0,ABS($I30)/$H30&gt;Config!$B$46),"Lo recibido no coincide con la factura",IF(AND($J30="",$G30&gt;0),"Sin dato de Fudo para comparar","OK"))))))</f>
        <v/>
      </c>
      <c r="Q30" s="76">
        <f>IF($L30="","",ABS($L30)+ROW()/1000000)</f>
        <v/>
      </c>
      <c r="R30" s="76">
        <f>IF($O30="","",ABS($O30)+ROW()/1000000)</f>
        <v/>
      </c>
    </row>
    <row r="31">
      <c r="A31" s="38">
        <f>Insumos!$A31</f>
        <v/>
      </c>
      <c r="B31" s="39">
        <f>Insumos!$B31</f>
        <v/>
      </c>
      <c r="C31" s="40">
        <f>Insumos!$E31</f>
        <v/>
      </c>
      <c r="D31" s="41">
        <f>'1 Inv Inicial'!$G31</f>
        <v/>
      </c>
      <c r="E31" s="69">
        <f>SUMIFS('2 Ingresos'!$I$6:$I$255,'2 Ingresos'!$B$6:$B$255,$A31,'2 Ingresos'!$C$6:$C$255,$B31)</f>
        <v/>
      </c>
      <c r="F31" s="41">
        <f>'6 Inv Final'!$G31</f>
        <v/>
      </c>
      <c r="G31" s="70">
        <f>$D31+$E31-$F31</f>
        <v/>
      </c>
      <c r="H31" s="69">
        <f>SUMIFS('7 Facturas'!$F$6:$F$255,'7 Facturas'!$D$6:$D$255,$A31,'7 Facturas'!$E$6:$E$255,$B31)</f>
        <v/>
      </c>
      <c r="I31" s="69">
        <f>$E31-$H31</f>
        <v/>
      </c>
      <c r="J31" s="69">
        <f>IFERROR(INDEX('8 Fudo Stock'!$H$6:$H$205,MATCH($A31&amp;" | "&amp;$B31,'8 Fudo Stock'!$I$6:$I$205,0)),"")</f>
        <v/>
      </c>
      <c r="K31" s="69">
        <f>IF($J31="","",$G31-$J31)</f>
        <v/>
      </c>
      <c r="L31" s="71">
        <f>IF(OR($J31="",$J31=0),"",$K31/$J31)</f>
        <v/>
      </c>
      <c r="M31" s="72">
        <f>IF(Insumos!$H31="","",Insumos!$H31)</f>
        <v/>
      </c>
      <c r="N31" s="73">
        <f>IF($M31="","",$G31*$M31)</f>
        <v/>
      </c>
      <c r="O31" s="74">
        <f>IF(OR($M31="",$K31=""),"",$K31*$M31)</f>
        <v/>
      </c>
      <c r="P31" s="75">
        <f>IF(AND('1 Inv Inicial'!$E31="",'1 Inv Inicial'!$F31=""),"Falta inventario inicial",IF(AND('6 Inv Final'!$E31="",'6 Inv Final'!$F31=""),"Falta inventario final",IF($G31&lt;0,"Consumo negativo: entro mercaderia sin registrar",IF(AND($L31&lt;&gt;"",ABS($L31)&gt;Config!$B$46),"Desvio alto vs Fudo: investigar",IF(AND($H31&gt;0,ABS($I31)/$H31&gt;Config!$B$46),"Lo recibido no coincide con la factura",IF(AND($J31="",$G31&gt;0),"Sin dato de Fudo para comparar","OK"))))))</f>
        <v/>
      </c>
      <c r="Q31" s="76">
        <f>IF($L31="","",ABS($L31)+ROW()/1000000)</f>
        <v/>
      </c>
      <c r="R31" s="76">
        <f>IF($O31="","",ABS($O31)+ROW()/1000000)</f>
        <v/>
      </c>
    </row>
    <row r="32">
      <c r="A32" s="43">
        <f>Insumos!$A32</f>
        <v/>
      </c>
      <c r="B32" s="44">
        <f>Insumos!$B32</f>
        <v/>
      </c>
      <c r="C32" s="45">
        <f>Insumos!$E32</f>
        <v/>
      </c>
      <c r="D32" s="41">
        <f>'1 Inv Inicial'!$G32</f>
        <v/>
      </c>
      <c r="E32" s="69">
        <f>SUMIFS('2 Ingresos'!$I$6:$I$255,'2 Ingresos'!$B$6:$B$255,$A32,'2 Ingresos'!$C$6:$C$255,$B32)</f>
        <v/>
      </c>
      <c r="F32" s="41">
        <f>'6 Inv Final'!$G32</f>
        <v/>
      </c>
      <c r="G32" s="70">
        <f>$D32+$E32-$F32</f>
        <v/>
      </c>
      <c r="H32" s="69">
        <f>SUMIFS('7 Facturas'!$F$6:$F$255,'7 Facturas'!$D$6:$D$255,$A32,'7 Facturas'!$E$6:$E$255,$B32)</f>
        <v/>
      </c>
      <c r="I32" s="69">
        <f>$E32-$H32</f>
        <v/>
      </c>
      <c r="J32" s="69">
        <f>IFERROR(INDEX('8 Fudo Stock'!$H$6:$H$205,MATCH($A32&amp;" | "&amp;$B32,'8 Fudo Stock'!$I$6:$I$205,0)),"")</f>
        <v/>
      </c>
      <c r="K32" s="69">
        <f>IF($J32="","",$G32-$J32)</f>
        <v/>
      </c>
      <c r="L32" s="71">
        <f>IF(OR($J32="",$J32=0),"",$K32/$J32)</f>
        <v/>
      </c>
      <c r="M32" s="72">
        <f>IF(Insumos!$H32="","",Insumos!$H32)</f>
        <v/>
      </c>
      <c r="N32" s="73">
        <f>IF($M32="","",$G32*$M32)</f>
        <v/>
      </c>
      <c r="O32" s="74">
        <f>IF(OR($M32="",$K32=""),"",$K32*$M32)</f>
        <v/>
      </c>
      <c r="P32" s="75">
        <f>IF(AND('1 Inv Inicial'!$E32="",'1 Inv Inicial'!$F32=""),"Falta inventario inicial",IF(AND('6 Inv Final'!$E32="",'6 Inv Final'!$F32=""),"Falta inventario final",IF($G32&lt;0,"Consumo negativo: entro mercaderia sin registrar",IF(AND($L32&lt;&gt;"",ABS($L32)&gt;Config!$B$46),"Desvio alto vs Fudo: investigar",IF(AND($H32&gt;0,ABS($I32)/$H32&gt;Config!$B$46),"Lo recibido no coincide con la factura",IF(AND($J32="",$G32&gt;0),"Sin dato de Fudo para comparar","OK"))))))</f>
        <v/>
      </c>
      <c r="Q32" s="76">
        <f>IF($L32="","",ABS($L32)+ROW()/1000000)</f>
        <v/>
      </c>
      <c r="R32" s="76">
        <f>IF($O32="","",ABS($O32)+ROW()/1000000)</f>
        <v/>
      </c>
    </row>
    <row r="33">
      <c r="A33" s="38">
        <f>Insumos!$A33</f>
        <v/>
      </c>
      <c r="B33" s="39">
        <f>Insumos!$B33</f>
        <v/>
      </c>
      <c r="C33" s="40">
        <f>Insumos!$E33</f>
        <v/>
      </c>
      <c r="D33" s="41">
        <f>'1 Inv Inicial'!$G33</f>
        <v/>
      </c>
      <c r="E33" s="69">
        <f>SUMIFS('2 Ingresos'!$I$6:$I$255,'2 Ingresos'!$B$6:$B$255,$A33,'2 Ingresos'!$C$6:$C$255,$B33)</f>
        <v/>
      </c>
      <c r="F33" s="41">
        <f>'6 Inv Final'!$G33</f>
        <v/>
      </c>
      <c r="G33" s="70">
        <f>$D33+$E33-$F33</f>
        <v/>
      </c>
      <c r="H33" s="69">
        <f>SUMIFS('7 Facturas'!$F$6:$F$255,'7 Facturas'!$D$6:$D$255,$A33,'7 Facturas'!$E$6:$E$255,$B33)</f>
        <v/>
      </c>
      <c r="I33" s="69">
        <f>$E33-$H33</f>
        <v/>
      </c>
      <c r="J33" s="69">
        <f>IFERROR(INDEX('8 Fudo Stock'!$H$6:$H$205,MATCH($A33&amp;" | "&amp;$B33,'8 Fudo Stock'!$I$6:$I$205,0)),"")</f>
        <v/>
      </c>
      <c r="K33" s="69">
        <f>IF($J33="","",$G33-$J33)</f>
        <v/>
      </c>
      <c r="L33" s="71">
        <f>IF(OR($J33="",$J33=0),"",$K33/$J33)</f>
        <v/>
      </c>
      <c r="M33" s="72">
        <f>IF(Insumos!$H33="","",Insumos!$H33)</f>
        <v/>
      </c>
      <c r="N33" s="73">
        <f>IF($M33="","",$G33*$M33)</f>
        <v/>
      </c>
      <c r="O33" s="74">
        <f>IF(OR($M33="",$K33=""),"",$K33*$M33)</f>
        <v/>
      </c>
      <c r="P33" s="75">
        <f>IF(AND('1 Inv Inicial'!$E33="",'1 Inv Inicial'!$F33=""),"Falta inventario inicial",IF(AND('6 Inv Final'!$E33="",'6 Inv Final'!$F33=""),"Falta inventario final",IF($G33&lt;0,"Consumo negativo: entro mercaderia sin registrar",IF(AND($L33&lt;&gt;"",ABS($L33)&gt;Config!$B$46),"Desvio alto vs Fudo: investigar",IF(AND($H33&gt;0,ABS($I33)/$H33&gt;Config!$B$46),"Lo recibido no coincide con la factura",IF(AND($J33="",$G33&gt;0),"Sin dato de Fudo para comparar","OK"))))))</f>
        <v/>
      </c>
      <c r="Q33" s="76">
        <f>IF($L33="","",ABS($L33)+ROW()/1000000)</f>
        <v/>
      </c>
      <c r="R33" s="76">
        <f>IF($O33="","",ABS($O33)+ROW()/1000000)</f>
        <v/>
      </c>
    </row>
    <row r="34">
      <c r="A34" s="43">
        <f>Insumos!$A34</f>
        <v/>
      </c>
      <c r="B34" s="44">
        <f>Insumos!$B34</f>
        <v/>
      </c>
      <c r="C34" s="45">
        <f>Insumos!$E34</f>
        <v/>
      </c>
      <c r="D34" s="41">
        <f>'1 Inv Inicial'!$G34</f>
        <v/>
      </c>
      <c r="E34" s="69">
        <f>SUMIFS('2 Ingresos'!$I$6:$I$255,'2 Ingresos'!$B$6:$B$255,$A34,'2 Ingresos'!$C$6:$C$255,$B34)</f>
        <v/>
      </c>
      <c r="F34" s="41">
        <f>'6 Inv Final'!$G34</f>
        <v/>
      </c>
      <c r="G34" s="70">
        <f>$D34+$E34-$F34</f>
        <v/>
      </c>
      <c r="H34" s="69">
        <f>SUMIFS('7 Facturas'!$F$6:$F$255,'7 Facturas'!$D$6:$D$255,$A34,'7 Facturas'!$E$6:$E$255,$B34)</f>
        <v/>
      </c>
      <c r="I34" s="69">
        <f>$E34-$H34</f>
        <v/>
      </c>
      <c r="J34" s="69">
        <f>IFERROR(INDEX('8 Fudo Stock'!$H$6:$H$205,MATCH($A34&amp;" | "&amp;$B34,'8 Fudo Stock'!$I$6:$I$205,0)),"")</f>
        <v/>
      </c>
      <c r="K34" s="69">
        <f>IF($J34="","",$G34-$J34)</f>
        <v/>
      </c>
      <c r="L34" s="71">
        <f>IF(OR($J34="",$J34=0),"",$K34/$J34)</f>
        <v/>
      </c>
      <c r="M34" s="72">
        <f>IF(Insumos!$H34="","",Insumos!$H34)</f>
        <v/>
      </c>
      <c r="N34" s="73">
        <f>IF($M34="","",$G34*$M34)</f>
        <v/>
      </c>
      <c r="O34" s="74">
        <f>IF(OR($M34="",$K34=""),"",$K34*$M34)</f>
        <v/>
      </c>
      <c r="P34" s="75">
        <f>IF(AND('1 Inv Inicial'!$E34="",'1 Inv Inicial'!$F34=""),"Falta inventario inicial",IF(AND('6 Inv Final'!$E34="",'6 Inv Final'!$F34=""),"Falta inventario final",IF($G34&lt;0,"Consumo negativo: entro mercaderia sin registrar",IF(AND($L34&lt;&gt;"",ABS($L34)&gt;Config!$B$46),"Desvio alto vs Fudo: investigar",IF(AND($H34&gt;0,ABS($I34)/$H34&gt;Config!$B$46),"Lo recibido no coincide con la factura",IF(AND($J34="",$G34&gt;0),"Sin dato de Fudo para comparar","OK"))))))</f>
        <v/>
      </c>
      <c r="Q34" s="76">
        <f>IF($L34="","",ABS($L34)+ROW()/1000000)</f>
        <v/>
      </c>
      <c r="R34" s="76">
        <f>IF($O34="","",ABS($O34)+ROW()/1000000)</f>
        <v/>
      </c>
    </row>
    <row r="35">
      <c r="A35" s="38">
        <f>Insumos!$A35</f>
        <v/>
      </c>
      <c r="B35" s="39">
        <f>Insumos!$B35</f>
        <v/>
      </c>
      <c r="C35" s="40">
        <f>Insumos!$E35</f>
        <v/>
      </c>
      <c r="D35" s="41">
        <f>'1 Inv Inicial'!$G35</f>
        <v/>
      </c>
      <c r="E35" s="69">
        <f>SUMIFS('2 Ingresos'!$I$6:$I$255,'2 Ingresos'!$B$6:$B$255,$A35,'2 Ingresos'!$C$6:$C$255,$B35)</f>
        <v/>
      </c>
      <c r="F35" s="41">
        <f>'6 Inv Final'!$G35</f>
        <v/>
      </c>
      <c r="G35" s="70">
        <f>$D35+$E35-$F35</f>
        <v/>
      </c>
      <c r="H35" s="69">
        <f>SUMIFS('7 Facturas'!$F$6:$F$255,'7 Facturas'!$D$6:$D$255,$A35,'7 Facturas'!$E$6:$E$255,$B35)</f>
        <v/>
      </c>
      <c r="I35" s="69">
        <f>$E35-$H35</f>
        <v/>
      </c>
      <c r="J35" s="69">
        <f>IFERROR(INDEX('8 Fudo Stock'!$H$6:$H$205,MATCH($A35&amp;" | "&amp;$B35,'8 Fudo Stock'!$I$6:$I$205,0)),"")</f>
        <v/>
      </c>
      <c r="K35" s="69">
        <f>IF($J35="","",$G35-$J35)</f>
        <v/>
      </c>
      <c r="L35" s="71">
        <f>IF(OR($J35="",$J35=0),"",$K35/$J35)</f>
        <v/>
      </c>
      <c r="M35" s="72">
        <f>IF(Insumos!$H35="","",Insumos!$H35)</f>
        <v/>
      </c>
      <c r="N35" s="73">
        <f>IF($M35="","",$G35*$M35)</f>
        <v/>
      </c>
      <c r="O35" s="74">
        <f>IF(OR($M35="",$K35=""),"",$K35*$M35)</f>
        <v/>
      </c>
      <c r="P35" s="75">
        <f>IF(AND('1 Inv Inicial'!$E35="",'1 Inv Inicial'!$F35=""),"Falta inventario inicial",IF(AND('6 Inv Final'!$E35="",'6 Inv Final'!$F35=""),"Falta inventario final",IF($G35&lt;0,"Consumo negativo: entro mercaderia sin registrar",IF(AND($L35&lt;&gt;"",ABS($L35)&gt;Config!$B$46),"Desvio alto vs Fudo: investigar",IF(AND($H35&gt;0,ABS($I35)/$H35&gt;Config!$B$46),"Lo recibido no coincide con la factura",IF(AND($J35="",$G35&gt;0),"Sin dato de Fudo para comparar","OK"))))))</f>
        <v/>
      </c>
      <c r="Q35" s="76">
        <f>IF($L35="","",ABS($L35)+ROW()/1000000)</f>
        <v/>
      </c>
      <c r="R35" s="76">
        <f>IF($O35="","",ABS($O35)+ROW()/1000000)</f>
        <v/>
      </c>
    </row>
    <row r="36">
      <c r="A36" s="43">
        <f>Insumos!$A36</f>
        <v/>
      </c>
      <c r="B36" s="44">
        <f>Insumos!$B36</f>
        <v/>
      </c>
      <c r="C36" s="45">
        <f>Insumos!$E36</f>
        <v/>
      </c>
      <c r="D36" s="41">
        <f>'1 Inv Inicial'!$G36</f>
        <v/>
      </c>
      <c r="E36" s="69">
        <f>SUMIFS('2 Ingresos'!$I$6:$I$255,'2 Ingresos'!$B$6:$B$255,$A36,'2 Ingresos'!$C$6:$C$255,$B36)</f>
        <v/>
      </c>
      <c r="F36" s="41">
        <f>'6 Inv Final'!$G36</f>
        <v/>
      </c>
      <c r="G36" s="70">
        <f>$D36+$E36-$F36</f>
        <v/>
      </c>
      <c r="H36" s="69">
        <f>SUMIFS('7 Facturas'!$F$6:$F$255,'7 Facturas'!$D$6:$D$255,$A36,'7 Facturas'!$E$6:$E$255,$B36)</f>
        <v/>
      </c>
      <c r="I36" s="69">
        <f>$E36-$H36</f>
        <v/>
      </c>
      <c r="J36" s="69">
        <f>IFERROR(INDEX('8 Fudo Stock'!$H$6:$H$205,MATCH($A36&amp;" | "&amp;$B36,'8 Fudo Stock'!$I$6:$I$205,0)),"")</f>
        <v/>
      </c>
      <c r="K36" s="69">
        <f>IF($J36="","",$G36-$J36)</f>
        <v/>
      </c>
      <c r="L36" s="71">
        <f>IF(OR($J36="",$J36=0),"",$K36/$J36)</f>
        <v/>
      </c>
      <c r="M36" s="72">
        <f>IF(Insumos!$H36="","",Insumos!$H36)</f>
        <v/>
      </c>
      <c r="N36" s="73">
        <f>IF($M36="","",$G36*$M36)</f>
        <v/>
      </c>
      <c r="O36" s="74">
        <f>IF(OR($M36="",$K36=""),"",$K36*$M36)</f>
        <v/>
      </c>
      <c r="P36" s="75">
        <f>IF(AND('1 Inv Inicial'!$E36="",'1 Inv Inicial'!$F36=""),"Falta inventario inicial",IF(AND('6 Inv Final'!$E36="",'6 Inv Final'!$F36=""),"Falta inventario final",IF($G36&lt;0,"Consumo negativo: entro mercaderia sin registrar",IF(AND($L36&lt;&gt;"",ABS($L36)&gt;Config!$B$46),"Desvio alto vs Fudo: investigar",IF(AND($H36&gt;0,ABS($I36)/$H36&gt;Config!$B$46),"Lo recibido no coincide con la factura",IF(AND($J36="",$G36&gt;0),"Sin dato de Fudo para comparar","OK"))))))</f>
        <v/>
      </c>
      <c r="Q36" s="76">
        <f>IF($L36="","",ABS($L36)+ROW()/1000000)</f>
        <v/>
      </c>
      <c r="R36" s="76">
        <f>IF($O36="","",ABS($O36)+ROW()/1000000)</f>
        <v/>
      </c>
    </row>
    <row r="37">
      <c r="A37" s="38">
        <f>Insumos!$A37</f>
        <v/>
      </c>
      <c r="B37" s="39">
        <f>Insumos!$B37</f>
        <v/>
      </c>
      <c r="C37" s="40">
        <f>Insumos!$E37</f>
        <v/>
      </c>
      <c r="D37" s="41">
        <f>'1 Inv Inicial'!$G37</f>
        <v/>
      </c>
      <c r="E37" s="69">
        <f>SUMIFS('2 Ingresos'!$I$6:$I$255,'2 Ingresos'!$B$6:$B$255,$A37,'2 Ingresos'!$C$6:$C$255,$B37)</f>
        <v/>
      </c>
      <c r="F37" s="41">
        <f>'6 Inv Final'!$G37</f>
        <v/>
      </c>
      <c r="G37" s="70">
        <f>$D37+$E37-$F37</f>
        <v/>
      </c>
      <c r="H37" s="69">
        <f>SUMIFS('7 Facturas'!$F$6:$F$255,'7 Facturas'!$D$6:$D$255,$A37,'7 Facturas'!$E$6:$E$255,$B37)</f>
        <v/>
      </c>
      <c r="I37" s="69">
        <f>$E37-$H37</f>
        <v/>
      </c>
      <c r="J37" s="69">
        <f>IFERROR(INDEX('8 Fudo Stock'!$H$6:$H$205,MATCH($A37&amp;" | "&amp;$B37,'8 Fudo Stock'!$I$6:$I$205,0)),"")</f>
        <v/>
      </c>
      <c r="K37" s="69">
        <f>IF($J37="","",$G37-$J37)</f>
        <v/>
      </c>
      <c r="L37" s="71">
        <f>IF(OR($J37="",$J37=0),"",$K37/$J37)</f>
        <v/>
      </c>
      <c r="M37" s="72">
        <f>IF(Insumos!$H37="","",Insumos!$H37)</f>
        <v/>
      </c>
      <c r="N37" s="73">
        <f>IF($M37="","",$G37*$M37)</f>
        <v/>
      </c>
      <c r="O37" s="74">
        <f>IF(OR($M37="",$K37=""),"",$K37*$M37)</f>
        <v/>
      </c>
      <c r="P37" s="75">
        <f>IF(AND('1 Inv Inicial'!$E37="",'1 Inv Inicial'!$F37=""),"Falta inventario inicial",IF(AND('6 Inv Final'!$E37="",'6 Inv Final'!$F37=""),"Falta inventario final",IF($G37&lt;0,"Consumo negativo: entro mercaderia sin registrar",IF(AND($L37&lt;&gt;"",ABS($L37)&gt;Config!$B$46),"Desvio alto vs Fudo: investigar",IF(AND($H37&gt;0,ABS($I37)/$H37&gt;Config!$B$46),"Lo recibido no coincide con la factura",IF(AND($J37="",$G37&gt;0),"Sin dato de Fudo para comparar","OK"))))))</f>
        <v/>
      </c>
      <c r="Q37" s="76">
        <f>IF($L37="","",ABS($L37)+ROW()/1000000)</f>
        <v/>
      </c>
      <c r="R37" s="76">
        <f>IF($O37="","",ABS($O37)+ROW()/1000000)</f>
        <v/>
      </c>
    </row>
    <row r="38">
      <c r="A38" s="43">
        <f>Insumos!$A38</f>
        <v/>
      </c>
      <c r="B38" s="44">
        <f>Insumos!$B38</f>
        <v/>
      </c>
      <c r="C38" s="45">
        <f>Insumos!$E38</f>
        <v/>
      </c>
      <c r="D38" s="41">
        <f>'1 Inv Inicial'!$G38</f>
        <v/>
      </c>
      <c r="E38" s="69">
        <f>SUMIFS('2 Ingresos'!$I$6:$I$255,'2 Ingresos'!$B$6:$B$255,$A38,'2 Ingresos'!$C$6:$C$255,$B38)</f>
        <v/>
      </c>
      <c r="F38" s="41">
        <f>'6 Inv Final'!$G38</f>
        <v/>
      </c>
      <c r="G38" s="70">
        <f>$D38+$E38-$F38</f>
        <v/>
      </c>
      <c r="H38" s="69">
        <f>SUMIFS('7 Facturas'!$F$6:$F$255,'7 Facturas'!$D$6:$D$255,$A38,'7 Facturas'!$E$6:$E$255,$B38)</f>
        <v/>
      </c>
      <c r="I38" s="69">
        <f>$E38-$H38</f>
        <v/>
      </c>
      <c r="J38" s="69">
        <f>IFERROR(INDEX('8 Fudo Stock'!$H$6:$H$205,MATCH($A38&amp;" | "&amp;$B38,'8 Fudo Stock'!$I$6:$I$205,0)),"")</f>
        <v/>
      </c>
      <c r="K38" s="69">
        <f>IF($J38="","",$G38-$J38)</f>
        <v/>
      </c>
      <c r="L38" s="71">
        <f>IF(OR($J38="",$J38=0),"",$K38/$J38)</f>
        <v/>
      </c>
      <c r="M38" s="72">
        <f>IF(Insumos!$H38="","",Insumos!$H38)</f>
        <v/>
      </c>
      <c r="N38" s="73">
        <f>IF($M38="","",$G38*$M38)</f>
        <v/>
      </c>
      <c r="O38" s="74">
        <f>IF(OR($M38="",$K38=""),"",$K38*$M38)</f>
        <v/>
      </c>
      <c r="P38" s="75">
        <f>IF(AND('1 Inv Inicial'!$E38="",'1 Inv Inicial'!$F38=""),"Falta inventario inicial",IF(AND('6 Inv Final'!$E38="",'6 Inv Final'!$F38=""),"Falta inventario final",IF($G38&lt;0,"Consumo negativo: entro mercaderia sin registrar",IF(AND($L38&lt;&gt;"",ABS($L38)&gt;Config!$B$46),"Desvio alto vs Fudo: investigar",IF(AND($H38&gt;0,ABS($I38)/$H38&gt;Config!$B$46),"Lo recibido no coincide con la factura",IF(AND($J38="",$G38&gt;0),"Sin dato de Fudo para comparar","OK"))))))</f>
        <v/>
      </c>
      <c r="Q38" s="76">
        <f>IF($L38="","",ABS($L38)+ROW()/1000000)</f>
        <v/>
      </c>
      <c r="R38" s="76">
        <f>IF($O38="","",ABS($O38)+ROW()/1000000)</f>
        <v/>
      </c>
    </row>
    <row r="39">
      <c r="A39" s="38">
        <f>Insumos!$A39</f>
        <v/>
      </c>
      <c r="B39" s="39">
        <f>Insumos!$B39</f>
        <v/>
      </c>
      <c r="C39" s="40">
        <f>Insumos!$E39</f>
        <v/>
      </c>
      <c r="D39" s="41">
        <f>'1 Inv Inicial'!$G39</f>
        <v/>
      </c>
      <c r="E39" s="69">
        <f>SUMIFS('2 Ingresos'!$I$6:$I$255,'2 Ingresos'!$B$6:$B$255,$A39,'2 Ingresos'!$C$6:$C$255,$B39)</f>
        <v/>
      </c>
      <c r="F39" s="41">
        <f>'6 Inv Final'!$G39</f>
        <v/>
      </c>
      <c r="G39" s="70">
        <f>$D39+$E39-$F39</f>
        <v/>
      </c>
      <c r="H39" s="69">
        <f>SUMIFS('7 Facturas'!$F$6:$F$255,'7 Facturas'!$D$6:$D$255,$A39,'7 Facturas'!$E$6:$E$255,$B39)</f>
        <v/>
      </c>
      <c r="I39" s="69">
        <f>$E39-$H39</f>
        <v/>
      </c>
      <c r="J39" s="69">
        <f>IFERROR(INDEX('8 Fudo Stock'!$H$6:$H$205,MATCH($A39&amp;" | "&amp;$B39,'8 Fudo Stock'!$I$6:$I$205,0)),"")</f>
        <v/>
      </c>
      <c r="K39" s="69">
        <f>IF($J39="","",$G39-$J39)</f>
        <v/>
      </c>
      <c r="L39" s="71">
        <f>IF(OR($J39="",$J39=0),"",$K39/$J39)</f>
        <v/>
      </c>
      <c r="M39" s="72">
        <f>IF(Insumos!$H39="","",Insumos!$H39)</f>
        <v/>
      </c>
      <c r="N39" s="73">
        <f>IF($M39="","",$G39*$M39)</f>
        <v/>
      </c>
      <c r="O39" s="74">
        <f>IF(OR($M39="",$K39=""),"",$K39*$M39)</f>
        <v/>
      </c>
      <c r="P39" s="75">
        <f>IF(AND('1 Inv Inicial'!$E39="",'1 Inv Inicial'!$F39=""),"Falta inventario inicial",IF(AND('6 Inv Final'!$E39="",'6 Inv Final'!$F39=""),"Falta inventario final",IF($G39&lt;0,"Consumo negativo: entro mercaderia sin registrar",IF(AND($L39&lt;&gt;"",ABS($L39)&gt;Config!$B$46),"Desvio alto vs Fudo: investigar",IF(AND($H39&gt;0,ABS($I39)/$H39&gt;Config!$B$46),"Lo recibido no coincide con la factura",IF(AND($J39="",$G39&gt;0),"Sin dato de Fudo para comparar","OK"))))))</f>
        <v/>
      </c>
      <c r="Q39" s="76">
        <f>IF($L39="","",ABS($L39)+ROW()/1000000)</f>
        <v/>
      </c>
      <c r="R39" s="76">
        <f>IF($O39="","",ABS($O39)+ROW()/1000000)</f>
        <v/>
      </c>
    </row>
    <row r="40">
      <c r="A40" s="43">
        <f>Insumos!$A40</f>
        <v/>
      </c>
      <c r="B40" s="44">
        <f>Insumos!$B40</f>
        <v/>
      </c>
      <c r="C40" s="45">
        <f>Insumos!$E40</f>
        <v/>
      </c>
      <c r="D40" s="41">
        <f>'1 Inv Inicial'!$G40</f>
        <v/>
      </c>
      <c r="E40" s="69">
        <f>SUMIFS('2 Ingresos'!$I$6:$I$255,'2 Ingresos'!$B$6:$B$255,$A40,'2 Ingresos'!$C$6:$C$255,$B40)</f>
        <v/>
      </c>
      <c r="F40" s="41">
        <f>'6 Inv Final'!$G40</f>
        <v/>
      </c>
      <c r="G40" s="70">
        <f>$D40+$E40-$F40</f>
        <v/>
      </c>
      <c r="H40" s="69">
        <f>SUMIFS('7 Facturas'!$F$6:$F$255,'7 Facturas'!$D$6:$D$255,$A40,'7 Facturas'!$E$6:$E$255,$B40)</f>
        <v/>
      </c>
      <c r="I40" s="69">
        <f>$E40-$H40</f>
        <v/>
      </c>
      <c r="J40" s="69">
        <f>IFERROR(INDEX('8 Fudo Stock'!$H$6:$H$205,MATCH($A40&amp;" | "&amp;$B40,'8 Fudo Stock'!$I$6:$I$205,0)),"")</f>
        <v/>
      </c>
      <c r="K40" s="69">
        <f>IF($J40="","",$G40-$J40)</f>
        <v/>
      </c>
      <c r="L40" s="71">
        <f>IF(OR($J40="",$J40=0),"",$K40/$J40)</f>
        <v/>
      </c>
      <c r="M40" s="72">
        <f>IF(Insumos!$H40="","",Insumos!$H40)</f>
        <v/>
      </c>
      <c r="N40" s="73">
        <f>IF($M40="","",$G40*$M40)</f>
        <v/>
      </c>
      <c r="O40" s="74">
        <f>IF(OR($M40="",$K40=""),"",$K40*$M40)</f>
        <v/>
      </c>
      <c r="P40" s="75">
        <f>IF(AND('1 Inv Inicial'!$E40="",'1 Inv Inicial'!$F40=""),"Falta inventario inicial",IF(AND('6 Inv Final'!$E40="",'6 Inv Final'!$F40=""),"Falta inventario final",IF($G40&lt;0,"Consumo negativo: entro mercaderia sin registrar",IF(AND($L40&lt;&gt;"",ABS($L40)&gt;Config!$B$46),"Desvio alto vs Fudo: investigar",IF(AND($H40&gt;0,ABS($I40)/$H40&gt;Config!$B$46),"Lo recibido no coincide con la factura",IF(AND($J40="",$G40&gt;0),"Sin dato de Fudo para comparar","OK"))))))</f>
        <v/>
      </c>
      <c r="Q40" s="76">
        <f>IF($L40="","",ABS($L40)+ROW()/1000000)</f>
        <v/>
      </c>
      <c r="R40" s="76">
        <f>IF($O40="","",ABS($O40)+ROW()/1000000)</f>
        <v/>
      </c>
    </row>
    <row r="41">
      <c r="A41" s="38">
        <f>Insumos!$A41</f>
        <v/>
      </c>
      <c r="B41" s="39">
        <f>Insumos!$B41</f>
        <v/>
      </c>
      <c r="C41" s="40">
        <f>Insumos!$E41</f>
        <v/>
      </c>
      <c r="D41" s="41">
        <f>'1 Inv Inicial'!$G41</f>
        <v/>
      </c>
      <c r="E41" s="69">
        <f>SUMIFS('2 Ingresos'!$I$6:$I$255,'2 Ingresos'!$B$6:$B$255,$A41,'2 Ingresos'!$C$6:$C$255,$B41)</f>
        <v/>
      </c>
      <c r="F41" s="41">
        <f>'6 Inv Final'!$G41</f>
        <v/>
      </c>
      <c r="G41" s="70">
        <f>$D41+$E41-$F41</f>
        <v/>
      </c>
      <c r="H41" s="69">
        <f>SUMIFS('7 Facturas'!$F$6:$F$255,'7 Facturas'!$D$6:$D$255,$A41,'7 Facturas'!$E$6:$E$255,$B41)</f>
        <v/>
      </c>
      <c r="I41" s="69">
        <f>$E41-$H41</f>
        <v/>
      </c>
      <c r="J41" s="69">
        <f>IFERROR(INDEX('8 Fudo Stock'!$H$6:$H$205,MATCH($A41&amp;" | "&amp;$B41,'8 Fudo Stock'!$I$6:$I$205,0)),"")</f>
        <v/>
      </c>
      <c r="K41" s="69">
        <f>IF($J41="","",$G41-$J41)</f>
        <v/>
      </c>
      <c r="L41" s="71">
        <f>IF(OR($J41="",$J41=0),"",$K41/$J41)</f>
        <v/>
      </c>
      <c r="M41" s="72">
        <f>IF(Insumos!$H41="","",Insumos!$H41)</f>
        <v/>
      </c>
      <c r="N41" s="73">
        <f>IF($M41="","",$G41*$M41)</f>
        <v/>
      </c>
      <c r="O41" s="74">
        <f>IF(OR($M41="",$K41=""),"",$K41*$M41)</f>
        <v/>
      </c>
      <c r="P41" s="75">
        <f>IF(AND('1 Inv Inicial'!$E41="",'1 Inv Inicial'!$F41=""),"Falta inventario inicial",IF(AND('6 Inv Final'!$E41="",'6 Inv Final'!$F41=""),"Falta inventario final",IF($G41&lt;0,"Consumo negativo: entro mercaderia sin registrar",IF(AND($L41&lt;&gt;"",ABS($L41)&gt;Config!$B$46),"Desvio alto vs Fudo: investigar",IF(AND($H41&gt;0,ABS($I41)/$H41&gt;Config!$B$46),"Lo recibido no coincide con la factura",IF(AND($J41="",$G41&gt;0),"Sin dato de Fudo para comparar","OK"))))))</f>
        <v/>
      </c>
      <c r="Q41" s="76">
        <f>IF($L41="","",ABS($L41)+ROW()/1000000)</f>
        <v/>
      </c>
      <c r="R41" s="76">
        <f>IF($O41="","",ABS($O41)+ROW()/1000000)</f>
        <v/>
      </c>
    </row>
    <row r="42">
      <c r="A42" s="43">
        <f>Insumos!$A42</f>
        <v/>
      </c>
      <c r="B42" s="44">
        <f>Insumos!$B42</f>
        <v/>
      </c>
      <c r="C42" s="45">
        <f>Insumos!$E42</f>
        <v/>
      </c>
      <c r="D42" s="41">
        <f>'1 Inv Inicial'!$G42</f>
        <v/>
      </c>
      <c r="E42" s="69">
        <f>SUMIFS('2 Ingresos'!$I$6:$I$255,'2 Ingresos'!$B$6:$B$255,$A42,'2 Ingresos'!$C$6:$C$255,$B42)</f>
        <v/>
      </c>
      <c r="F42" s="41">
        <f>'6 Inv Final'!$G42</f>
        <v/>
      </c>
      <c r="G42" s="70">
        <f>$D42+$E42-$F42</f>
        <v/>
      </c>
      <c r="H42" s="69">
        <f>SUMIFS('7 Facturas'!$F$6:$F$255,'7 Facturas'!$D$6:$D$255,$A42,'7 Facturas'!$E$6:$E$255,$B42)</f>
        <v/>
      </c>
      <c r="I42" s="69">
        <f>$E42-$H42</f>
        <v/>
      </c>
      <c r="J42" s="69">
        <f>IFERROR(INDEX('8 Fudo Stock'!$H$6:$H$205,MATCH($A42&amp;" | "&amp;$B42,'8 Fudo Stock'!$I$6:$I$205,0)),"")</f>
        <v/>
      </c>
      <c r="K42" s="69">
        <f>IF($J42="","",$G42-$J42)</f>
        <v/>
      </c>
      <c r="L42" s="71">
        <f>IF(OR($J42="",$J42=0),"",$K42/$J42)</f>
        <v/>
      </c>
      <c r="M42" s="72">
        <f>IF(Insumos!$H42="","",Insumos!$H42)</f>
        <v/>
      </c>
      <c r="N42" s="73">
        <f>IF($M42="","",$G42*$M42)</f>
        <v/>
      </c>
      <c r="O42" s="74">
        <f>IF(OR($M42="",$K42=""),"",$K42*$M42)</f>
        <v/>
      </c>
      <c r="P42" s="75">
        <f>IF(AND('1 Inv Inicial'!$E42="",'1 Inv Inicial'!$F42=""),"Falta inventario inicial",IF(AND('6 Inv Final'!$E42="",'6 Inv Final'!$F42=""),"Falta inventario final",IF($G42&lt;0,"Consumo negativo: entro mercaderia sin registrar",IF(AND($L42&lt;&gt;"",ABS($L42)&gt;Config!$B$46),"Desvio alto vs Fudo: investigar",IF(AND($H42&gt;0,ABS($I42)/$H42&gt;Config!$B$46),"Lo recibido no coincide con la factura",IF(AND($J42="",$G42&gt;0),"Sin dato de Fudo para comparar","OK"))))))</f>
        <v/>
      </c>
      <c r="Q42" s="76">
        <f>IF($L42="","",ABS($L42)+ROW()/1000000)</f>
        <v/>
      </c>
      <c r="R42" s="76">
        <f>IF($O42="","",ABS($O42)+ROW()/1000000)</f>
        <v/>
      </c>
    </row>
    <row r="43">
      <c r="A43" s="38">
        <f>Insumos!$A43</f>
        <v/>
      </c>
      <c r="B43" s="39">
        <f>Insumos!$B43</f>
        <v/>
      </c>
      <c r="C43" s="40">
        <f>Insumos!$E43</f>
        <v/>
      </c>
      <c r="D43" s="41">
        <f>'1 Inv Inicial'!$G43</f>
        <v/>
      </c>
      <c r="E43" s="69">
        <f>SUMIFS('2 Ingresos'!$I$6:$I$255,'2 Ingresos'!$B$6:$B$255,$A43,'2 Ingresos'!$C$6:$C$255,$B43)</f>
        <v/>
      </c>
      <c r="F43" s="41">
        <f>'6 Inv Final'!$G43</f>
        <v/>
      </c>
      <c r="G43" s="70">
        <f>$D43+$E43-$F43</f>
        <v/>
      </c>
      <c r="H43" s="69">
        <f>SUMIFS('7 Facturas'!$F$6:$F$255,'7 Facturas'!$D$6:$D$255,$A43,'7 Facturas'!$E$6:$E$255,$B43)</f>
        <v/>
      </c>
      <c r="I43" s="69">
        <f>$E43-$H43</f>
        <v/>
      </c>
      <c r="J43" s="69">
        <f>IFERROR(INDEX('8 Fudo Stock'!$H$6:$H$205,MATCH($A43&amp;" | "&amp;$B43,'8 Fudo Stock'!$I$6:$I$205,0)),"")</f>
        <v/>
      </c>
      <c r="K43" s="69">
        <f>IF($J43="","",$G43-$J43)</f>
        <v/>
      </c>
      <c r="L43" s="71">
        <f>IF(OR($J43="",$J43=0),"",$K43/$J43)</f>
        <v/>
      </c>
      <c r="M43" s="72">
        <f>IF(Insumos!$H43="","",Insumos!$H43)</f>
        <v/>
      </c>
      <c r="N43" s="73">
        <f>IF($M43="","",$G43*$M43)</f>
        <v/>
      </c>
      <c r="O43" s="74">
        <f>IF(OR($M43="",$K43=""),"",$K43*$M43)</f>
        <v/>
      </c>
      <c r="P43" s="75">
        <f>IF(AND('1 Inv Inicial'!$E43="",'1 Inv Inicial'!$F43=""),"Falta inventario inicial",IF(AND('6 Inv Final'!$E43="",'6 Inv Final'!$F43=""),"Falta inventario final",IF($G43&lt;0,"Consumo negativo: entro mercaderia sin registrar",IF(AND($L43&lt;&gt;"",ABS($L43)&gt;Config!$B$46),"Desvio alto vs Fudo: investigar",IF(AND($H43&gt;0,ABS($I43)/$H43&gt;Config!$B$46),"Lo recibido no coincide con la factura",IF(AND($J43="",$G43&gt;0),"Sin dato de Fudo para comparar","OK"))))))</f>
        <v/>
      </c>
      <c r="Q43" s="76">
        <f>IF($L43="","",ABS($L43)+ROW()/1000000)</f>
        <v/>
      </c>
      <c r="R43" s="76">
        <f>IF($O43="","",ABS($O43)+ROW()/1000000)</f>
        <v/>
      </c>
    </row>
    <row r="44">
      <c r="A44" s="43">
        <f>Insumos!$A44</f>
        <v/>
      </c>
      <c r="B44" s="44">
        <f>Insumos!$B44</f>
        <v/>
      </c>
      <c r="C44" s="45">
        <f>Insumos!$E44</f>
        <v/>
      </c>
      <c r="D44" s="41">
        <f>'1 Inv Inicial'!$G44</f>
        <v/>
      </c>
      <c r="E44" s="69">
        <f>SUMIFS('2 Ingresos'!$I$6:$I$255,'2 Ingresos'!$B$6:$B$255,$A44,'2 Ingresos'!$C$6:$C$255,$B44)</f>
        <v/>
      </c>
      <c r="F44" s="41">
        <f>'6 Inv Final'!$G44</f>
        <v/>
      </c>
      <c r="G44" s="70">
        <f>$D44+$E44-$F44</f>
        <v/>
      </c>
      <c r="H44" s="69">
        <f>SUMIFS('7 Facturas'!$F$6:$F$255,'7 Facturas'!$D$6:$D$255,$A44,'7 Facturas'!$E$6:$E$255,$B44)</f>
        <v/>
      </c>
      <c r="I44" s="69">
        <f>$E44-$H44</f>
        <v/>
      </c>
      <c r="J44" s="69">
        <f>IFERROR(INDEX('8 Fudo Stock'!$H$6:$H$205,MATCH($A44&amp;" | "&amp;$B44,'8 Fudo Stock'!$I$6:$I$205,0)),"")</f>
        <v/>
      </c>
      <c r="K44" s="69">
        <f>IF($J44="","",$G44-$J44)</f>
        <v/>
      </c>
      <c r="L44" s="71">
        <f>IF(OR($J44="",$J44=0),"",$K44/$J44)</f>
        <v/>
      </c>
      <c r="M44" s="72">
        <f>IF(Insumos!$H44="","",Insumos!$H44)</f>
        <v/>
      </c>
      <c r="N44" s="73">
        <f>IF($M44="","",$G44*$M44)</f>
        <v/>
      </c>
      <c r="O44" s="74">
        <f>IF(OR($M44="",$K44=""),"",$K44*$M44)</f>
        <v/>
      </c>
      <c r="P44" s="75">
        <f>IF(AND('1 Inv Inicial'!$E44="",'1 Inv Inicial'!$F44=""),"Falta inventario inicial",IF(AND('6 Inv Final'!$E44="",'6 Inv Final'!$F44=""),"Falta inventario final",IF($G44&lt;0,"Consumo negativo: entro mercaderia sin registrar",IF(AND($L44&lt;&gt;"",ABS($L44)&gt;Config!$B$46),"Desvio alto vs Fudo: investigar",IF(AND($H44&gt;0,ABS($I44)/$H44&gt;Config!$B$46),"Lo recibido no coincide con la factura",IF(AND($J44="",$G44&gt;0),"Sin dato de Fudo para comparar","OK"))))))</f>
        <v/>
      </c>
      <c r="Q44" s="76">
        <f>IF($L44="","",ABS($L44)+ROW()/1000000)</f>
        <v/>
      </c>
      <c r="R44" s="76">
        <f>IF($O44="","",ABS($O44)+ROW()/1000000)</f>
        <v/>
      </c>
    </row>
    <row r="45">
      <c r="A45" s="38">
        <f>Insumos!$A45</f>
        <v/>
      </c>
      <c r="B45" s="39">
        <f>Insumos!$B45</f>
        <v/>
      </c>
      <c r="C45" s="40">
        <f>Insumos!$E45</f>
        <v/>
      </c>
      <c r="D45" s="41">
        <f>'1 Inv Inicial'!$G45</f>
        <v/>
      </c>
      <c r="E45" s="69">
        <f>SUMIFS('2 Ingresos'!$I$6:$I$255,'2 Ingresos'!$B$6:$B$255,$A45,'2 Ingresos'!$C$6:$C$255,$B45)</f>
        <v/>
      </c>
      <c r="F45" s="41">
        <f>'6 Inv Final'!$G45</f>
        <v/>
      </c>
      <c r="G45" s="70">
        <f>$D45+$E45-$F45</f>
        <v/>
      </c>
      <c r="H45" s="69">
        <f>SUMIFS('7 Facturas'!$F$6:$F$255,'7 Facturas'!$D$6:$D$255,$A45,'7 Facturas'!$E$6:$E$255,$B45)</f>
        <v/>
      </c>
      <c r="I45" s="69">
        <f>$E45-$H45</f>
        <v/>
      </c>
      <c r="J45" s="69">
        <f>IFERROR(INDEX('8 Fudo Stock'!$H$6:$H$205,MATCH($A45&amp;" | "&amp;$B45,'8 Fudo Stock'!$I$6:$I$205,0)),"")</f>
        <v/>
      </c>
      <c r="K45" s="69">
        <f>IF($J45="","",$G45-$J45)</f>
        <v/>
      </c>
      <c r="L45" s="71">
        <f>IF(OR($J45="",$J45=0),"",$K45/$J45)</f>
        <v/>
      </c>
      <c r="M45" s="72">
        <f>IF(Insumos!$H45="","",Insumos!$H45)</f>
        <v/>
      </c>
      <c r="N45" s="73">
        <f>IF($M45="","",$G45*$M45)</f>
        <v/>
      </c>
      <c r="O45" s="74">
        <f>IF(OR($M45="",$K45=""),"",$K45*$M45)</f>
        <v/>
      </c>
      <c r="P45" s="75">
        <f>IF(AND('1 Inv Inicial'!$E45="",'1 Inv Inicial'!$F45=""),"Falta inventario inicial",IF(AND('6 Inv Final'!$E45="",'6 Inv Final'!$F45=""),"Falta inventario final",IF($G45&lt;0,"Consumo negativo: entro mercaderia sin registrar",IF(AND($L45&lt;&gt;"",ABS($L45)&gt;Config!$B$46),"Desvio alto vs Fudo: investigar",IF(AND($H45&gt;0,ABS($I45)/$H45&gt;Config!$B$46),"Lo recibido no coincide con la factura",IF(AND($J45="",$G45&gt;0),"Sin dato de Fudo para comparar","OK"))))))</f>
        <v/>
      </c>
      <c r="Q45" s="76">
        <f>IF($L45="","",ABS($L45)+ROW()/1000000)</f>
        <v/>
      </c>
      <c r="R45" s="76">
        <f>IF($O45="","",ABS($O45)+ROW()/1000000)</f>
        <v/>
      </c>
    </row>
    <row r="46">
      <c r="A46" s="43">
        <f>Insumos!$A46</f>
        <v/>
      </c>
      <c r="B46" s="44">
        <f>Insumos!$B46</f>
        <v/>
      </c>
      <c r="C46" s="45">
        <f>Insumos!$E46</f>
        <v/>
      </c>
      <c r="D46" s="41">
        <f>'1 Inv Inicial'!$G46</f>
        <v/>
      </c>
      <c r="E46" s="69">
        <f>SUMIFS('2 Ingresos'!$I$6:$I$255,'2 Ingresos'!$B$6:$B$255,$A46,'2 Ingresos'!$C$6:$C$255,$B46)</f>
        <v/>
      </c>
      <c r="F46" s="41">
        <f>'6 Inv Final'!$G46</f>
        <v/>
      </c>
      <c r="G46" s="70">
        <f>$D46+$E46-$F46</f>
        <v/>
      </c>
      <c r="H46" s="69">
        <f>SUMIFS('7 Facturas'!$F$6:$F$255,'7 Facturas'!$D$6:$D$255,$A46,'7 Facturas'!$E$6:$E$255,$B46)</f>
        <v/>
      </c>
      <c r="I46" s="69">
        <f>$E46-$H46</f>
        <v/>
      </c>
      <c r="J46" s="69">
        <f>IFERROR(INDEX('8 Fudo Stock'!$H$6:$H$205,MATCH($A46&amp;" | "&amp;$B46,'8 Fudo Stock'!$I$6:$I$205,0)),"")</f>
        <v/>
      </c>
      <c r="K46" s="69">
        <f>IF($J46="","",$G46-$J46)</f>
        <v/>
      </c>
      <c r="L46" s="71">
        <f>IF(OR($J46="",$J46=0),"",$K46/$J46)</f>
        <v/>
      </c>
      <c r="M46" s="72">
        <f>IF(Insumos!$H46="","",Insumos!$H46)</f>
        <v/>
      </c>
      <c r="N46" s="73">
        <f>IF($M46="","",$G46*$M46)</f>
        <v/>
      </c>
      <c r="O46" s="74">
        <f>IF(OR($M46="",$K46=""),"",$K46*$M46)</f>
        <v/>
      </c>
      <c r="P46" s="75">
        <f>IF(AND('1 Inv Inicial'!$E46="",'1 Inv Inicial'!$F46=""),"Falta inventario inicial",IF(AND('6 Inv Final'!$E46="",'6 Inv Final'!$F46=""),"Falta inventario final",IF($G46&lt;0,"Consumo negativo: entro mercaderia sin registrar",IF(AND($L46&lt;&gt;"",ABS($L46)&gt;Config!$B$46),"Desvio alto vs Fudo: investigar",IF(AND($H46&gt;0,ABS($I46)/$H46&gt;Config!$B$46),"Lo recibido no coincide con la factura",IF(AND($J46="",$G46&gt;0),"Sin dato de Fudo para comparar","OK"))))))</f>
        <v/>
      </c>
      <c r="Q46" s="76">
        <f>IF($L46="","",ABS($L46)+ROW()/1000000)</f>
        <v/>
      </c>
      <c r="R46" s="76">
        <f>IF($O46="","",ABS($O46)+ROW()/1000000)</f>
        <v/>
      </c>
    </row>
    <row r="47">
      <c r="A47" s="38">
        <f>Insumos!$A47</f>
        <v/>
      </c>
      <c r="B47" s="39">
        <f>Insumos!$B47</f>
        <v/>
      </c>
      <c r="C47" s="40">
        <f>Insumos!$E47</f>
        <v/>
      </c>
      <c r="D47" s="41">
        <f>'1 Inv Inicial'!$G47</f>
        <v/>
      </c>
      <c r="E47" s="69">
        <f>SUMIFS('2 Ingresos'!$I$6:$I$255,'2 Ingresos'!$B$6:$B$255,$A47,'2 Ingresos'!$C$6:$C$255,$B47)</f>
        <v/>
      </c>
      <c r="F47" s="41">
        <f>'6 Inv Final'!$G47</f>
        <v/>
      </c>
      <c r="G47" s="70">
        <f>$D47+$E47-$F47</f>
        <v/>
      </c>
      <c r="H47" s="69">
        <f>SUMIFS('7 Facturas'!$F$6:$F$255,'7 Facturas'!$D$6:$D$255,$A47,'7 Facturas'!$E$6:$E$255,$B47)</f>
        <v/>
      </c>
      <c r="I47" s="69">
        <f>$E47-$H47</f>
        <v/>
      </c>
      <c r="J47" s="69">
        <f>IFERROR(INDEX('8 Fudo Stock'!$H$6:$H$205,MATCH($A47&amp;" | "&amp;$B47,'8 Fudo Stock'!$I$6:$I$205,0)),"")</f>
        <v/>
      </c>
      <c r="K47" s="69">
        <f>IF($J47="","",$G47-$J47)</f>
        <v/>
      </c>
      <c r="L47" s="71">
        <f>IF(OR($J47="",$J47=0),"",$K47/$J47)</f>
        <v/>
      </c>
      <c r="M47" s="72">
        <f>IF(Insumos!$H47="","",Insumos!$H47)</f>
        <v/>
      </c>
      <c r="N47" s="73">
        <f>IF($M47="","",$G47*$M47)</f>
        <v/>
      </c>
      <c r="O47" s="74">
        <f>IF(OR($M47="",$K47=""),"",$K47*$M47)</f>
        <v/>
      </c>
      <c r="P47" s="75">
        <f>IF(AND('1 Inv Inicial'!$E47="",'1 Inv Inicial'!$F47=""),"Falta inventario inicial",IF(AND('6 Inv Final'!$E47="",'6 Inv Final'!$F47=""),"Falta inventario final",IF($G47&lt;0,"Consumo negativo: entro mercaderia sin registrar",IF(AND($L47&lt;&gt;"",ABS($L47)&gt;Config!$B$46),"Desvio alto vs Fudo: investigar",IF(AND($H47&gt;0,ABS($I47)/$H47&gt;Config!$B$46),"Lo recibido no coincide con la factura",IF(AND($J47="",$G47&gt;0),"Sin dato de Fudo para comparar","OK"))))))</f>
        <v/>
      </c>
      <c r="Q47" s="76">
        <f>IF($L47="","",ABS($L47)+ROW()/1000000)</f>
        <v/>
      </c>
      <c r="R47" s="76">
        <f>IF($O47="","",ABS($O47)+ROW()/1000000)</f>
        <v/>
      </c>
    </row>
    <row r="48">
      <c r="A48" s="43">
        <f>Insumos!$A48</f>
        <v/>
      </c>
      <c r="B48" s="44">
        <f>Insumos!$B48</f>
        <v/>
      </c>
      <c r="C48" s="45">
        <f>Insumos!$E48</f>
        <v/>
      </c>
      <c r="D48" s="41">
        <f>'1 Inv Inicial'!$G48</f>
        <v/>
      </c>
      <c r="E48" s="69">
        <f>SUMIFS('2 Ingresos'!$I$6:$I$255,'2 Ingresos'!$B$6:$B$255,$A48,'2 Ingresos'!$C$6:$C$255,$B48)</f>
        <v/>
      </c>
      <c r="F48" s="41">
        <f>'6 Inv Final'!$G48</f>
        <v/>
      </c>
      <c r="G48" s="70">
        <f>$D48+$E48-$F48</f>
        <v/>
      </c>
      <c r="H48" s="69">
        <f>SUMIFS('7 Facturas'!$F$6:$F$255,'7 Facturas'!$D$6:$D$255,$A48,'7 Facturas'!$E$6:$E$255,$B48)</f>
        <v/>
      </c>
      <c r="I48" s="69">
        <f>$E48-$H48</f>
        <v/>
      </c>
      <c r="J48" s="69">
        <f>IFERROR(INDEX('8 Fudo Stock'!$H$6:$H$205,MATCH($A48&amp;" | "&amp;$B48,'8 Fudo Stock'!$I$6:$I$205,0)),"")</f>
        <v/>
      </c>
      <c r="K48" s="69">
        <f>IF($J48="","",$G48-$J48)</f>
        <v/>
      </c>
      <c r="L48" s="71">
        <f>IF(OR($J48="",$J48=0),"",$K48/$J48)</f>
        <v/>
      </c>
      <c r="M48" s="72">
        <f>IF(Insumos!$H48="","",Insumos!$H48)</f>
        <v/>
      </c>
      <c r="N48" s="73">
        <f>IF($M48="","",$G48*$M48)</f>
        <v/>
      </c>
      <c r="O48" s="74">
        <f>IF(OR($M48="",$K48=""),"",$K48*$M48)</f>
        <v/>
      </c>
      <c r="P48" s="75">
        <f>IF(AND('1 Inv Inicial'!$E48="",'1 Inv Inicial'!$F48=""),"Falta inventario inicial",IF(AND('6 Inv Final'!$E48="",'6 Inv Final'!$F48=""),"Falta inventario final",IF($G48&lt;0,"Consumo negativo: entro mercaderia sin registrar",IF(AND($L48&lt;&gt;"",ABS($L48)&gt;Config!$B$46),"Desvio alto vs Fudo: investigar",IF(AND($H48&gt;0,ABS($I48)/$H48&gt;Config!$B$46),"Lo recibido no coincide con la factura",IF(AND($J48="",$G48&gt;0),"Sin dato de Fudo para comparar","OK"))))))</f>
        <v/>
      </c>
      <c r="Q48" s="76">
        <f>IF($L48="","",ABS($L48)+ROW()/1000000)</f>
        <v/>
      </c>
      <c r="R48" s="76">
        <f>IF($O48="","",ABS($O48)+ROW()/1000000)</f>
        <v/>
      </c>
    </row>
    <row r="49">
      <c r="A49" s="38">
        <f>Insumos!$A49</f>
        <v/>
      </c>
      <c r="B49" s="39">
        <f>Insumos!$B49</f>
        <v/>
      </c>
      <c r="C49" s="40">
        <f>Insumos!$E49</f>
        <v/>
      </c>
      <c r="D49" s="41">
        <f>'1 Inv Inicial'!$G49</f>
        <v/>
      </c>
      <c r="E49" s="69">
        <f>SUMIFS('2 Ingresos'!$I$6:$I$255,'2 Ingresos'!$B$6:$B$255,$A49,'2 Ingresos'!$C$6:$C$255,$B49)</f>
        <v/>
      </c>
      <c r="F49" s="41">
        <f>'6 Inv Final'!$G49</f>
        <v/>
      </c>
      <c r="G49" s="70">
        <f>$D49+$E49-$F49</f>
        <v/>
      </c>
      <c r="H49" s="69">
        <f>SUMIFS('7 Facturas'!$F$6:$F$255,'7 Facturas'!$D$6:$D$255,$A49,'7 Facturas'!$E$6:$E$255,$B49)</f>
        <v/>
      </c>
      <c r="I49" s="69">
        <f>$E49-$H49</f>
        <v/>
      </c>
      <c r="J49" s="69">
        <f>IFERROR(INDEX('8 Fudo Stock'!$H$6:$H$205,MATCH($A49&amp;" | "&amp;$B49,'8 Fudo Stock'!$I$6:$I$205,0)),"")</f>
        <v/>
      </c>
      <c r="K49" s="69">
        <f>IF($J49="","",$G49-$J49)</f>
        <v/>
      </c>
      <c r="L49" s="71">
        <f>IF(OR($J49="",$J49=0),"",$K49/$J49)</f>
        <v/>
      </c>
      <c r="M49" s="72">
        <f>IF(Insumos!$H49="","",Insumos!$H49)</f>
        <v/>
      </c>
      <c r="N49" s="73">
        <f>IF($M49="","",$G49*$M49)</f>
        <v/>
      </c>
      <c r="O49" s="74">
        <f>IF(OR($M49="",$K49=""),"",$K49*$M49)</f>
        <v/>
      </c>
      <c r="P49" s="75">
        <f>IF(AND('1 Inv Inicial'!$E49="",'1 Inv Inicial'!$F49=""),"Falta inventario inicial",IF(AND('6 Inv Final'!$E49="",'6 Inv Final'!$F49=""),"Falta inventario final",IF($G49&lt;0,"Consumo negativo: entro mercaderia sin registrar",IF(AND($L49&lt;&gt;"",ABS($L49)&gt;Config!$B$46),"Desvio alto vs Fudo: investigar",IF(AND($H49&gt;0,ABS($I49)/$H49&gt;Config!$B$46),"Lo recibido no coincide con la factura",IF(AND($J49="",$G49&gt;0),"Sin dato de Fudo para comparar","OK"))))))</f>
        <v/>
      </c>
      <c r="Q49" s="76">
        <f>IF($L49="","",ABS($L49)+ROW()/1000000)</f>
        <v/>
      </c>
      <c r="R49" s="76">
        <f>IF($O49="","",ABS($O49)+ROW()/1000000)</f>
        <v/>
      </c>
    </row>
    <row r="50">
      <c r="A50" s="43">
        <f>Insumos!$A50</f>
        <v/>
      </c>
      <c r="B50" s="44">
        <f>Insumos!$B50</f>
        <v/>
      </c>
      <c r="C50" s="45">
        <f>Insumos!$E50</f>
        <v/>
      </c>
      <c r="D50" s="41">
        <f>'1 Inv Inicial'!$G50</f>
        <v/>
      </c>
      <c r="E50" s="69">
        <f>SUMIFS('2 Ingresos'!$I$6:$I$255,'2 Ingresos'!$B$6:$B$255,$A50,'2 Ingresos'!$C$6:$C$255,$B50)</f>
        <v/>
      </c>
      <c r="F50" s="41">
        <f>'6 Inv Final'!$G50</f>
        <v/>
      </c>
      <c r="G50" s="70">
        <f>$D50+$E50-$F50</f>
        <v/>
      </c>
      <c r="H50" s="69">
        <f>SUMIFS('7 Facturas'!$F$6:$F$255,'7 Facturas'!$D$6:$D$255,$A50,'7 Facturas'!$E$6:$E$255,$B50)</f>
        <v/>
      </c>
      <c r="I50" s="69">
        <f>$E50-$H50</f>
        <v/>
      </c>
      <c r="J50" s="69">
        <f>IFERROR(INDEX('8 Fudo Stock'!$H$6:$H$205,MATCH($A50&amp;" | "&amp;$B50,'8 Fudo Stock'!$I$6:$I$205,0)),"")</f>
        <v/>
      </c>
      <c r="K50" s="69">
        <f>IF($J50="","",$G50-$J50)</f>
        <v/>
      </c>
      <c r="L50" s="71">
        <f>IF(OR($J50="",$J50=0),"",$K50/$J50)</f>
        <v/>
      </c>
      <c r="M50" s="72">
        <f>IF(Insumos!$H50="","",Insumos!$H50)</f>
        <v/>
      </c>
      <c r="N50" s="73">
        <f>IF($M50="","",$G50*$M50)</f>
        <v/>
      </c>
      <c r="O50" s="74">
        <f>IF(OR($M50="",$K50=""),"",$K50*$M50)</f>
        <v/>
      </c>
      <c r="P50" s="75">
        <f>IF(AND('1 Inv Inicial'!$E50="",'1 Inv Inicial'!$F50=""),"Falta inventario inicial",IF(AND('6 Inv Final'!$E50="",'6 Inv Final'!$F50=""),"Falta inventario final",IF($G50&lt;0,"Consumo negativo: entro mercaderia sin registrar",IF(AND($L50&lt;&gt;"",ABS($L50)&gt;Config!$B$46),"Desvio alto vs Fudo: investigar",IF(AND($H50&gt;0,ABS($I50)/$H50&gt;Config!$B$46),"Lo recibido no coincide con la factura",IF(AND($J50="",$G50&gt;0),"Sin dato de Fudo para comparar","OK"))))))</f>
        <v/>
      </c>
      <c r="Q50" s="76">
        <f>IF($L50="","",ABS($L50)+ROW()/1000000)</f>
        <v/>
      </c>
      <c r="R50" s="76">
        <f>IF($O50="","",ABS($O50)+ROW()/1000000)</f>
        <v/>
      </c>
    </row>
    <row r="51">
      <c r="A51" s="38">
        <f>Insumos!$A51</f>
        <v/>
      </c>
      <c r="B51" s="39">
        <f>Insumos!$B51</f>
        <v/>
      </c>
      <c r="C51" s="40">
        <f>Insumos!$E51</f>
        <v/>
      </c>
      <c r="D51" s="41">
        <f>'1 Inv Inicial'!$G51</f>
        <v/>
      </c>
      <c r="E51" s="69">
        <f>SUMIFS('2 Ingresos'!$I$6:$I$255,'2 Ingresos'!$B$6:$B$255,$A51,'2 Ingresos'!$C$6:$C$255,$B51)</f>
        <v/>
      </c>
      <c r="F51" s="41">
        <f>'6 Inv Final'!$G51</f>
        <v/>
      </c>
      <c r="G51" s="70">
        <f>$D51+$E51-$F51</f>
        <v/>
      </c>
      <c r="H51" s="69">
        <f>SUMIFS('7 Facturas'!$F$6:$F$255,'7 Facturas'!$D$6:$D$255,$A51,'7 Facturas'!$E$6:$E$255,$B51)</f>
        <v/>
      </c>
      <c r="I51" s="69">
        <f>$E51-$H51</f>
        <v/>
      </c>
      <c r="J51" s="69">
        <f>IFERROR(INDEX('8 Fudo Stock'!$H$6:$H$205,MATCH($A51&amp;" | "&amp;$B51,'8 Fudo Stock'!$I$6:$I$205,0)),"")</f>
        <v/>
      </c>
      <c r="K51" s="69">
        <f>IF($J51="","",$G51-$J51)</f>
        <v/>
      </c>
      <c r="L51" s="71">
        <f>IF(OR($J51="",$J51=0),"",$K51/$J51)</f>
        <v/>
      </c>
      <c r="M51" s="72">
        <f>IF(Insumos!$H51="","",Insumos!$H51)</f>
        <v/>
      </c>
      <c r="N51" s="73">
        <f>IF($M51="","",$G51*$M51)</f>
        <v/>
      </c>
      <c r="O51" s="74">
        <f>IF(OR($M51="",$K51=""),"",$K51*$M51)</f>
        <v/>
      </c>
      <c r="P51" s="75">
        <f>IF(AND('1 Inv Inicial'!$E51="",'1 Inv Inicial'!$F51=""),"Falta inventario inicial",IF(AND('6 Inv Final'!$E51="",'6 Inv Final'!$F51=""),"Falta inventario final",IF($G51&lt;0,"Consumo negativo: entro mercaderia sin registrar",IF(AND($L51&lt;&gt;"",ABS($L51)&gt;Config!$B$46),"Desvio alto vs Fudo: investigar",IF(AND($H51&gt;0,ABS($I51)/$H51&gt;Config!$B$46),"Lo recibido no coincide con la factura",IF(AND($J51="",$G51&gt;0),"Sin dato de Fudo para comparar","OK"))))))</f>
        <v/>
      </c>
      <c r="Q51" s="76">
        <f>IF($L51="","",ABS($L51)+ROW()/1000000)</f>
        <v/>
      </c>
      <c r="R51" s="76">
        <f>IF($O51="","",ABS($O51)+ROW()/1000000)</f>
        <v/>
      </c>
    </row>
    <row r="52">
      <c r="A52" s="43">
        <f>Insumos!$A52</f>
        <v/>
      </c>
      <c r="B52" s="44">
        <f>Insumos!$B52</f>
        <v/>
      </c>
      <c r="C52" s="45">
        <f>Insumos!$E52</f>
        <v/>
      </c>
      <c r="D52" s="41">
        <f>'1 Inv Inicial'!$G52</f>
        <v/>
      </c>
      <c r="E52" s="69">
        <f>SUMIFS('2 Ingresos'!$I$6:$I$255,'2 Ingresos'!$B$6:$B$255,$A52,'2 Ingresos'!$C$6:$C$255,$B52)</f>
        <v/>
      </c>
      <c r="F52" s="41">
        <f>'6 Inv Final'!$G52</f>
        <v/>
      </c>
      <c r="G52" s="70">
        <f>$D52+$E52-$F52</f>
        <v/>
      </c>
      <c r="H52" s="69">
        <f>SUMIFS('7 Facturas'!$F$6:$F$255,'7 Facturas'!$D$6:$D$255,$A52,'7 Facturas'!$E$6:$E$255,$B52)</f>
        <v/>
      </c>
      <c r="I52" s="69">
        <f>$E52-$H52</f>
        <v/>
      </c>
      <c r="J52" s="69">
        <f>IFERROR(INDEX('8 Fudo Stock'!$H$6:$H$205,MATCH($A52&amp;" | "&amp;$B52,'8 Fudo Stock'!$I$6:$I$205,0)),"")</f>
        <v/>
      </c>
      <c r="K52" s="69">
        <f>IF($J52="","",$G52-$J52)</f>
        <v/>
      </c>
      <c r="L52" s="71">
        <f>IF(OR($J52="",$J52=0),"",$K52/$J52)</f>
        <v/>
      </c>
      <c r="M52" s="72">
        <f>IF(Insumos!$H52="","",Insumos!$H52)</f>
        <v/>
      </c>
      <c r="N52" s="73">
        <f>IF($M52="","",$G52*$M52)</f>
        <v/>
      </c>
      <c r="O52" s="74">
        <f>IF(OR($M52="",$K52=""),"",$K52*$M52)</f>
        <v/>
      </c>
      <c r="P52" s="75">
        <f>IF(AND('1 Inv Inicial'!$E52="",'1 Inv Inicial'!$F52=""),"Falta inventario inicial",IF(AND('6 Inv Final'!$E52="",'6 Inv Final'!$F52=""),"Falta inventario final",IF($G52&lt;0,"Consumo negativo: entro mercaderia sin registrar",IF(AND($L52&lt;&gt;"",ABS($L52)&gt;Config!$B$46),"Desvio alto vs Fudo: investigar",IF(AND($H52&gt;0,ABS($I52)/$H52&gt;Config!$B$46),"Lo recibido no coincide con la factura",IF(AND($J52="",$G52&gt;0),"Sin dato de Fudo para comparar","OK"))))))</f>
        <v/>
      </c>
      <c r="Q52" s="76">
        <f>IF($L52="","",ABS($L52)+ROW()/1000000)</f>
        <v/>
      </c>
      <c r="R52" s="76">
        <f>IF($O52="","",ABS($O52)+ROW()/1000000)</f>
        <v/>
      </c>
    </row>
    <row r="53">
      <c r="A53" s="38">
        <f>Insumos!$A53</f>
        <v/>
      </c>
      <c r="B53" s="39">
        <f>Insumos!$B53</f>
        <v/>
      </c>
      <c r="C53" s="40">
        <f>Insumos!$E53</f>
        <v/>
      </c>
      <c r="D53" s="41">
        <f>'1 Inv Inicial'!$G53</f>
        <v/>
      </c>
      <c r="E53" s="69">
        <f>SUMIFS('2 Ingresos'!$I$6:$I$255,'2 Ingresos'!$B$6:$B$255,$A53,'2 Ingresos'!$C$6:$C$255,$B53)</f>
        <v/>
      </c>
      <c r="F53" s="41">
        <f>'6 Inv Final'!$G53</f>
        <v/>
      </c>
      <c r="G53" s="70">
        <f>$D53+$E53-$F53</f>
        <v/>
      </c>
      <c r="H53" s="69">
        <f>SUMIFS('7 Facturas'!$F$6:$F$255,'7 Facturas'!$D$6:$D$255,$A53,'7 Facturas'!$E$6:$E$255,$B53)</f>
        <v/>
      </c>
      <c r="I53" s="69">
        <f>$E53-$H53</f>
        <v/>
      </c>
      <c r="J53" s="69">
        <f>IFERROR(INDEX('8 Fudo Stock'!$H$6:$H$205,MATCH($A53&amp;" | "&amp;$B53,'8 Fudo Stock'!$I$6:$I$205,0)),"")</f>
        <v/>
      </c>
      <c r="K53" s="69">
        <f>IF($J53="","",$G53-$J53)</f>
        <v/>
      </c>
      <c r="L53" s="71">
        <f>IF(OR($J53="",$J53=0),"",$K53/$J53)</f>
        <v/>
      </c>
      <c r="M53" s="72">
        <f>IF(Insumos!$H53="","",Insumos!$H53)</f>
        <v/>
      </c>
      <c r="N53" s="73">
        <f>IF($M53="","",$G53*$M53)</f>
        <v/>
      </c>
      <c r="O53" s="74">
        <f>IF(OR($M53="",$K53=""),"",$K53*$M53)</f>
        <v/>
      </c>
      <c r="P53" s="75">
        <f>IF(AND('1 Inv Inicial'!$E53="",'1 Inv Inicial'!$F53=""),"Falta inventario inicial",IF(AND('6 Inv Final'!$E53="",'6 Inv Final'!$F53=""),"Falta inventario final",IF($G53&lt;0,"Consumo negativo: entro mercaderia sin registrar",IF(AND($L53&lt;&gt;"",ABS($L53)&gt;Config!$B$46),"Desvio alto vs Fudo: investigar",IF(AND($H53&gt;0,ABS($I53)/$H53&gt;Config!$B$46),"Lo recibido no coincide con la factura",IF(AND($J53="",$G53&gt;0),"Sin dato de Fudo para comparar","OK"))))))</f>
        <v/>
      </c>
      <c r="Q53" s="76">
        <f>IF($L53="","",ABS($L53)+ROW()/1000000)</f>
        <v/>
      </c>
      <c r="R53" s="76">
        <f>IF($O53="","",ABS($O53)+ROW()/1000000)</f>
        <v/>
      </c>
    </row>
    <row r="54">
      <c r="A54" s="43">
        <f>Insumos!$A54</f>
        <v/>
      </c>
      <c r="B54" s="44">
        <f>Insumos!$B54</f>
        <v/>
      </c>
      <c r="C54" s="45">
        <f>Insumos!$E54</f>
        <v/>
      </c>
      <c r="D54" s="41">
        <f>'1 Inv Inicial'!$G54</f>
        <v/>
      </c>
      <c r="E54" s="69">
        <f>SUMIFS('2 Ingresos'!$I$6:$I$255,'2 Ingresos'!$B$6:$B$255,$A54,'2 Ingresos'!$C$6:$C$255,$B54)</f>
        <v/>
      </c>
      <c r="F54" s="41">
        <f>'6 Inv Final'!$G54</f>
        <v/>
      </c>
      <c r="G54" s="70">
        <f>$D54+$E54-$F54</f>
        <v/>
      </c>
      <c r="H54" s="69">
        <f>SUMIFS('7 Facturas'!$F$6:$F$255,'7 Facturas'!$D$6:$D$255,$A54,'7 Facturas'!$E$6:$E$255,$B54)</f>
        <v/>
      </c>
      <c r="I54" s="69">
        <f>$E54-$H54</f>
        <v/>
      </c>
      <c r="J54" s="69">
        <f>IFERROR(INDEX('8 Fudo Stock'!$H$6:$H$205,MATCH($A54&amp;" | "&amp;$B54,'8 Fudo Stock'!$I$6:$I$205,0)),"")</f>
        <v/>
      </c>
      <c r="K54" s="69">
        <f>IF($J54="","",$G54-$J54)</f>
        <v/>
      </c>
      <c r="L54" s="71">
        <f>IF(OR($J54="",$J54=0),"",$K54/$J54)</f>
        <v/>
      </c>
      <c r="M54" s="72">
        <f>IF(Insumos!$H54="","",Insumos!$H54)</f>
        <v/>
      </c>
      <c r="N54" s="73">
        <f>IF($M54="","",$G54*$M54)</f>
        <v/>
      </c>
      <c r="O54" s="74">
        <f>IF(OR($M54="",$K54=""),"",$K54*$M54)</f>
        <v/>
      </c>
      <c r="P54" s="75">
        <f>IF(AND('1 Inv Inicial'!$E54="",'1 Inv Inicial'!$F54=""),"Falta inventario inicial",IF(AND('6 Inv Final'!$E54="",'6 Inv Final'!$F54=""),"Falta inventario final",IF($G54&lt;0,"Consumo negativo: entro mercaderia sin registrar",IF(AND($L54&lt;&gt;"",ABS($L54)&gt;Config!$B$46),"Desvio alto vs Fudo: investigar",IF(AND($H54&gt;0,ABS($I54)/$H54&gt;Config!$B$46),"Lo recibido no coincide con la factura",IF(AND($J54="",$G54&gt;0),"Sin dato de Fudo para comparar","OK"))))))</f>
        <v/>
      </c>
      <c r="Q54" s="76">
        <f>IF($L54="","",ABS($L54)+ROW()/1000000)</f>
        <v/>
      </c>
      <c r="R54" s="76">
        <f>IF($O54="","",ABS($O54)+ROW()/1000000)</f>
        <v/>
      </c>
    </row>
    <row r="55">
      <c r="A55" s="38">
        <f>Insumos!$A55</f>
        <v/>
      </c>
      <c r="B55" s="39">
        <f>Insumos!$B55</f>
        <v/>
      </c>
      <c r="C55" s="40">
        <f>Insumos!$E55</f>
        <v/>
      </c>
      <c r="D55" s="41">
        <f>'1 Inv Inicial'!$G55</f>
        <v/>
      </c>
      <c r="E55" s="69">
        <f>SUMIFS('2 Ingresos'!$I$6:$I$255,'2 Ingresos'!$B$6:$B$255,$A55,'2 Ingresos'!$C$6:$C$255,$B55)</f>
        <v/>
      </c>
      <c r="F55" s="41">
        <f>'6 Inv Final'!$G55</f>
        <v/>
      </c>
      <c r="G55" s="70">
        <f>$D55+$E55-$F55</f>
        <v/>
      </c>
      <c r="H55" s="69">
        <f>SUMIFS('7 Facturas'!$F$6:$F$255,'7 Facturas'!$D$6:$D$255,$A55,'7 Facturas'!$E$6:$E$255,$B55)</f>
        <v/>
      </c>
      <c r="I55" s="69">
        <f>$E55-$H55</f>
        <v/>
      </c>
      <c r="J55" s="69">
        <f>IFERROR(INDEX('8 Fudo Stock'!$H$6:$H$205,MATCH($A55&amp;" | "&amp;$B55,'8 Fudo Stock'!$I$6:$I$205,0)),"")</f>
        <v/>
      </c>
      <c r="K55" s="69">
        <f>IF($J55="","",$G55-$J55)</f>
        <v/>
      </c>
      <c r="L55" s="71">
        <f>IF(OR($J55="",$J55=0),"",$K55/$J55)</f>
        <v/>
      </c>
      <c r="M55" s="72">
        <f>IF(Insumos!$H55="","",Insumos!$H55)</f>
        <v/>
      </c>
      <c r="N55" s="73">
        <f>IF($M55="","",$G55*$M55)</f>
        <v/>
      </c>
      <c r="O55" s="74">
        <f>IF(OR($M55="",$K55=""),"",$K55*$M55)</f>
        <v/>
      </c>
      <c r="P55" s="75">
        <f>IF(AND('1 Inv Inicial'!$E55="",'1 Inv Inicial'!$F55=""),"Falta inventario inicial",IF(AND('6 Inv Final'!$E55="",'6 Inv Final'!$F55=""),"Falta inventario final",IF($G55&lt;0,"Consumo negativo: entro mercaderia sin registrar",IF(AND($L55&lt;&gt;"",ABS($L55)&gt;Config!$B$46),"Desvio alto vs Fudo: investigar",IF(AND($H55&gt;0,ABS($I55)/$H55&gt;Config!$B$46),"Lo recibido no coincide con la factura",IF(AND($J55="",$G55&gt;0),"Sin dato de Fudo para comparar","OK"))))))</f>
        <v/>
      </c>
      <c r="Q55" s="76">
        <f>IF($L55="","",ABS($L55)+ROW()/1000000)</f>
        <v/>
      </c>
      <c r="R55" s="76">
        <f>IF($O55="","",ABS($O55)+ROW()/1000000)</f>
        <v/>
      </c>
    </row>
    <row r="56">
      <c r="A56" s="43">
        <f>Insumos!$A56</f>
        <v/>
      </c>
      <c r="B56" s="44">
        <f>Insumos!$B56</f>
        <v/>
      </c>
      <c r="C56" s="45">
        <f>Insumos!$E56</f>
        <v/>
      </c>
      <c r="D56" s="41">
        <f>'1 Inv Inicial'!$G56</f>
        <v/>
      </c>
      <c r="E56" s="69">
        <f>SUMIFS('2 Ingresos'!$I$6:$I$255,'2 Ingresos'!$B$6:$B$255,$A56,'2 Ingresos'!$C$6:$C$255,$B56)</f>
        <v/>
      </c>
      <c r="F56" s="41">
        <f>'6 Inv Final'!$G56</f>
        <v/>
      </c>
      <c r="G56" s="70">
        <f>$D56+$E56-$F56</f>
        <v/>
      </c>
      <c r="H56" s="69">
        <f>SUMIFS('7 Facturas'!$F$6:$F$255,'7 Facturas'!$D$6:$D$255,$A56,'7 Facturas'!$E$6:$E$255,$B56)</f>
        <v/>
      </c>
      <c r="I56" s="69">
        <f>$E56-$H56</f>
        <v/>
      </c>
      <c r="J56" s="69">
        <f>IFERROR(INDEX('8 Fudo Stock'!$H$6:$H$205,MATCH($A56&amp;" | "&amp;$B56,'8 Fudo Stock'!$I$6:$I$205,0)),"")</f>
        <v/>
      </c>
      <c r="K56" s="69">
        <f>IF($J56="","",$G56-$J56)</f>
        <v/>
      </c>
      <c r="L56" s="71">
        <f>IF(OR($J56="",$J56=0),"",$K56/$J56)</f>
        <v/>
      </c>
      <c r="M56" s="72">
        <f>IF(Insumos!$H56="","",Insumos!$H56)</f>
        <v/>
      </c>
      <c r="N56" s="73">
        <f>IF($M56="","",$G56*$M56)</f>
        <v/>
      </c>
      <c r="O56" s="74">
        <f>IF(OR($M56="",$K56=""),"",$K56*$M56)</f>
        <v/>
      </c>
      <c r="P56" s="75">
        <f>IF(AND('1 Inv Inicial'!$E56="",'1 Inv Inicial'!$F56=""),"Falta inventario inicial",IF(AND('6 Inv Final'!$E56="",'6 Inv Final'!$F56=""),"Falta inventario final",IF($G56&lt;0,"Consumo negativo: entro mercaderia sin registrar",IF(AND($L56&lt;&gt;"",ABS($L56)&gt;Config!$B$46),"Desvio alto vs Fudo: investigar",IF(AND($H56&gt;0,ABS($I56)/$H56&gt;Config!$B$46),"Lo recibido no coincide con la factura",IF(AND($J56="",$G56&gt;0),"Sin dato de Fudo para comparar","OK"))))))</f>
        <v/>
      </c>
      <c r="Q56" s="76">
        <f>IF($L56="","",ABS($L56)+ROW()/1000000)</f>
        <v/>
      </c>
      <c r="R56" s="76">
        <f>IF($O56="","",ABS($O56)+ROW()/1000000)</f>
        <v/>
      </c>
    </row>
    <row r="57">
      <c r="A57" s="38">
        <f>Insumos!$A57</f>
        <v/>
      </c>
      <c r="B57" s="39">
        <f>Insumos!$B57</f>
        <v/>
      </c>
      <c r="C57" s="40">
        <f>Insumos!$E57</f>
        <v/>
      </c>
      <c r="D57" s="41">
        <f>'1 Inv Inicial'!$G57</f>
        <v/>
      </c>
      <c r="E57" s="69">
        <f>SUMIFS('2 Ingresos'!$I$6:$I$255,'2 Ingresos'!$B$6:$B$255,$A57,'2 Ingresos'!$C$6:$C$255,$B57)</f>
        <v/>
      </c>
      <c r="F57" s="41">
        <f>'6 Inv Final'!$G57</f>
        <v/>
      </c>
      <c r="G57" s="70">
        <f>$D57+$E57-$F57</f>
        <v/>
      </c>
      <c r="H57" s="69">
        <f>SUMIFS('7 Facturas'!$F$6:$F$255,'7 Facturas'!$D$6:$D$255,$A57,'7 Facturas'!$E$6:$E$255,$B57)</f>
        <v/>
      </c>
      <c r="I57" s="69">
        <f>$E57-$H57</f>
        <v/>
      </c>
      <c r="J57" s="69">
        <f>IFERROR(INDEX('8 Fudo Stock'!$H$6:$H$205,MATCH($A57&amp;" | "&amp;$B57,'8 Fudo Stock'!$I$6:$I$205,0)),"")</f>
        <v/>
      </c>
      <c r="K57" s="69">
        <f>IF($J57="","",$G57-$J57)</f>
        <v/>
      </c>
      <c r="L57" s="71">
        <f>IF(OR($J57="",$J57=0),"",$K57/$J57)</f>
        <v/>
      </c>
      <c r="M57" s="72">
        <f>IF(Insumos!$H57="","",Insumos!$H57)</f>
        <v/>
      </c>
      <c r="N57" s="73">
        <f>IF($M57="","",$G57*$M57)</f>
        <v/>
      </c>
      <c r="O57" s="74">
        <f>IF(OR($M57="",$K57=""),"",$K57*$M57)</f>
        <v/>
      </c>
      <c r="P57" s="75">
        <f>IF(AND('1 Inv Inicial'!$E57="",'1 Inv Inicial'!$F57=""),"Falta inventario inicial",IF(AND('6 Inv Final'!$E57="",'6 Inv Final'!$F57=""),"Falta inventario final",IF($G57&lt;0,"Consumo negativo: entro mercaderia sin registrar",IF(AND($L57&lt;&gt;"",ABS($L57)&gt;Config!$B$46),"Desvio alto vs Fudo: investigar",IF(AND($H57&gt;0,ABS($I57)/$H57&gt;Config!$B$46),"Lo recibido no coincide con la factura",IF(AND($J57="",$G57&gt;0),"Sin dato de Fudo para comparar","OK"))))))</f>
        <v/>
      </c>
      <c r="Q57" s="76">
        <f>IF($L57="","",ABS($L57)+ROW()/1000000)</f>
        <v/>
      </c>
      <c r="R57" s="76">
        <f>IF($O57="","",ABS($O57)+ROW()/1000000)</f>
        <v/>
      </c>
    </row>
    <row r="58">
      <c r="A58" s="43">
        <f>Insumos!$A58</f>
        <v/>
      </c>
      <c r="B58" s="44">
        <f>Insumos!$B58</f>
        <v/>
      </c>
      <c r="C58" s="45">
        <f>Insumos!$E58</f>
        <v/>
      </c>
      <c r="D58" s="41">
        <f>'1 Inv Inicial'!$G58</f>
        <v/>
      </c>
      <c r="E58" s="69">
        <f>SUMIFS('2 Ingresos'!$I$6:$I$255,'2 Ingresos'!$B$6:$B$255,$A58,'2 Ingresos'!$C$6:$C$255,$B58)</f>
        <v/>
      </c>
      <c r="F58" s="41">
        <f>'6 Inv Final'!$G58</f>
        <v/>
      </c>
      <c r="G58" s="70">
        <f>$D58+$E58-$F58</f>
        <v/>
      </c>
      <c r="H58" s="69">
        <f>SUMIFS('7 Facturas'!$F$6:$F$255,'7 Facturas'!$D$6:$D$255,$A58,'7 Facturas'!$E$6:$E$255,$B58)</f>
        <v/>
      </c>
      <c r="I58" s="69">
        <f>$E58-$H58</f>
        <v/>
      </c>
      <c r="J58" s="69">
        <f>IFERROR(INDEX('8 Fudo Stock'!$H$6:$H$205,MATCH($A58&amp;" | "&amp;$B58,'8 Fudo Stock'!$I$6:$I$205,0)),"")</f>
        <v/>
      </c>
      <c r="K58" s="69">
        <f>IF($J58="","",$G58-$J58)</f>
        <v/>
      </c>
      <c r="L58" s="71">
        <f>IF(OR($J58="",$J58=0),"",$K58/$J58)</f>
        <v/>
      </c>
      <c r="M58" s="72">
        <f>IF(Insumos!$H58="","",Insumos!$H58)</f>
        <v/>
      </c>
      <c r="N58" s="73">
        <f>IF($M58="","",$G58*$M58)</f>
        <v/>
      </c>
      <c r="O58" s="74">
        <f>IF(OR($M58="",$K58=""),"",$K58*$M58)</f>
        <v/>
      </c>
      <c r="P58" s="75">
        <f>IF(AND('1 Inv Inicial'!$E58="",'1 Inv Inicial'!$F58=""),"Falta inventario inicial",IF(AND('6 Inv Final'!$E58="",'6 Inv Final'!$F58=""),"Falta inventario final",IF($G58&lt;0,"Consumo negativo: entro mercaderia sin registrar",IF(AND($L58&lt;&gt;"",ABS($L58)&gt;Config!$B$46),"Desvio alto vs Fudo: investigar",IF(AND($H58&gt;0,ABS($I58)/$H58&gt;Config!$B$46),"Lo recibido no coincide con la factura",IF(AND($J58="",$G58&gt;0),"Sin dato de Fudo para comparar","OK"))))))</f>
        <v/>
      </c>
      <c r="Q58" s="76">
        <f>IF($L58="","",ABS($L58)+ROW()/1000000)</f>
        <v/>
      </c>
      <c r="R58" s="76">
        <f>IF($O58="","",ABS($O58)+ROW()/1000000)</f>
        <v/>
      </c>
    </row>
    <row r="59">
      <c r="A59" s="38">
        <f>Insumos!$A59</f>
        <v/>
      </c>
      <c r="B59" s="39">
        <f>Insumos!$B59</f>
        <v/>
      </c>
      <c r="C59" s="40">
        <f>Insumos!$E59</f>
        <v/>
      </c>
      <c r="D59" s="41">
        <f>'1 Inv Inicial'!$G59</f>
        <v/>
      </c>
      <c r="E59" s="69">
        <f>SUMIFS('2 Ingresos'!$I$6:$I$255,'2 Ingresos'!$B$6:$B$255,$A59,'2 Ingresos'!$C$6:$C$255,$B59)</f>
        <v/>
      </c>
      <c r="F59" s="41">
        <f>'6 Inv Final'!$G59</f>
        <v/>
      </c>
      <c r="G59" s="70">
        <f>$D59+$E59-$F59</f>
        <v/>
      </c>
      <c r="H59" s="69">
        <f>SUMIFS('7 Facturas'!$F$6:$F$255,'7 Facturas'!$D$6:$D$255,$A59,'7 Facturas'!$E$6:$E$255,$B59)</f>
        <v/>
      </c>
      <c r="I59" s="69">
        <f>$E59-$H59</f>
        <v/>
      </c>
      <c r="J59" s="69">
        <f>IFERROR(INDEX('8 Fudo Stock'!$H$6:$H$205,MATCH($A59&amp;" | "&amp;$B59,'8 Fudo Stock'!$I$6:$I$205,0)),"")</f>
        <v/>
      </c>
      <c r="K59" s="69">
        <f>IF($J59="","",$G59-$J59)</f>
        <v/>
      </c>
      <c r="L59" s="71">
        <f>IF(OR($J59="",$J59=0),"",$K59/$J59)</f>
        <v/>
      </c>
      <c r="M59" s="72">
        <f>IF(Insumos!$H59="","",Insumos!$H59)</f>
        <v/>
      </c>
      <c r="N59" s="73">
        <f>IF($M59="","",$G59*$M59)</f>
        <v/>
      </c>
      <c r="O59" s="74">
        <f>IF(OR($M59="",$K59=""),"",$K59*$M59)</f>
        <v/>
      </c>
      <c r="P59" s="75">
        <f>IF(AND('1 Inv Inicial'!$E59="",'1 Inv Inicial'!$F59=""),"Falta inventario inicial",IF(AND('6 Inv Final'!$E59="",'6 Inv Final'!$F59=""),"Falta inventario final",IF($G59&lt;0,"Consumo negativo: entro mercaderia sin registrar",IF(AND($L59&lt;&gt;"",ABS($L59)&gt;Config!$B$46),"Desvio alto vs Fudo: investigar",IF(AND($H59&gt;0,ABS($I59)/$H59&gt;Config!$B$46),"Lo recibido no coincide con la factura",IF(AND($J59="",$G59&gt;0),"Sin dato de Fudo para comparar","OK"))))))</f>
        <v/>
      </c>
      <c r="Q59" s="76">
        <f>IF($L59="","",ABS($L59)+ROW()/1000000)</f>
        <v/>
      </c>
      <c r="R59" s="76">
        <f>IF($O59="","",ABS($O59)+ROW()/1000000)</f>
        <v/>
      </c>
    </row>
    <row r="60">
      <c r="A60" s="43">
        <f>Insumos!$A60</f>
        <v/>
      </c>
      <c r="B60" s="44">
        <f>Insumos!$B60</f>
        <v/>
      </c>
      <c r="C60" s="45">
        <f>Insumos!$E60</f>
        <v/>
      </c>
      <c r="D60" s="41">
        <f>'1 Inv Inicial'!$G60</f>
        <v/>
      </c>
      <c r="E60" s="69">
        <f>SUMIFS('2 Ingresos'!$I$6:$I$255,'2 Ingresos'!$B$6:$B$255,$A60,'2 Ingresos'!$C$6:$C$255,$B60)</f>
        <v/>
      </c>
      <c r="F60" s="41">
        <f>'6 Inv Final'!$G60</f>
        <v/>
      </c>
      <c r="G60" s="70">
        <f>$D60+$E60-$F60</f>
        <v/>
      </c>
      <c r="H60" s="69">
        <f>SUMIFS('7 Facturas'!$F$6:$F$255,'7 Facturas'!$D$6:$D$255,$A60,'7 Facturas'!$E$6:$E$255,$B60)</f>
        <v/>
      </c>
      <c r="I60" s="69">
        <f>$E60-$H60</f>
        <v/>
      </c>
      <c r="J60" s="69">
        <f>IFERROR(INDEX('8 Fudo Stock'!$H$6:$H$205,MATCH($A60&amp;" | "&amp;$B60,'8 Fudo Stock'!$I$6:$I$205,0)),"")</f>
        <v/>
      </c>
      <c r="K60" s="69">
        <f>IF($J60="","",$G60-$J60)</f>
        <v/>
      </c>
      <c r="L60" s="71">
        <f>IF(OR($J60="",$J60=0),"",$K60/$J60)</f>
        <v/>
      </c>
      <c r="M60" s="72">
        <f>IF(Insumos!$H60="","",Insumos!$H60)</f>
        <v/>
      </c>
      <c r="N60" s="73">
        <f>IF($M60="","",$G60*$M60)</f>
        <v/>
      </c>
      <c r="O60" s="74">
        <f>IF(OR($M60="",$K60=""),"",$K60*$M60)</f>
        <v/>
      </c>
      <c r="P60" s="75">
        <f>IF(AND('1 Inv Inicial'!$E60="",'1 Inv Inicial'!$F60=""),"Falta inventario inicial",IF(AND('6 Inv Final'!$E60="",'6 Inv Final'!$F60=""),"Falta inventario final",IF($G60&lt;0,"Consumo negativo: entro mercaderia sin registrar",IF(AND($L60&lt;&gt;"",ABS($L60)&gt;Config!$B$46),"Desvio alto vs Fudo: investigar",IF(AND($H60&gt;0,ABS($I60)/$H60&gt;Config!$B$46),"Lo recibido no coincide con la factura",IF(AND($J60="",$G60&gt;0),"Sin dato de Fudo para comparar","OK"))))))</f>
        <v/>
      </c>
      <c r="Q60" s="76">
        <f>IF($L60="","",ABS($L60)+ROW()/1000000)</f>
        <v/>
      </c>
      <c r="R60" s="76">
        <f>IF($O60="","",ABS($O60)+ROW()/1000000)</f>
        <v/>
      </c>
    </row>
    <row r="61">
      <c r="A61" s="38">
        <f>Insumos!$A61</f>
        <v/>
      </c>
      <c r="B61" s="39">
        <f>Insumos!$B61</f>
        <v/>
      </c>
      <c r="C61" s="40">
        <f>Insumos!$E61</f>
        <v/>
      </c>
      <c r="D61" s="41">
        <f>'1 Inv Inicial'!$G61</f>
        <v/>
      </c>
      <c r="E61" s="69">
        <f>SUMIFS('2 Ingresos'!$I$6:$I$255,'2 Ingresos'!$B$6:$B$255,$A61,'2 Ingresos'!$C$6:$C$255,$B61)</f>
        <v/>
      </c>
      <c r="F61" s="41">
        <f>'6 Inv Final'!$G61</f>
        <v/>
      </c>
      <c r="G61" s="70">
        <f>$D61+$E61-$F61</f>
        <v/>
      </c>
      <c r="H61" s="69">
        <f>SUMIFS('7 Facturas'!$F$6:$F$255,'7 Facturas'!$D$6:$D$255,$A61,'7 Facturas'!$E$6:$E$255,$B61)</f>
        <v/>
      </c>
      <c r="I61" s="69">
        <f>$E61-$H61</f>
        <v/>
      </c>
      <c r="J61" s="69">
        <f>IFERROR(INDEX('8 Fudo Stock'!$H$6:$H$205,MATCH($A61&amp;" | "&amp;$B61,'8 Fudo Stock'!$I$6:$I$205,0)),"")</f>
        <v/>
      </c>
      <c r="K61" s="69">
        <f>IF($J61="","",$G61-$J61)</f>
        <v/>
      </c>
      <c r="L61" s="71">
        <f>IF(OR($J61="",$J61=0),"",$K61/$J61)</f>
        <v/>
      </c>
      <c r="M61" s="72">
        <f>IF(Insumos!$H61="","",Insumos!$H61)</f>
        <v/>
      </c>
      <c r="N61" s="73">
        <f>IF($M61="","",$G61*$M61)</f>
        <v/>
      </c>
      <c r="O61" s="74">
        <f>IF(OR($M61="",$K61=""),"",$K61*$M61)</f>
        <v/>
      </c>
      <c r="P61" s="75">
        <f>IF(AND('1 Inv Inicial'!$E61="",'1 Inv Inicial'!$F61=""),"Falta inventario inicial",IF(AND('6 Inv Final'!$E61="",'6 Inv Final'!$F61=""),"Falta inventario final",IF($G61&lt;0,"Consumo negativo: entro mercaderia sin registrar",IF(AND($L61&lt;&gt;"",ABS($L61)&gt;Config!$B$46),"Desvio alto vs Fudo: investigar",IF(AND($H61&gt;0,ABS($I61)/$H61&gt;Config!$B$46),"Lo recibido no coincide con la factura",IF(AND($J61="",$G61&gt;0),"Sin dato de Fudo para comparar","OK"))))))</f>
        <v/>
      </c>
      <c r="Q61" s="76">
        <f>IF($L61="","",ABS($L61)+ROW()/1000000)</f>
        <v/>
      </c>
      <c r="R61" s="76">
        <f>IF($O61="","",ABS($O61)+ROW()/1000000)</f>
        <v/>
      </c>
    </row>
    <row r="62">
      <c r="A62" s="43">
        <f>Insumos!$A62</f>
        <v/>
      </c>
      <c r="B62" s="44">
        <f>Insumos!$B62</f>
        <v/>
      </c>
      <c r="C62" s="45">
        <f>Insumos!$E62</f>
        <v/>
      </c>
      <c r="D62" s="41">
        <f>'1 Inv Inicial'!$G62</f>
        <v/>
      </c>
      <c r="E62" s="69">
        <f>SUMIFS('2 Ingresos'!$I$6:$I$255,'2 Ingresos'!$B$6:$B$255,$A62,'2 Ingresos'!$C$6:$C$255,$B62)</f>
        <v/>
      </c>
      <c r="F62" s="41">
        <f>'6 Inv Final'!$G62</f>
        <v/>
      </c>
      <c r="G62" s="70">
        <f>$D62+$E62-$F62</f>
        <v/>
      </c>
      <c r="H62" s="69">
        <f>SUMIFS('7 Facturas'!$F$6:$F$255,'7 Facturas'!$D$6:$D$255,$A62,'7 Facturas'!$E$6:$E$255,$B62)</f>
        <v/>
      </c>
      <c r="I62" s="69">
        <f>$E62-$H62</f>
        <v/>
      </c>
      <c r="J62" s="69">
        <f>IFERROR(INDEX('8 Fudo Stock'!$H$6:$H$205,MATCH($A62&amp;" | "&amp;$B62,'8 Fudo Stock'!$I$6:$I$205,0)),"")</f>
        <v/>
      </c>
      <c r="K62" s="69">
        <f>IF($J62="","",$G62-$J62)</f>
        <v/>
      </c>
      <c r="L62" s="71">
        <f>IF(OR($J62="",$J62=0),"",$K62/$J62)</f>
        <v/>
      </c>
      <c r="M62" s="72">
        <f>IF(Insumos!$H62="","",Insumos!$H62)</f>
        <v/>
      </c>
      <c r="N62" s="73">
        <f>IF($M62="","",$G62*$M62)</f>
        <v/>
      </c>
      <c r="O62" s="74">
        <f>IF(OR($M62="",$K62=""),"",$K62*$M62)</f>
        <v/>
      </c>
      <c r="P62" s="75">
        <f>IF(AND('1 Inv Inicial'!$E62="",'1 Inv Inicial'!$F62=""),"Falta inventario inicial",IF(AND('6 Inv Final'!$E62="",'6 Inv Final'!$F62=""),"Falta inventario final",IF($G62&lt;0,"Consumo negativo: entro mercaderia sin registrar",IF(AND($L62&lt;&gt;"",ABS($L62)&gt;Config!$B$46),"Desvio alto vs Fudo: investigar",IF(AND($H62&gt;0,ABS($I62)/$H62&gt;Config!$B$46),"Lo recibido no coincide con la factura",IF(AND($J62="",$G62&gt;0),"Sin dato de Fudo para comparar","OK"))))))</f>
        <v/>
      </c>
      <c r="Q62" s="76">
        <f>IF($L62="","",ABS($L62)+ROW()/1000000)</f>
        <v/>
      </c>
      <c r="R62" s="76">
        <f>IF($O62="","",ABS($O62)+ROW()/1000000)</f>
        <v/>
      </c>
    </row>
    <row r="63">
      <c r="A63" s="38">
        <f>Insumos!$A63</f>
        <v/>
      </c>
      <c r="B63" s="39">
        <f>Insumos!$B63</f>
        <v/>
      </c>
      <c r="C63" s="40">
        <f>Insumos!$E63</f>
        <v/>
      </c>
      <c r="D63" s="41">
        <f>'1 Inv Inicial'!$G63</f>
        <v/>
      </c>
      <c r="E63" s="69">
        <f>SUMIFS('2 Ingresos'!$I$6:$I$255,'2 Ingresos'!$B$6:$B$255,$A63,'2 Ingresos'!$C$6:$C$255,$B63)</f>
        <v/>
      </c>
      <c r="F63" s="41">
        <f>'6 Inv Final'!$G63</f>
        <v/>
      </c>
      <c r="G63" s="70">
        <f>$D63+$E63-$F63</f>
        <v/>
      </c>
      <c r="H63" s="69">
        <f>SUMIFS('7 Facturas'!$F$6:$F$255,'7 Facturas'!$D$6:$D$255,$A63,'7 Facturas'!$E$6:$E$255,$B63)</f>
        <v/>
      </c>
      <c r="I63" s="69">
        <f>$E63-$H63</f>
        <v/>
      </c>
      <c r="J63" s="69">
        <f>IFERROR(INDEX('8 Fudo Stock'!$H$6:$H$205,MATCH($A63&amp;" | "&amp;$B63,'8 Fudo Stock'!$I$6:$I$205,0)),"")</f>
        <v/>
      </c>
      <c r="K63" s="69">
        <f>IF($J63="","",$G63-$J63)</f>
        <v/>
      </c>
      <c r="L63" s="71">
        <f>IF(OR($J63="",$J63=0),"",$K63/$J63)</f>
        <v/>
      </c>
      <c r="M63" s="72">
        <f>IF(Insumos!$H63="","",Insumos!$H63)</f>
        <v/>
      </c>
      <c r="N63" s="73">
        <f>IF($M63="","",$G63*$M63)</f>
        <v/>
      </c>
      <c r="O63" s="74">
        <f>IF(OR($M63="",$K63=""),"",$K63*$M63)</f>
        <v/>
      </c>
      <c r="P63" s="75">
        <f>IF(AND('1 Inv Inicial'!$E63="",'1 Inv Inicial'!$F63=""),"Falta inventario inicial",IF(AND('6 Inv Final'!$E63="",'6 Inv Final'!$F63=""),"Falta inventario final",IF($G63&lt;0,"Consumo negativo: entro mercaderia sin registrar",IF(AND($L63&lt;&gt;"",ABS($L63)&gt;Config!$B$46),"Desvio alto vs Fudo: investigar",IF(AND($H63&gt;0,ABS($I63)/$H63&gt;Config!$B$46),"Lo recibido no coincide con la factura",IF(AND($J63="",$G63&gt;0),"Sin dato de Fudo para comparar","OK"))))))</f>
        <v/>
      </c>
      <c r="Q63" s="76">
        <f>IF($L63="","",ABS($L63)+ROW()/1000000)</f>
        <v/>
      </c>
      <c r="R63" s="76">
        <f>IF($O63="","",ABS($O63)+ROW()/1000000)</f>
        <v/>
      </c>
    </row>
    <row r="64">
      <c r="A64" s="43">
        <f>Insumos!$A64</f>
        <v/>
      </c>
      <c r="B64" s="44">
        <f>Insumos!$B64</f>
        <v/>
      </c>
      <c r="C64" s="45">
        <f>Insumos!$E64</f>
        <v/>
      </c>
      <c r="D64" s="41">
        <f>'1 Inv Inicial'!$G64</f>
        <v/>
      </c>
      <c r="E64" s="69">
        <f>SUMIFS('2 Ingresos'!$I$6:$I$255,'2 Ingresos'!$B$6:$B$255,$A64,'2 Ingresos'!$C$6:$C$255,$B64)</f>
        <v/>
      </c>
      <c r="F64" s="41">
        <f>'6 Inv Final'!$G64</f>
        <v/>
      </c>
      <c r="G64" s="70">
        <f>$D64+$E64-$F64</f>
        <v/>
      </c>
      <c r="H64" s="69">
        <f>SUMIFS('7 Facturas'!$F$6:$F$255,'7 Facturas'!$D$6:$D$255,$A64,'7 Facturas'!$E$6:$E$255,$B64)</f>
        <v/>
      </c>
      <c r="I64" s="69">
        <f>$E64-$H64</f>
        <v/>
      </c>
      <c r="J64" s="69">
        <f>IFERROR(INDEX('8 Fudo Stock'!$H$6:$H$205,MATCH($A64&amp;" | "&amp;$B64,'8 Fudo Stock'!$I$6:$I$205,0)),"")</f>
        <v/>
      </c>
      <c r="K64" s="69">
        <f>IF($J64="","",$G64-$J64)</f>
        <v/>
      </c>
      <c r="L64" s="71">
        <f>IF(OR($J64="",$J64=0),"",$K64/$J64)</f>
        <v/>
      </c>
      <c r="M64" s="72">
        <f>IF(Insumos!$H64="","",Insumos!$H64)</f>
        <v/>
      </c>
      <c r="N64" s="73">
        <f>IF($M64="","",$G64*$M64)</f>
        <v/>
      </c>
      <c r="O64" s="74">
        <f>IF(OR($M64="",$K64=""),"",$K64*$M64)</f>
        <v/>
      </c>
      <c r="P64" s="75">
        <f>IF(AND('1 Inv Inicial'!$E64="",'1 Inv Inicial'!$F64=""),"Falta inventario inicial",IF(AND('6 Inv Final'!$E64="",'6 Inv Final'!$F64=""),"Falta inventario final",IF($G64&lt;0,"Consumo negativo: entro mercaderia sin registrar",IF(AND($L64&lt;&gt;"",ABS($L64)&gt;Config!$B$46),"Desvio alto vs Fudo: investigar",IF(AND($H64&gt;0,ABS($I64)/$H64&gt;Config!$B$46),"Lo recibido no coincide con la factura",IF(AND($J64="",$G64&gt;0),"Sin dato de Fudo para comparar","OK"))))))</f>
        <v/>
      </c>
      <c r="Q64" s="76">
        <f>IF($L64="","",ABS($L64)+ROW()/1000000)</f>
        <v/>
      </c>
      <c r="R64" s="76">
        <f>IF($O64="","",ABS($O64)+ROW()/1000000)</f>
        <v/>
      </c>
    </row>
    <row r="65">
      <c r="A65" s="38">
        <f>Insumos!$A65</f>
        <v/>
      </c>
      <c r="B65" s="39">
        <f>Insumos!$B65</f>
        <v/>
      </c>
      <c r="C65" s="40">
        <f>Insumos!$E65</f>
        <v/>
      </c>
      <c r="D65" s="41">
        <f>'1 Inv Inicial'!$G65</f>
        <v/>
      </c>
      <c r="E65" s="69">
        <f>SUMIFS('2 Ingresos'!$I$6:$I$255,'2 Ingresos'!$B$6:$B$255,$A65,'2 Ingresos'!$C$6:$C$255,$B65)</f>
        <v/>
      </c>
      <c r="F65" s="41">
        <f>'6 Inv Final'!$G65</f>
        <v/>
      </c>
      <c r="G65" s="70">
        <f>$D65+$E65-$F65</f>
        <v/>
      </c>
      <c r="H65" s="69">
        <f>SUMIFS('7 Facturas'!$F$6:$F$255,'7 Facturas'!$D$6:$D$255,$A65,'7 Facturas'!$E$6:$E$255,$B65)</f>
        <v/>
      </c>
      <c r="I65" s="69">
        <f>$E65-$H65</f>
        <v/>
      </c>
      <c r="J65" s="69">
        <f>IFERROR(INDEX('8 Fudo Stock'!$H$6:$H$205,MATCH($A65&amp;" | "&amp;$B65,'8 Fudo Stock'!$I$6:$I$205,0)),"")</f>
        <v/>
      </c>
      <c r="K65" s="69">
        <f>IF($J65="","",$G65-$J65)</f>
        <v/>
      </c>
      <c r="L65" s="71">
        <f>IF(OR($J65="",$J65=0),"",$K65/$J65)</f>
        <v/>
      </c>
      <c r="M65" s="72">
        <f>IF(Insumos!$H65="","",Insumos!$H65)</f>
        <v/>
      </c>
      <c r="N65" s="73">
        <f>IF($M65="","",$G65*$M65)</f>
        <v/>
      </c>
      <c r="O65" s="74">
        <f>IF(OR($M65="",$K65=""),"",$K65*$M65)</f>
        <v/>
      </c>
      <c r="P65" s="75">
        <f>IF(AND('1 Inv Inicial'!$E65="",'1 Inv Inicial'!$F65=""),"Falta inventario inicial",IF(AND('6 Inv Final'!$E65="",'6 Inv Final'!$F65=""),"Falta inventario final",IF($G65&lt;0,"Consumo negativo: entro mercaderia sin registrar",IF(AND($L65&lt;&gt;"",ABS($L65)&gt;Config!$B$46),"Desvio alto vs Fudo: investigar",IF(AND($H65&gt;0,ABS($I65)/$H65&gt;Config!$B$46),"Lo recibido no coincide con la factura",IF(AND($J65="",$G65&gt;0),"Sin dato de Fudo para comparar","OK"))))))</f>
        <v/>
      </c>
      <c r="Q65" s="76">
        <f>IF($L65="","",ABS($L65)+ROW()/1000000)</f>
        <v/>
      </c>
      <c r="R65" s="76">
        <f>IF($O65="","",ABS($O65)+ROW()/1000000)</f>
        <v/>
      </c>
    </row>
    <row r="66">
      <c r="A66" s="43">
        <f>Insumos!$A66</f>
        <v/>
      </c>
      <c r="B66" s="44">
        <f>Insumos!$B66</f>
        <v/>
      </c>
      <c r="C66" s="45">
        <f>Insumos!$E66</f>
        <v/>
      </c>
      <c r="D66" s="41">
        <f>'1 Inv Inicial'!$G66</f>
        <v/>
      </c>
      <c r="E66" s="69">
        <f>SUMIFS('2 Ingresos'!$I$6:$I$255,'2 Ingresos'!$B$6:$B$255,$A66,'2 Ingresos'!$C$6:$C$255,$B66)</f>
        <v/>
      </c>
      <c r="F66" s="41">
        <f>'6 Inv Final'!$G66</f>
        <v/>
      </c>
      <c r="G66" s="70">
        <f>$D66+$E66-$F66</f>
        <v/>
      </c>
      <c r="H66" s="69">
        <f>SUMIFS('7 Facturas'!$F$6:$F$255,'7 Facturas'!$D$6:$D$255,$A66,'7 Facturas'!$E$6:$E$255,$B66)</f>
        <v/>
      </c>
      <c r="I66" s="69">
        <f>$E66-$H66</f>
        <v/>
      </c>
      <c r="J66" s="69">
        <f>IFERROR(INDEX('8 Fudo Stock'!$H$6:$H$205,MATCH($A66&amp;" | "&amp;$B66,'8 Fudo Stock'!$I$6:$I$205,0)),"")</f>
        <v/>
      </c>
      <c r="K66" s="69">
        <f>IF($J66="","",$G66-$J66)</f>
        <v/>
      </c>
      <c r="L66" s="71">
        <f>IF(OR($J66="",$J66=0),"",$K66/$J66)</f>
        <v/>
      </c>
      <c r="M66" s="72">
        <f>IF(Insumos!$H66="","",Insumos!$H66)</f>
        <v/>
      </c>
      <c r="N66" s="73">
        <f>IF($M66="","",$G66*$M66)</f>
        <v/>
      </c>
      <c r="O66" s="74">
        <f>IF(OR($M66="",$K66=""),"",$K66*$M66)</f>
        <v/>
      </c>
      <c r="P66" s="75">
        <f>IF(AND('1 Inv Inicial'!$E66="",'1 Inv Inicial'!$F66=""),"Falta inventario inicial",IF(AND('6 Inv Final'!$E66="",'6 Inv Final'!$F66=""),"Falta inventario final",IF($G66&lt;0,"Consumo negativo: entro mercaderia sin registrar",IF(AND($L66&lt;&gt;"",ABS($L66)&gt;Config!$B$46),"Desvio alto vs Fudo: investigar",IF(AND($H66&gt;0,ABS($I66)/$H66&gt;Config!$B$46),"Lo recibido no coincide con la factura",IF(AND($J66="",$G66&gt;0),"Sin dato de Fudo para comparar","OK"))))))</f>
        <v/>
      </c>
      <c r="Q66" s="76">
        <f>IF($L66="","",ABS($L66)+ROW()/1000000)</f>
        <v/>
      </c>
      <c r="R66" s="76">
        <f>IF($O66="","",ABS($O66)+ROW()/1000000)</f>
        <v/>
      </c>
    </row>
    <row r="67">
      <c r="A67" s="38">
        <f>Insumos!$A67</f>
        <v/>
      </c>
      <c r="B67" s="39">
        <f>Insumos!$B67</f>
        <v/>
      </c>
      <c r="C67" s="40">
        <f>Insumos!$E67</f>
        <v/>
      </c>
      <c r="D67" s="41">
        <f>'1 Inv Inicial'!$G67</f>
        <v/>
      </c>
      <c r="E67" s="69">
        <f>SUMIFS('2 Ingresos'!$I$6:$I$255,'2 Ingresos'!$B$6:$B$255,$A67,'2 Ingresos'!$C$6:$C$255,$B67)</f>
        <v/>
      </c>
      <c r="F67" s="41">
        <f>'6 Inv Final'!$G67</f>
        <v/>
      </c>
      <c r="G67" s="70">
        <f>$D67+$E67-$F67</f>
        <v/>
      </c>
      <c r="H67" s="69">
        <f>SUMIFS('7 Facturas'!$F$6:$F$255,'7 Facturas'!$D$6:$D$255,$A67,'7 Facturas'!$E$6:$E$255,$B67)</f>
        <v/>
      </c>
      <c r="I67" s="69">
        <f>$E67-$H67</f>
        <v/>
      </c>
      <c r="J67" s="69">
        <f>IFERROR(INDEX('8 Fudo Stock'!$H$6:$H$205,MATCH($A67&amp;" | "&amp;$B67,'8 Fudo Stock'!$I$6:$I$205,0)),"")</f>
        <v/>
      </c>
      <c r="K67" s="69">
        <f>IF($J67="","",$G67-$J67)</f>
        <v/>
      </c>
      <c r="L67" s="71">
        <f>IF(OR($J67="",$J67=0),"",$K67/$J67)</f>
        <v/>
      </c>
      <c r="M67" s="72">
        <f>IF(Insumos!$H67="","",Insumos!$H67)</f>
        <v/>
      </c>
      <c r="N67" s="73">
        <f>IF($M67="","",$G67*$M67)</f>
        <v/>
      </c>
      <c r="O67" s="74">
        <f>IF(OR($M67="",$K67=""),"",$K67*$M67)</f>
        <v/>
      </c>
      <c r="P67" s="75">
        <f>IF(AND('1 Inv Inicial'!$E67="",'1 Inv Inicial'!$F67=""),"Falta inventario inicial",IF(AND('6 Inv Final'!$E67="",'6 Inv Final'!$F67=""),"Falta inventario final",IF($G67&lt;0,"Consumo negativo: entro mercaderia sin registrar",IF(AND($L67&lt;&gt;"",ABS($L67)&gt;Config!$B$46),"Desvio alto vs Fudo: investigar",IF(AND($H67&gt;0,ABS($I67)/$H67&gt;Config!$B$46),"Lo recibido no coincide con la factura",IF(AND($J67="",$G67&gt;0),"Sin dato de Fudo para comparar","OK"))))))</f>
        <v/>
      </c>
      <c r="Q67" s="76">
        <f>IF($L67="","",ABS($L67)+ROW()/1000000)</f>
        <v/>
      </c>
      <c r="R67" s="76">
        <f>IF($O67="","",ABS($O67)+ROW()/1000000)</f>
        <v/>
      </c>
    </row>
    <row r="68">
      <c r="A68" s="43">
        <f>Insumos!$A68</f>
        <v/>
      </c>
      <c r="B68" s="44">
        <f>Insumos!$B68</f>
        <v/>
      </c>
      <c r="C68" s="45">
        <f>Insumos!$E68</f>
        <v/>
      </c>
      <c r="D68" s="41">
        <f>'1 Inv Inicial'!$G68</f>
        <v/>
      </c>
      <c r="E68" s="69">
        <f>SUMIFS('2 Ingresos'!$I$6:$I$255,'2 Ingresos'!$B$6:$B$255,$A68,'2 Ingresos'!$C$6:$C$255,$B68)</f>
        <v/>
      </c>
      <c r="F68" s="41">
        <f>'6 Inv Final'!$G68</f>
        <v/>
      </c>
      <c r="G68" s="70">
        <f>$D68+$E68-$F68</f>
        <v/>
      </c>
      <c r="H68" s="69">
        <f>SUMIFS('7 Facturas'!$F$6:$F$255,'7 Facturas'!$D$6:$D$255,$A68,'7 Facturas'!$E$6:$E$255,$B68)</f>
        <v/>
      </c>
      <c r="I68" s="69">
        <f>$E68-$H68</f>
        <v/>
      </c>
      <c r="J68" s="69">
        <f>IFERROR(INDEX('8 Fudo Stock'!$H$6:$H$205,MATCH($A68&amp;" | "&amp;$B68,'8 Fudo Stock'!$I$6:$I$205,0)),"")</f>
        <v/>
      </c>
      <c r="K68" s="69">
        <f>IF($J68="","",$G68-$J68)</f>
        <v/>
      </c>
      <c r="L68" s="71">
        <f>IF(OR($J68="",$J68=0),"",$K68/$J68)</f>
        <v/>
      </c>
      <c r="M68" s="72">
        <f>IF(Insumos!$H68="","",Insumos!$H68)</f>
        <v/>
      </c>
      <c r="N68" s="73">
        <f>IF($M68="","",$G68*$M68)</f>
        <v/>
      </c>
      <c r="O68" s="74">
        <f>IF(OR($M68="",$K68=""),"",$K68*$M68)</f>
        <v/>
      </c>
      <c r="P68" s="75">
        <f>IF(AND('1 Inv Inicial'!$E68="",'1 Inv Inicial'!$F68=""),"Falta inventario inicial",IF(AND('6 Inv Final'!$E68="",'6 Inv Final'!$F68=""),"Falta inventario final",IF($G68&lt;0,"Consumo negativo: entro mercaderia sin registrar",IF(AND($L68&lt;&gt;"",ABS($L68)&gt;Config!$B$46),"Desvio alto vs Fudo: investigar",IF(AND($H68&gt;0,ABS($I68)/$H68&gt;Config!$B$46),"Lo recibido no coincide con la factura",IF(AND($J68="",$G68&gt;0),"Sin dato de Fudo para comparar","OK"))))))</f>
        <v/>
      </c>
      <c r="Q68" s="76">
        <f>IF($L68="","",ABS($L68)+ROW()/1000000)</f>
        <v/>
      </c>
      <c r="R68" s="76">
        <f>IF($O68="","",ABS($O68)+ROW()/1000000)</f>
        <v/>
      </c>
    </row>
    <row r="69">
      <c r="A69" s="38">
        <f>Insumos!$A69</f>
        <v/>
      </c>
      <c r="B69" s="39">
        <f>Insumos!$B69</f>
        <v/>
      </c>
      <c r="C69" s="40">
        <f>Insumos!$E69</f>
        <v/>
      </c>
      <c r="D69" s="41">
        <f>'1 Inv Inicial'!$G69</f>
        <v/>
      </c>
      <c r="E69" s="69">
        <f>SUMIFS('2 Ingresos'!$I$6:$I$255,'2 Ingresos'!$B$6:$B$255,$A69,'2 Ingresos'!$C$6:$C$255,$B69)</f>
        <v/>
      </c>
      <c r="F69" s="41">
        <f>'6 Inv Final'!$G69</f>
        <v/>
      </c>
      <c r="G69" s="70">
        <f>$D69+$E69-$F69</f>
        <v/>
      </c>
      <c r="H69" s="69">
        <f>SUMIFS('7 Facturas'!$F$6:$F$255,'7 Facturas'!$D$6:$D$255,$A69,'7 Facturas'!$E$6:$E$255,$B69)</f>
        <v/>
      </c>
      <c r="I69" s="69">
        <f>$E69-$H69</f>
        <v/>
      </c>
      <c r="J69" s="69">
        <f>IFERROR(INDEX('8 Fudo Stock'!$H$6:$H$205,MATCH($A69&amp;" | "&amp;$B69,'8 Fudo Stock'!$I$6:$I$205,0)),"")</f>
        <v/>
      </c>
      <c r="K69" s="69">
        <f>IF($J69="","",$G69-$J69)</f>
        <v/>
      </c>
      <c r="L69" s="71">
        <f>IF(OR($J69="",$J69=0),"",$K69/$J69)</f>
        <v/>
      </c>
      <c r="M69" s="72">
        <f>IF(Insumos!$H69="","",Insumos!$H69)</f>
        <v/>
      </c>
      <c r="N69" s="73">
        <f>IF($M69="","",$G69*$M69)</f>
        <v/>
      </c>
      <c r="O69" s="74">
        <f>IF(OR($M69="",$K69=""),"",$K69*$M69)</f>
        <v/>
      </c>
      <c r="P69" s="75">
        <f>IF(AND('1 Inv Inicial'!$E69="",'1 Inv Inicial'!$F69=""),"Falta inventario inicial",IF(AND('6 Inv Final'!$E69="",'6 Inv Final'!$F69=""),"Falta inventario final",IF($G69&lt;0,"Consumo negativo: entro mercaderia sin registrar",IF(AND($L69&lt;&gt;"",ABS($L69)&gt;Config!$B$46),"Desvio alto vs Fudo: investigar",IF(AND($H69&gt;0,ABS($I69)/$H69&gt;Config!$B$46),"Lo recibido no coincide con la factura",IF(AND($J69="",$G69&gt;0),"Sin dato de Fudo para comparar","OK"))))))</f>
        <v/>
      </c>
      <c r="Q69" s="76">
        <f>IF($L69="","",ABS($L69)+ROW()/1000000)</f>
        <v/>
      </c>
      <c r="R69" s="76">
        <f>IF($O69="","",ABS($O69)+ROW()/1000000)</f>
        <v/>
      </c>
    </row>
    <row r="70">
      <c r="A70" s="43">
        <f>Insumos!$A70</f>
        <v/>
      </c>
      <c r="B70" s="44">
        <f>Insumos!$B70</f>
        <v/>
      </c>
      <c r="C70" s="45">
        <f>Insumos!$E70</f>
        <v/>
      </c>
      <c r="D70" s="41">
        <f>'1 Inv Inicial'!$G70</f>
        <v/>
      </c>
      <c r="E70" s="69">
        <f>SUMIFS('2 Ingresos'!$I$6:$I$255,'2 Ingresos'!$B$6:$B$255,$A70,'2 Ingresos'!$C$6:$C$255,$B70)</f>
        <v/>
      </c>
      <c r="F70" s="41">
        <f>'6 Inv Final'!$G70</f>
        <v/>
      </c>
      <c r="G70" s="70">
        <f>$D70+$E70-$F70</f>
        <v/>
      </c>
      <c r="H70" s="69">
        <f>SUMIFS('7 Facturas'!$F$6:$F$255,'7 Facturas'!$D$6:$D$255,$A70,'7 Facturas'!$E$6:$E$255,$B70)</f>
        <v/>
      </c>
      <c r="I70" s="69">
        <f>$E70-$H70</f>
        <v/>
      </c>
      <c r="J70" s="69">
        <f>IFERROR(INDEX('8 Fudo Stock'!$H$6:$H$205,MATCH($A70&amp;" | "&amp;$B70,'8 Fudo Stock'!$I$6:$I$205,0)),"")</f>
        <v/>
      </c>
      <c r="K70" s="69">
        <f>IF($J70="","",$G70-$J70)</f>
        <v/>
      </c>
      <c r="L70" s="71">
        <f>IF(OR($J70="",$J70=0),"",$K70/$J70)</f>
        <v/>
      </c>
      <c r="M70" s="72">
        <f>IF(Insumos!$H70="","",Insumos!$H70)</f>
        <v/>
      </c>
      <c r="N70" s="73">
        <f>IF($M70="","",$G70*$M70)</f>
        <v/>
      </c>
      <c r="O70" s="74">
        <f>IF(OR($M70="",$K70=""),"",$K70*$M70)</f>
        <v/>
      </c>
      <c r="P70" s="75">
        <f>IF(AND('1 Inv Inicial'!$E70="",'1 Inv Inicial'!$F70=""),"Falta inventario inicial",IF(AND('6 Inv Final'!$E70="",'6 Inv Final'!$F70=""),"Falta inventario final",IF($G70&lt;0,"Consumo negativo: entro mercaderia sin registrar",IF(AND($L70&lt;&gt;"",ABS($L70)&gt;Config!$B$46),"Desvio alto vs Fudo: investigar",IF(AND($H70&gt;0,ABS($I70)/$H70&gt;Config!$B$46),"Lo recibido no coincide con la factura",IF(AND($J70="",$G70&gt;0),"Sin dato de Fudo para comparar","OK"))))))</f>
        <v/>
      </c>
      <c r="Q70" s="76">
        <f>IF($L70="","",ABS($L70)+ROW()/1000000)</f>
        <v/>
      </c>
      <c r="R70" s="76">
        <f>IF($O70="","",ABS($O70)+ROW()/1000000)</f>
        <v/>
      </c>
    </row>
    <row r="71">
      <c r="A71" s="38">
        <f>Insumos!$A71</f>
        <v/>
      </c>
      <c r="B71" s="39">
        <f>Insumos!$B71</f>
        <v/>
      </c>
      <c r="C71" s="40">
        <f>Insumos!$E71</f>
        <v/>
      </c>
      <c r="D71" s="41">
        <f>'1 Inv Inicial'!$G71</f>
        <v/>
      </c>
      <c r="E71" s="69">
        <f>SUMIFS('2 Ingresos'!$I$6:$I$255,'2 Ingresos'!$B$6:$B$255,$A71,'2 Ingresos'!$C$6:$C$255,$B71)</f>
        <v/>
      </c>
      <c r="F71" s="41">
        <f>'6 Inv Final'!$G71</f>
        <v/>
      </c>
      <c r="G71" s="70">
        <f>$D71+$E71-$F71</f>
        <v/>
      </c>
      <c r="H71" s="69">
        <f>SUMIFS('7 Facturas'!$F$6:$F$255,'7 Facturas'!$D$6:$D$255,$A71,'7 Facturas'!$E$6:$E$255,$B71)</f>
        <v/>
      </c>
      <c r="I71" s="69">
        <f>$E71-$H71</f>
        <v/>
      </c>
      <c r="J71" s="69">
        <f>IFERROR(INDEX('8 Fudo Stock'!$H$6:$H$205,MATCH($A71&amp;" | "&amp;$B71,'8 Fudo Stock'!$I$6:$I$205,0)),"")</f>
        <v/>
      </c>
      <c r="K71" s="69">
        <f>IF($J71="","",$G71-$J71)</f>
        <v/>
      </c>
      <c r="L71" s="71">
        <f>IF(OR($J71="",$J71=0),"",$K71/$J71)</f>
        <v/>
      </c>
      <c r="M71" s="72">
        <f>IF(Insumos!$H71="","",Insumos!$H71)</f>
        <v/>
      </c>
      <c r="N71" s="73">
        <f>IF($M71="","",$G71*$M71)</f>
        <v/>
      </c>
      <c r="O71" s="74">
        <f>IF(OR($M71="",$K71=""),"",$K71*$M71)</f>
        <v/>
      </c>
      <c r="P71" s="75">
        <f>IF(AND('1 Inv Inicial'!$E71="",'1 Inv Inicial'!$F71=""),"Falta inventario inicial",IF(AND('6 Inv Final'!$E71="",'6 Inv Final'!$F71=""),"Falta inventario final",IF($G71&lt;0,"Consumo negativo: entro mercaderia sin registrar",IF(AND($L71&lt;&gt;"",ABS($L71)&gt;Config!$B$46),"Desvio alto vs Fudo: investigar",IF(AND($H71&gt;0,ABS($I71)/$H71&gt;Config!$B$46),"Lo recibido no coincide con la factura",IF(AND($J71="",$G71&gt;0),"Sin dato de Fudo para comparar","OK"))))))</f>
        <v/>
      </c>
      <c r="Q71" s="76">
        <f>IF($L71="","",ABS($L71)+ROW()/1000000)</f>
        <v/>
      </c>
      <c r="R71" s="76">
        <f>IF($O71="","",ABS($O71)+ROW()/1000000)</f>
        <v/>
      </c>
    </row>
    <row r="72">
      <c r="A72" s="43">
        <f>Insumos!$A72</f>
        <v/>
      </c>
      <c r="B72" s="44">
        <f>Insumos!$B72</f>
        <v/>
      </c>
      <c r="C72" s="45">
        <f>Insumos!$E72</f>
        <v/>
      </c>
      <c r="D72" s="41">
        <f>'1 Inv Inicial'!$G72</f>
        <v/>
      </c>
      <c r="E72" s="69">
        <f>SUMIFS('2 Ingresos'!$I$6:$I$255,'2 Ingresos'!$B$6:$B$255,$A72,'2 Ingresos'!$C$6:$C$255,$B72)</f>
        <v/>
      </c>
      <c r="F72" s="41">
        <f>'6 Inv Final'!$G72</f>
        <v/>
      </c>
      <c r="G72" s="70">
        <f>$D72+$E72-$F72</f>
        <v/>
      </c>
      <c r="H72" s="69">
        <f>SUMIFS('7 Facturas'!$F$6:$F$255,'7 Facturas'!$D$6:$D$255,$A72,'7 Facturas'!$E$6:$E$255,$B72)</f>
        <v/>
      </c>
      <c r="I72" s="69">
        <f>$E72-$H72</f>
        <v/>
      </c>
      <c r="J72" s="69">
        <f>IFERROR(INDEX('8 Fudo Stock'!$H$6:$H$205,MATCH($A72&amp;" | "&amp;$B72,'8 Fudo Stock'!$I$6:$I$205,0)),"")</f>
        <v/>
      </c>
      <c r="K72" s="69">
        <f>IF($J72="","",$G72-$J72)</f>
        <v/>
      </c>
      <c r="L72" s="71">
        <f>IF(OR($J72="",$J72=0),"",$K72/$J72)</f>
        <v/>
      </c>
      <c r="M72" s="72">
        <f>IF(Insumos!$H72="","",Insumos!$H72)</f>
        <v/>
      </c>
      <c r="N72" s="73">
        <f>IF($M72="","",$G72*$M72)</f>
        <v/>
      </c>
      <c r="O72" s="74">
        <f>IF(OR($M72="",$K72=""),"",$K72*$M72)</f>
        <v/>
      </c>
      <c r="P72" s="75">
        <f>IF(AND('1 Inv Inicial'!$E72="",'1 Inv Inicial'!$F72=""),"Falta inventario inicial",IF(AND('6 Inv Final'!$E72="",'6 Inv Final'!$F72=""),"Falta inventario final",IF($G72&lt;0,"Consumo negativo: entro mercaderia sin registrar",IF(AND($L72&lt;&gt;"",ABS($L72)&gt;Config!$B$46),"Desvio alto vs Fudo: investigar",IF(AND($H72&gt;0,ABS($I72)/$H72&gt;Config!$B$46),"Lo recibido no coincide con la factura",IF(AND($J72="",$G72&gt;0),"Sin dato de Fudo para comparar","OK"))))))</f>
        <v/>
      </c>
      <c r="Q72" s="76">
        <f>IF($L72="","",ABS($L72)+ROW()/1000000)</f>
        <v/>
      </c>
      <c r="R72" s="76">
        <f>IF($O72="","",ABS($O72)+ROW()/1000000)</f>
        <v/>
      </c>
    </row>
    <row r="73">
      <c r="A73" s="38">
        <f>Insumos!$A73</f>
        <v/>
      </c>
      <c r="B73" s="39">
        <f>Insumos!$B73</f>
        <v/>
      </c>
      <c r="C73" s="40">
        <f>Insumos!$E73</f>
        <v/>
      </c>
      <c r="D73" s="41">
        <f>'1 Inv Inicial'!$G73</f>
        <v/>
      </c>
      <c r="E73" s="69">
        <f>SUMIFS('2 Ingresos'!$I$6:$I$255,'2 Ingresos'!$B$6:$B$255,$A73,'2 Ingresos'!$C$6:$C$255,$B73)</f>
        <v/>
      </c>
      <c r="F73" s="41">
        <f>'6 Inv Final'!$G73</f>
        <v/>
      </c>
      <c r="G73" s="70">
        <f>$D73+$E73-$F73</f>
        <v/>
      </c>
      <c r="H73" s="69">
        <f>SUMIFS('7 Facturas'!$F$6:$F$255,'7 Facturas'!$D$6:$D$255,$A73,'7 Facturas'!$E$6:$E$255,$B73)</f>
        <v/>
      </c>
      <c r="I73" s="69">
        <f>$E73-$H73</f>
        <v/>
      </c>
      <c r="J73" s="69">
        <f>IFERROR(INDEX('8 Fudo Stock'!$H$6:$H$205,MATCH($A73&amp;" | "&amp;$B73,'8 Fudo Stock'!$I$6:$I$205,0)),"")</f>
        <v/>
      </c>
      <c r="K73" s="69">
        <f>IF($J73="","",$G73-$J73)</f>
        <v/>
      </c>
      <c r="L73" s="71">
        <f>IF(OR($J73="",$J73=0),"",$K73/$J73)</f>
        <v/>
      </c>
      <c r="M73" s="72">
        <f>IF(Insumos!$H73="","",Insumos!$H73)</f>
        <v/>
      </c>
      <c r="N73" s="73">
        <f>IF($M73="","",$G73*$M73)</f>
        <v/>
      </c>
      <c r="O73" s="74">
        <f>IF(OR($M73="",$K73=""),"",$K73*$M73)</f>
        <v/>
      </c>
      <c r="P73" s="75">
        <f>IF(AND('1 Inv Inicial'!$E73="",'1 Inv Inicial'!$F73=""),"Falta inventario inicial",IF(AND('6 Inv Final'!$E73="",'6 Inv Final'!$F73=""),"Falta inventario final",IF($G73&lt;0,"Consumo negativo: entro mercaderia sin registrar",IF(AND($L73&lt;&gt;"",ABS($L73)&gt;Config!$B$46),"Desvio alto vs Fudo: investigar",IF(AND($H73&gt;0,ABS($I73)/$H73&gt;Config!$B$46),"Lo recibido no coincide con la factura",IF(AND($J73="",$G73&gt;0),"Sin dato de Fudo para comparar","OK"))))))</f>
        <v/>
      </c>
      <c r="Q73" s="76">
        <f>IF($L73="","",ABS($L73)+ROW()/1000000)</f>
        <v/>
      </c>
      <c r="R73" s="76">
        <f>IF($O73="","",ABS($O73)+ROW()/1000000)</f>
        <v/>
      </c>
    </row>
    <row r="74">
      <c r="A74" s="43">
        <f>Insumos!$A74</f>
        <v/>
      </c>
      <c r="B74" s="44">
        <f>Insumos!$B74</f>
        <v/>
      </c>
      <c r="C74" s="45">
        <f>Insumos!$E74</f>
        <v/>
      </c>
      <c r="D74" s="41">
        <f>'1 Inv Inicial'!$G74</f>
        <v/>
      </c>
      <c r="E74" s="69">
        <f>SUMIFS('2 Ingresos'!$I$6:$I$255,'2 Ingresos'!$B$6:$B$255,$A74,'2 Ingresos'!$C$6:$C$255,$B74)</f>
        <v/>
      </c>
      <c r="F74" s="41">
        <f>'6 Inv Final'!$G74</f>
        <v/>
      </c>
      <c r="G74" s="70">
        <f>$D74+$E74-$F74</f>
        <v/>
      </c>
      <c r="H74" s="69">
        <f>SUMIFS('7 Facturas'!$F$6:$F$255,'7 Facturas'!$D$6:$D$255,$A74,'7 Facturas'!$E$6:$E$255,$B74)</f>
        <v/>
      </c>
      <c r="I74" s="69">
        <f>$E74-$H74</f>
        <v/>
      </c>
      <c r="J74" s="69">
        <f>IFERROR(INDEX('8 Fudo Stock'!$H$6:$H$205,MATCH($A74&amp;" | "&amp;$B74,'8 Fudo Stock'!$I$6:$I$205,0)),"")</f>
        <v/>
      </c>
      <c r="K74" s="69">
        <f>IF($J74="","",$G74-$J74)</f>
        <v/>
      </c>
      <c r="L74" s="71">
        <f>IF(OR($J74="",$J74=0),"",$K74/$J74)</f>
        <v/>
      </c>
      <c r="M74" s="72">
        <f>IF(Insumos!$H74="","",Insumos!$H74)</f>
        <v/>
      </c>
      <c r="N74" s="73">
        <f>IF($M74="","",$G74*$M74)</f>
        <v/>
      </c>
      <c r="O74" s="74">
        <f>IF(OR($M74="",$K74=""),"",$K74*$M74)</f>
        <v/>
      </c>
      <c r="P74" s="75">
        <f>IF(AND('1 Inv Inicial'!$E74="",'1 Inv Inicial'!$F74=""),"Falta inventario inicial",IF(AND('6 Inv Final'!$E74="",'6 Inv Final'!$F74=""),"Falta inventario final",IF($G74&lt;0,"Consumo negativo: entro mercaderia sin registrar",IF(AND($L74&lt;&gt;"",ABS($L74)&gt;Config!$B$46),"Desvio alto vs Fudo: investigar",IF(AND($H74&gt;0,ABS($I74)/$H74&gt;Config!$B$46),"Lo recibido no coincide con la factura",IF(AND($J74="",$G74&gt;0),"Sin dato de Fudo para comparar","OK"))))))</f>
        <v/>
      </c>
      <c r="Q74" s="76">
        <f>IF($L74="","",ABS($L74)+ROW()/1000000)</f>
        <v/>
      </c>
      <c r="R74" s="76">
        <f>IF($O74="","",ABS($O74)+ROW()/1000000)</f>
        <v/>
      </c>
    </row>
    <row r="75">
      <c r="A75" s="38">
        <f>Insumos!$A75</f>
        <v/>
      </c>
      <c r="B75" s="39">
        <f>Insumos!$B75</f>
        <v/>
      </c>
      <c r="C75" s="40">
        <f>Insumos!$E75</f>
        <v/>
      </c>
      <c r="D75" s="41">
        <f>'1 Inv Inicial'!$G75</f>
        <v/>
      </c>
      <c r="E75" s="69">
        <f>SUMIFS('2 Ingresos'!$I$6:$I$255,'2 Ingresos'!$B$6:$B$255,$A75,'2 Ingresos'!$C$6:$C$255,$B75)</f>
        <v/>
      </c>
      <c r="F75" s="41">
        <f>'6 Inv Final'!$G75</f>
        <v/>
      </c>
      <c r="G75" s="70">
        <f>$D75+$E75-$F75</f>
        <v/>
      </c>
      <c r="H75" s="69">
        <f>SUMIFS('7 Facturas'!$F$6:$F$255,'7 Facturas'!$D$6:$D$255,$A75,'7 Facturas'!$E$6:$E$255,$B75)</f>
        <v/>
      </c>
      <c r="I75" s="69">
        <f>$E75-$H75</f>
        <v/>
      </c>
      <c r="J75" s="69">
        <f>IFERROR(INDEX('8 Fudo Stock'!$H$6:$H$205,MATCH($A75&amp;" | "&amp;$B75,'8 Fudo Stock'!$I$6:$I$205,0)),"")</f>
        <v/>
      </c>
      <c r="K75" s="69">
        <f>IF($J75="","",$G75-$J75)</f>
        <v/>
      </c>
      <c r="L75" s="71">
        <f>IF(OR($J75="",$J75=0),"",$K75/$J75)</f>
        <v/>
      </c>
      <c r="M75" s="72">
        <f>IF(Insumos!$H75="","",Insumos!$H75)</f>
        <v/>
      </c>
      <c r="N75" s="73">
        <f>IF($M75="","",$G75*$M75)</f>
        <v/>
      </c>
      <c r="O75" s="74">
        <f>IF(OR($M75="",$K75=""),"",$K75*$M75)</f>
        <v/>
      </c>
      <c r="P75" s="75">
        <f>IF(AND('1 Inv Inicial'!$E75="",'1 Inv Inicial'!$F75=""),"Falta inventario inicial",IF(AND('6 Inv Final'!$E75="",'6 Inv Final'!$F75=""),"Falta inventario final",IF($G75&lt;0,"Consumo negativo: entro mercaderia sin registrar",IF(AND($L75&lt;&gt;"",ABS($L75)&gt;Config!$B$46),"Desvio alto vs Fudo: investigar",IF(AND($H75&gt;0,ABS($I75)/$H75&gt;Config!$B$46),"Lo recibido no coincide con la factura",IF(AND($J75="",$G75&gt;0),"Sin dato de Fudo para comparar","OK"))))))</f>
        <v/>
      </c>
      <c r="Q75" s="76">
        <f>IF($L75="","",ABS($L75)+ROW()/1000000)</f>
        <v/>
      </c>
      <c r="R75" s="76">
        <f>IF($O75="","",ABS($O75)+ROW()/1000000)</f>
        <v/>
      </c>
    </row>
    <row r="76">
      <c r="A76" s="43">
        <f>Insumos!$A76</f>
        <v/>
      </c>
      <c r="B76" s="44">
        <f>Insumos!$B76</f>
        <v/>
      </c>
      <c r="C76" s="45">
        <f>Insumos!$E76</f>
        <v/>
      </c>
      <c r="D76" s="41">
        <f>'1 Inv Inicial'!$G76</f>
        <v/>
      </c>
      <c r="E76" s="69">
        <f>SUMIFS('2 Ingresos'!$I$6:$I$255,'2 Ingresos'!$B$6:$B$255,$A76,'2 Ingresos'!$C$6:$C$255,$B76)</f>
        <v/>
      </c>
      <c r="F76" s="41">
        <f>'6 Inv Final'!$G76</f>
        <v/>
      </c>
      <c r="G76" s="70">
        <f>$D76+$E76-$F76</f>
        <v/>
      </c>
      <c r="H76" s="69">
        <f>SUMIFS('7 Facturas'!$F$6:$F$255,'7 Facturas'!$D$6:$D$255,$A76,'7 Facturas'!$E$6:$E$255,$B76)</f>
        <v/>
      </c>
      <c r="I76" s="69">
        <f>$E76-$H76</f>
        <v/>
      </c>
      <c r="J76" s="69">
        <f>IFERROR(INDEX('8 Fudo Stock'!$H$6:$H$205,MATCH($A76&amp;" | "&amp;$B76,'8 Fudo Stock'!$I$6:$I$205,0)),"")</f>
        <v/>
      </c>
      <c r="K76" s="69">
        <f>IF($J76="","",$G76-$J76)</f>
        <v/>
      </c>
      <c r="L76" s="71">
        <f>IF(OR($J76="",$J76=0),"",$K76/$J76)</f>
        <v/>
      </c>
      <c r="M76" s="72">
        <f>IF(Insumos!$H76="","",Insumos!$H76)</f>
        <v/>
      </c>
      <c r="N76" s="73">
        <f>IF($M76="","",$G76*$M76)</f>
        <v/>
      </c>
      <c r="O76" s="74">
        <f>IF(OR($M76="",$K76=""),"",$K76*$M76)</f>
        <v/>
      </c>
      <c r="P76" s="75">
        <f>IF(AND('1 Inv Inicial'!$E76="",'1 Inv Inicial'!$F76=""),"Falta inventario inicial",IF(AND('6 Inv Final'!$E76="",'6 Inv Final'!$F76=""),"Falta inventario final",IF($G76&lt;0,"Consumo negativo: entro mercaderia sin registrar",IF(AND($L76&lt;&gt;"",ABS($L76)&gt;Config!$B$46),"Desvio alto vs Fudo: investigar",IF(AND($H76&gt;0,ABS($I76)/$H76&gt;Config!$B$46),"Lo recibido no coincide con la factura",IF(AND($J76="",$G76&gt;0),"Sin dato de Fudo para comparar","OK"))))))</f>
        <v/>
      </c>
      <c r="Q76" s="76">
        <f>IF($L76="","",ABS($L76)+ROW()/1000000)</f>
        <v/>
      </c>
      <c r="R76" s="76">
        <f>IF($O76="","",ABS($O76)+ROW()/1000000)</f>
        <v/>
      </c>
    </row>
    <row r="77">
      <c r="A77" s="38">
        <f>Insumos!$A77</f>
        <v/>
      </c>
      <c r="B77" s="39">
        <f>Insumos!$B77</f>
        <v/>
      </c>
      <c r="C77" s="40">
        <f>Insumos!$E77</f>
        <v/>
      </c>
      <c r="D77" s="41">
        <f>'1 Inv Inicial'!$G77</f>
        <v/>
      </c>
      <c r="E77" s="69">
        <f>SUMIFS('2 Ingresos'!$I$6:$I$255,'2 Ingresos'!$B$6:$B$255,$A77,'2 Ingresos'!$C$6:$C$255,$B77)</f>
        <v/>
      </c>
      <c r="F77" s="41">
        <f>'6 Inv Final'!$G77</f>
        <v/>
      </c>
      <c r="G77" s="70">
        <f>$D77+$E77-$F77</f>
        <v/>
      </c>
      <c r="H77" s="69">
        <f>SUMIFS('7 Facturas'!$F$6:$F$255,'7 Facturas'!$D$6:$D$255,$A77,'7 Facturas'!$E$6:$E$255,$B77)</f>
        <v/>
      </c>
      <c r="I77" s="69">
        <f>$E77-$H77</f>
        <v/>
      </c>
      <c r="J77" s="69">
        <f>IFERROR(INDEX('8 Fudo Stock'!$H$6:$H$205,MATCH($A77&amp;" | "&amp;$B77,'8 Fudo Stock'!$I$6:$I$205,0)),"")</f>
        <v/>
      </c>
      <c r="K77" s="69">
        <f>IF($J77="","",$G77-$J77)</f>
        <v/>
      </c>
      <c r="L77" s="71">
        <f>IF(OR($J77="",$J77=0),"",$K77/$J77)</f>
        <v/>
      </c>
      <c r="M77" s="72">
        <f>IF(Insumos!$H77="","",Insumos!$H77)</f>
        <v/>
      </c>
      <c r="N77" s="73">
        <f>IF($M77="","",$G77*$M77)</f>
        <v/>
      </c>
      <c r="O77" s="74">
        <f>IF(OR($M77="",$K77=""),"",$K77*$M77)</f>
        <v/>
      </c>
      <c r="P77" s="75">
        <f>IF(AND('1 Inv Inicial'!$E77="",'1 Inv Inicial'!$F77=""),"Falta inventario inicial",IF(AND('6 Inv Final'!$E77="",'6 Inv Final'!$F77=""),"Falta inventario final",IF($G77&lt;0,"Consumo negativo: entro mercaderia sin registrar",IF(AND($L77&lt;&gt;"",ABS($L77)&gt;Config!$B$46),"Desvio alto vs Fudo: investigar",IF(AND($H77&gt;0,ABS($I77)/$H77&gt;Config!$B$46),"Lo recibido no coincide con la factura",IF(AND($J77="",$G77&gt;0),"Sin dato de Fudo para comparar","OK"))))))</f>
        <v/>
      </c>
      <c r="Q77" s="76">
        <f>IF($L77="","",ABS($L77)+ROW()/1000000)</f>
        <v/>
      </c>
      <c r="R77" s="76">
        <f>IF($O77="","",ABS($O77)+ROW()/1000000)</f>
        <v/>
      </c>
    </row>
    <row r="78">
      <c r="A78" s="43">
        <f>Insumos!$A78</f>
        <v/>
      </c>
      <c r="B78" s="44">
        <f>Insumos!$B78</f>
        <v/>
      </c>
      <c r="C78" s="45">
        <f>Insumos!$E78</f>
        <v/>
      </c>
      <c r="D78" s="41">
        <f>'1 Inv Inicial'!$G78</f>
        <v/>
      </c>
      <c r="E78" s="69">
        <f>SUMIFS('2 Ingresos'!$I$6:$I$255,'2 Ingresos'!$B$6:$B$255,$A78,'2 Ingresos'!$C$6:$C$255,$B78)</f>
        <v/>
      </c>
      <c r="F78" s="41">
        <f>'6 Inv Final'!$G78</f>
        <v/>
      </c>
      <c r="G78" s="70">
        <f>$D78+$E78-$F78</f>
        <v/>
      </c>
      <c r="H78" s="69">
        <f>SUMIFS('7 Facturas'!$F$6:$F$255,'7 Facturas'!$D$6:$D$255,$A78,'7 Facturas'!$E$6:$E$255,$B78)</f>
        <v/>
      </c>
      <c r="I78" s="69">
        <f>$E78-$H78</f>
        <v/>
      </c>
      <c r="J78" s="69">
        <f>IFERROR(INDEX('8 Fudo Stock'!$H$6:$H$205,MATCH($A78&amp;" | "&amp;$B78,'8 Fudo Stock'!$I$6:$I$205,0)),"")</f>
        <v/>
      </c>
      <c r="K78" s="69">
        <f>IF($J78="","",$G78-$J78)</f>
        <v/>
      </c>
      <c r="L78" s="71">
        <f>IF(OR($J78="",$J78=0),"",$K78/$J78)</f>
        <v/>
      </c>
      <c r="M78" s="72">
        <f>IF(Insumos!$H78="","",Insumos!$H78)</f>
        <v/>
      </c>
      <c r="N78" s="73">
        <f>IF($M78="","",$G78*$M78)</f>
        <v/>
      </c>
      <c r="O78" s="74">
        <f>IF(OR($M78="",$K78=""),"",$K78*$M78)</f>
        <v/>
      </c>
      <c r="P78" s="75">
        <f>IF(AND('1 Inv Inicial'!$E78="",'1 Inv Inicial'!$F78=""),"Falta inventario inicial",IF(AND('6 Inv Final'!$E78="",'6 Inv Final'!$F78=""),"Falta inventario final",IF($G78&lt;0,"Consumo negativo: entro mercaderia sin registrar",IF(AND($L78&lt;&gt;"",ABS($L78)&gt;Config!$B$46),"Desvio alto vs Fudo: investigar",IF(AND($H78&gt;0,ABS($I78)/$H78&gt;Config!$B$46),"Lo recibido no coincide con la factura",IF(AND($J78="",$G78&gt;0),"Sin dato de Fudo para comparar","OK"))))))</f>
        <v/>
      </c>
      <c r="Q78" s="76">
        <f>IF($L78="","",ABS($L78)+ROW()/1000000)</f>
        <v/>
      </c>
      <c r="R78" s="76">
        <f>IF($O78="","",ABS($O78)+ROW()/1000000)</f>
        <v/>
      </c>
    </row>
    <row r="79">
      <c r="A79" s="38">
        <f>Insumos!$A79</f>
        <v/>
      </c>
      <c r="B79" s="39">
        <f>Insumos!$B79</f>
        <v/>
      </c>
      <c r="C79" s="40">
        <f>Insumos!$E79</f>
        <v/>
      </c>
      <c r="D79" s="41">
        <f>'1 Inv Inicial'!$G79</f>
        <v/>
      </c>
      <c r="E79" s="69">
        <f>SUMIFS('2 Ingresos'!$I$6:$I$255,'2 Ingresos'!$B$6:$B$255,$A79,'2 Ingresos'!$C$6:$C$255,$B79)</f>
        <v/>
      </c>
      <c r="F79" s="41">
        <f>'6 Inv Final'!$G79</f>
        <v/>
      </c>
      <c r="G79" s="70">
        <f>$D79+$E79-$F79</f>
        <v/>
      </c>
      <c r="H79" s="69">
        <f>SUMIFS('7 Facturas'!$F$6:$F$255,'7 Facturas'!$D$6:$D$255,$A79,'7 Facturas'!$E$6:$E$255,$B79)</f>
        <v/>
      </c>
      <c r="I79" s="69">
        <f>$E79-$H79</f>
        <v/>
      </c>
      <c r="J79" s="69">
        <f>IFERROR(INDEX('8 Fudo Stock'!$H$6:$H$205,MATCH($A79&amp;" | "&amp;$B79,'8 Fudo Stock'!$I$6:$I$205,0)),"")</f>
        <v/>
      </c>
      <c r="K79" s="69">
        <f>IF($J79="","",$G79-$J79)</f>
        <v/>
      </c>
      <c r="L79" s="71">
        <f>IF(OR($J79="",$J79=0),"",$K79/$J79)</f>
        <v/>
      </c>
      <c r="M79" s="72">
        <f>IF(Insumos!$H79="","",Insumos!$H79)</f>
        <v/>
      </c>
      <c r="N79" s="73">
        <f>IF($M79="","",$G79*$M79)</f>
        <v/>
      </c>
      <c r="O79" s="74">
        <f>IF(OR($M79="",$K79=""),"",$K79*$M79)</f>
        <v/>
      </c>
      <c r="P79" s="75">
        <f>IF(AND('1 Inv Inicial'!$E79="",'1 Inv Inicial'!$F79=""),"Falta inventario inicial",IF(AND('6 Inv Final'!$E79="",'6 Inv Final'!$F79=""),"Falta inventario final",IF($G79&lt;0,"Consumo negativo: entro mercaderia sin registrar",IF(AND($L79&lt;&gt;"",ABS($L79)&gt;Config!$B$46),"Desvio alto vs Fudo: investigar",IF(AND($H79&gt;0,ABS($I79)/$H79&gt;Config!$B$46),"Lo recibido no coincide con la factura",IF(AND($J79="",$G79&gt;0),"Sin dato de Fudo para comparar","OK"))))))</f>
        <v/>
      </c>
      <c r="Q79" s="76">
        <f>IF($L79="","",ABS($L79)+ROW()/1000000)</f>
        <v/>
      </c>
      <c r="R79" s="76">
        <f>IF($O79="","",ABS($O79)+ROW()/1000000)</f>
        <v/>
      </c>
    </row>
    <row r="80">
      <c r="A80" s="43">
        <f>Insumos!$A80</f>
        <v/>
      </c>
      <c r="B80" s="44">
        <f>Insumos!$B80</f>
        <v/>
      </c>
      <c r="C80" s="45">
        <f>Insumos!$E80</f>
        <v/>
      </c>
      <c r="D80" s="41">
        <f>'1 Inv Inicial'!$G80</f>
        <v/>
      </c>
      <c r="E80" s="69">
        <f>SUMIFS('2 Ingresos'!$I$6:$I$255,'2 Ingresos'!$B$6:$B$255,$A80,'2 Ingresos'!$C$6:$C$255,$B80)</f>
        <v/>
      </c>
      <c r="F80" s="41">
        <f>'6 Inv Final'!$G80</f>
        <v/>
      </c>
      <c r="G80" s="70">
        <f>$D80+$E80-$F80</f>
        <v/>
      </c>
      <c r="H80" s="69">
        <f>SUMIFS('7 Facturas'!$F$6:$F$255,'7 Facturas'!$D$6:$D$255,$A80,'7 Facturas'!$E$6:$E$255,$B80)</f>
        <v/>
      </c>
      <c r="I80" s="69">
        <f>$E80-$H80</f>
        <v/>
      </c>
      <c r="J80" s="69">
        <f>IFERROR(INDEX('8 Fudo Stock'!$H$6:$H$205,MATCH($A80&amp;" | "&amp;$B80,'8 Fudo Stock'!$I$6:$I$205,0)),"")</f>
        <v/>
      </c>
      <c r="K80" s="69">
        <f>IF($J80="","",$G80-$J80)</f>
        <v/>
      </c>
      <c r="L80" s="71">
        <f>IF(OR($J80="",$J80=0),"",$K80/$J80)</f>
        <v/>
      </c>
      <c r="M80" s="72">
        <f>IF(Insumos!$H80="","",Insumos!$H80)</f>
        <v/>
      </c>
      <c r="N80" s="73">
        <f>IF($M80="","",$G80*$M80)</f>
        <v/>
      </c>
      <c r="O80" s="74">
        <f>IF(OR($M80="",$K80=""),"",$K80*$M80)</f>
        <v/>
      </c>
      <c r="P80" s="75">
        <f>IF(AND('1 Inv Inicial'!$E80="",'1 Inv Inicial'!$F80=""),"Falta inventario inicial",IF(AND('6 Inv Final'!$E80="",'6 Inv Final'!$F80=""),"Falta inventario final",IF($G80&lt;0,"Consumo negativo: entro mercaderia sin registrar",IF(AND($L80&lt;&gt;"",ABS($L80)&gt;Config!$B$46),"Desvio alto vs Fudo: investigar",IF(AND($H80&gt;0,ABS($I80)/$H80&gt;Config!$B$46),"Lo recibido no coincide con la factura",IF(AND($J80="",$G80&gt;0),"Sin dato de Fudo para comparar","OK"))))))</f>
        <v/>
      </c>
      <c r="Q80" s="76">
        <f>IF($L80="","",ABS($L80)+ROW()/1000000)</f>
        <v/>
      </c>
      <c r="R80" s="76">
        <f>IF($O80="","",ABS($O80)+ROW()/1000000)</f>
        <v/>
      </c>
    </row>
    <row r="81">
      <c r="A81" s="38">
        <f>Insumos!$A81</f>
        <v/>
      </c>
      <c r="B81" s="39">
        <f>Insumos!$B81</f>
        <v/>
      </c>
      <c r="C81" s="40">
        <f>Insumos!$E81</f>
        <v/>
      </c>
      <c r="D81" s="41">
        <f>'1 Inv Inicial'!$G81</f>
        <v/>
      </c>
      <c r="E81" s="69">
        <f>SUMIFS('2 Ingresos'!$I$6:$I$255,'2 Ingresos'!$B$6:$B$255,$A81,'2 Ingresos'!$C$6:$C$255,$B81)</f>
        <v/>
      </c>
      <c r="F81" s="41">
        <f>'6 Inv Final'!$G81</f>
        <v/>
      </c>
      <c r="G81" s="70">
        <f>$D81+$E81-$F81</f>
        <v/>
      </c>
      <c r="H81" s="69">
        <f>SUMIFS('7 Facturas'!$F$6:$F$255,'7 Facturas'!$D$6:$D$255,$A81,'7 Facturas'!$E$6:$E$255,$B81)</f>
        <v/>
      </c>
      <c r="I81" s="69">
        <f>$E81-$H81</f>
        <v/>
      </c>
      <c r="J81" s="69">
        <f>IFERROR(INDEX('8 Fudo Stock'!$H$6:$H$205,MATCH($A81&amp;" | "&amp;$B81,'8 Fudo Stock'!$I$6:$I$205,0)),"")</f>
        <v/>
      </c>
      <c r="K81" s="69">
        <f>IF($J81="","",$G81-$J81)</f>
        <v/>
      </c>
      <c r="L81" s="71">
        <f>IF(OR($J81="",$J81=0),"",$K81/$J81)</f>
        <v/>
      </c>
      <c r="M81" s="72">
        <f>IF(Insumos!$H81="","",Insumos!$H81)</f>
        <v/>
      </c>
      <c r="N81" s="73">
        <f>IF($M81="","",$G81*$M81)</f>
        <v/>
      </c>
      <c r="O81" s="74">
        <f>IF(OR($M81="",$K81=""),"",$K81*$M81)</f>
        <v/>
      </c>
      <c r="P81" s="75">
        <f>IF(AND('1 Inv Inicial'!$E81="",'1 Inv Inicial'!$F81=""),"Falta inventario inicial",IF(AND('6 Inv Final'!$E81="",'6 Inv Final'!$F81=""),"Falta inventario final",IF($G81&lt;0,"Consumo negativo: entro mercaderia sin registrar",IF(AND($L81&lt;&gt;"",ABS($L81)&gt;Config!$B$46),"Desvio alto vs Fudo: investigar",IF(AND($H81&gt;0,ABS($I81)/$H81&gt;Config!$B$46),"Lo recibido no coincide con la factura",IF(AND($J81="",$G81&gt;0),"Sin dato de Fudo para comparar","OK"))))))</f>
        <v/>
      </c>
      <c r="Q81" s="76">
        <f>IF($L81="","",ABS($L81)+ROW()/1000000)</f>
        <v/>
      </c>
      <c r="R81" s="76">
        <f>IF($O81="","",ABS($O81)+ROW()/1000000)</f>
        <v/>
      </c>
    </row>
    <row r="82">
      <c r="A82" s="43">
        <f>Insumos!$A82</f>
        <v/>
      </c>
      <c r="B82" s="44">
        <f>Insumos!$B82</f>
        <v/>
      </c>
      <c r="C82" s="45">
        <f>Insumos!$E82</f>
        <v/>
      </c>
      <c r="D82" s="41">
        <f>'1 Inv Inicial'!$G82</f>
        <v/>
      </c>
      <c r="E82" s="69">
        <f>SUMIFS('2 Ingresos'!$I$6:$I$255,'2 Ingresos'!$B$6:$B$255,$A82,'2 Ingresos'!$C$6:$C$255,$B82)</f>
        <v/>
      </c>
      <c r="F82" s="41">
        <f>'6 Inv Final'!$G82</f>
        <v/>
      </c>
      <c r="G82" s="70">
        <f>$D82+$E82-$F82</f>
        <v/>
      </c>
      <c r="H82" s="69">
        <f>SUMIFS('7 Facturas'!$F$6:$F$255,'7 Facturas'!$D$6:$D$255,$A82,'7 Facturas'!$E$6:$E$255,$B82)</f>
        <v/>
      </c>
      <c r="I82" s="69">
        <f>$E82-$H82</f>
        <v/>
      </c>
      <c r="J82" s="69">
        <f>IFERROR(INDEX('8 Fudo Stock'!$H$6:$H$205,MATCH($A82&amp;" | "&amp;$B82,'8 Fudo Stock'!$I$6:$I$205,0)),"")</f>
        <v/>
      </c>
      <c r="K82" s="69">
        <f>IF($J82="","",$G82-$J82)</f>
        <v/>
      </c>
      <c r="L82" s="71">
        <f>IF(OR($J82="",$J82=0),"",$K82/$J82)</f>
        <v/>
      </c>
      <c r="M82" s="72">
        <f>IF(Insumos!$H82="","",Insumos!$H82)</f>
        <v/>
      </c>
      <c r="N82" s="73">
        <f>IF($M82="","",$G82*$M82)</f>
        <v/>
      </c>
      <c r="O82" s="74">
        <f>IF(OR($M82="",$K82=""),"",$K82*$M82)</f>
        <v/>
      </c>
      <c r="P82" s="75">
        <f>IF(AND('1 Inv Inicial'!$E82="",'1 Inv Inicial'!$F82=""),"Falta inventario inicial",IF(AND('6 Inv Final'!$E82="",'6 Inv Final'!$F82=""),"Falta inventario final",IF($G82&lt;0,"Consumo negativo: entro mercaderia sin registrar",IF(AND($L82&lt;&gt;"",ABS($L82)&gt;Config!$B$46),"Desvio alto vs Fudo: investigar",IF(AND($H82&gt;0,ABS($I82)/$H82&gt;Config!$B$46),"Lo recibido no coincide con la factura",IF(AND($J82="",$G82&gt;0),"Sin dato de Fudo para comparar","OK"))))))</f>
        <v/>
      </c>
      <c r="Q82" s="76">
        <f>IF($L82="","",ABS($L82)+ROW()/1000000)</f>
        <v/>
      </c>
      <c r="R82" s="76">
        <f>IF($O82="","",ABS($O82)+ROW()/1000000)</f>
        <v/>
      </c>
    </row>
    <row r="83">
      <c r="A83" s="38">
        <f>Insumos!$A83</f>
        <v/>
      </c>
      <c r="B83" s="39">
        <f>Insumos!$B83</f>
        <v/>
      </c>
      <c r="C83" s="40">
        <f>Insumos!$E83</f>
        <v/>
      </c>
      <c r="D83" s="41">
        <f>'1 Inv Inicial'!$G83</f>
        <v/>
      </c>
      <c r="E83" s="69">
        <f>SUMIFS('2 Ingresos'!$I$6:$I$255,'2 Ingresos'!$B$6:$B$255,$A83,'2 Ingresos'!$C$6:$C$255,$B83)</f>
        <v/>
      </c>
      <c r="F83" s="41">
        <f>'6 Inv Final'!$G83</f>
        <v/>
      </c>
      <c r="G83" s="70">
        <f>$D83+$E83-$F83</f>
        <v/>
      </c>
      <c r="H83" s="69">
        <f>SUMIFS('7 Facturas'!$F$6:$F$255,'7 Facturas'!$D$6:$D$255,$A83,'7 Facturas'!$E$6:$E$255,$B83)</f>
        <v/>
      </c>
      <c r="I83" s="69">
        <f>$E83-$H83</f>
        <v/>
      </c>
      <c r="J83" s="69">
        <f>IFERROR(INDEX('8 Fudo Stock'!$H$6:$H$205,MATCH($A83&amp;" | "&amp;$B83,'8 Fudo Stock'!$I$6:$I$205,0)),"")</f>
        <v/>
      </c>
      <c r="K83" s="69">
        <f>IF($J83="","",$G83-$J83)</f>
        <v/>
      </c>
      <c r="L83" s="71">
        <f>IF(OR($J83="",$J83=0),"",$K83/$J83)</f>
        <v/>
      </c>
      <c r="M83" s="72">
        <f>IF(Insumos!$H83="","",Insumos!$H83)</f>
        <v/>
      </c>
      <c r="N83" s="73">
        <f>IF($M83="","",$G83*$M83)</f>
        <v/>
      </c>
      <c r="O83" s="74">
        <f>IF(OR($M83="",$K83=""),"",$K83*$M83)</f>
        <v/>
      </c>
      <c r="P83" s="75">
        <f>IF(AND('1 Inv Inicial'!$E83="",'1 Inv Inicial'!$F83=""),"Falta inventario inicial",IF(AND('6 Inv Final'!$E83="",'6 Inv Final'!$F83=""),"Falta inventario final",IF($G83&lt;0,"Consumo negativo: entro mercaderia sin registrar",IF(AND($L83&lt;&gt;"",ABS($L83)&gt;Config!$B$46),"Desvio alto vs Fudo: investigar",IF(AND($H83&gt;0,ABS($I83)/$H83&gt;Config!$B$46),"Lo recibido no coincide con la factura",IF(AND($J83="",$G83&gt;0),"Sin dato de Fudo para comparar","OK"))))))</f>
        <v/>
      </c>
      <c r="Q83" s="76">
        <f>IF($L83="","",ABS($L83)+ROW()/1000000)</f>
        <v/>
      </c>
      <c r="R83" s="76">
        <f>IF($O83="","",ABS($O83)+ROW()/1000000)</f>
        <v/>
      </c>
    </row>
    <row r="84">
      <c r="A84" s="43">
        <f>Insumos!$A84</f>
        <v/>
      </c>
      <c r="B84" s="44">
        <f>Insumos!$B84</f>
        <v/>
      </c>
      <c r="C84" s="45">
        <f>Insumos!$E84</f>
        <v/>
      </c>
      <c r="D84" s="41">
        <f>'1 Inv Inicial'!$G84</f>
        <v/>
      </c>
      <c r="E84" s="69">
        <f>SUMIFS('2 Ingresos'!$I$6:$I$255,'2 Ingresos'!$B$6:$B$255,$A84,'2 Ingresos'!$C$6:$C$255,$B84)</f>
        <v/>
      </c>
      <c r="F84" s="41">
        <f>'6 Inv Final'!$G84</f>
        <v/>
      </c>
      <c r="G84" s="70">
        <f>$D84+$E84-$F84</f>
        <v/>
      </c>
      <c r="H84" s="69">
        <f>SUMIFS('7 Facturas'!$F$6:$F$255,'7 Facturas'!$D$6:$D$255,$A84,'7 Facturas'!$E$6:$E$255,$B84)</f>
        <v/>
      </c>
      <c r="I84" s="69">
        <f>$E84-$H84</f>
        <v/>
      </c>
      <c r="J84" s="69">
        <f>IFERROR(INDEX('8 Fudo Stock'!$H$6:$H$205,MATCH($A84&amp;" | "&amp;$B84,'8 Fudo Stock'!$I$6:$I$205,0)),"")</f>
        <v/>
      </c>
      <c r="K84" s="69">
        <f>IF($J84="","",$G84-$J84)</f>
        <v/>
      </c>
      <c r="L84" s="71">
        <f>IF(OR($J84="",$J84=0),"",$K84/$J84)</f>
        <v/>
      </c>
      <c r="M84" s="72">
        <f>IF(Insumos!$H84="","",Insumos!$H84)</f>
        <v/>
      </c>
      <c r="N84" s="73">
        <f>IF($M84="","",$G84*$M84)</f>
        <v/>
      </c>
      <c r="O84" s="74">
        <f>IF(OR($M84="",$K84=""),"",$K84*$M84)</f>
        <v/>
      </c>
      <c r="P84" s="75">
        <f>IF(AND('1 Inv Inicial'!$E84="",'1 Inv Inicial'!$F84=""),"Falta inventario inicial",IF(AND('6 Inv Final'!$E84="",'6 Inv Final'!$F84=""),"Falta inventario final",IF($G84&lt;0,"Consumo negativo: entro mercaderia sin registrar",IF(AND($L84&lt;&gt;"",ABS($L84)&gt;Config!$B$46),"Desvio alto vs Fudo: investigar",IF(AND($H84&gt;0,ABS($I84)/$H84&gt;Config!$B$46),"Lo recibido no coincide con la factura",IF(AND($J84="",$G84&gt;0),"Sin dato de Fudo para comparar","OK"))))))</f>
        <v/>
      </c>
      <c r="Q84" s="76">
        <f>IF($L84="","",ABS($L84)+ROW()/1000000)</f>
        <v/>
      </c>
      <c r="R84" s="76">
        <f>IF($O84="","",ABS($O84)+ROW()/1000000)</f>
        <v/>
      </c>
    </row>
    <row r="85">
      <c r="A85" s="38">
        <f>Insumos!$A85</f>
        <v/>
      </c>
      <c r="B85" s="39">
        <f>Insumos!$B85</f>
        <v/>
      </c>
      <c r="C85" s="40">
        <f>Insumos!$E85</f>
        <v/>
      </c>
      <c r="D85" s="41">
        <f>'1 Inv Inicial'!$G85</f>
        <v/>
      </c>
      <c r="E85" s="69">
        <f>SUMIFS('2 Ingresos'!$I$6:$I$255,'2 Ingresos'!$B$6:$B$255,$A85,'2 Ingresos'!$C$6:$C$255,$B85)</f>
        <v/>
      </c>
      <c r="F85" s="41">
        <f>'6 Inv Final'!$G85</f>
        <v/>
      </c>
      <c r="G85" s="70">
        <f>$D85+$E85-$F85</f>
        <v/>
      </c>
      <c r="H85" s="69">
        <f>SUMIFS('7 Facturas'!$F$6:$F$255,'7 Facturas'!$D$6:$D$255,$A85,'7 Facturas'!$E$6:$E$255,$B85)</f>
        <v/>
      </c>
      <c r="I85" s="69">
        <f>$E85-$H85</f>
        <v/>
      </c>
      <c r="J85" s="69">
        <f>IFERROR(INDEX('8 Fudo Stock'!$H$6:$H$205,MATCH($A85&amp;" | "&amp;$B85,'8 Fudo Stock'!$I$6:$I$205,0)),"")</f>
        <v/>
      </c>
      <c r="K85" s="69">
        <f>IF($J85="","",$G85-$J85)</f>
        <v/>
      </c>
      <c r="L85" s="71">
        <f>IF(OR($J85="",$J85=0),"",$K85/$J85)</f>
        <v/>
      </c>
      <c r="M85" s="72">
        <f>IF(Insumos!$H85="","",Insumos!$H85)</f>
        <v/>
      </c>
      <c r="N85" s="73">
        <f>IF($M85="","",$G85*$M85)</f>
        <v/>
      </c>
      <c r="O85" s="74">
        <f>IF(OR($M85="",$K85=""),"",$K85*$M85)</f>
        <v/>
      </c>
      <c r="P85" s="75">
        <f>IF(AND('1 Inv Inicial'!$E85="",'1 Inv Inicial'!$F85=""),"Falta inventario inicial",IF(AND('6 Inv Final'!$E85="",'6 Inv Final'!$F85=""),"Falta inventario final",IF($G85&lt;0,"Consumo negativo: entro mercaderia sin registrar",IF(AND($L85&lt;&gt;"",ABS($L85)&gt;Config!$B$46),"Desvio alto vs Fudo: investigar",IF(AND($H85&gt;0,ABS($I85)/$H85&gt;Config!$B$46),"Lo recibido no coincide con la factura",IF(AND($J85="",$G85&gt;0),"Sin dato de Fudo para comparar","OK"))))))</f>
        <v/>
      </c>
      <c r="Q85" s="76">
        <f>IF($L85="","",ABS($L85)+ROW()/1000000)</f>
        <v/>
      </c>
      <c r="R85" s="76">
        <f>IF($O85="","",ABS($O85)+ROW()/1000000)</f>
        <v/>
      </c>
    </row>
    <row r="86">
      <c r="A86" s="43">
        <f>Insumos!$A86</f>
        <v/>
      </c>
      <c r="B86" s="44">
        <f>Insumos!$B86</f>
        <v/>
      </c>
      <c r="C86" s="45">
        <f>Insumos!$E86</f>
        <v/>
      </c>
      <c r="D86" s="41">
        <f>'1 Inv Inicial'!$G86</f>
        <v/>
      </c>
      <c r="E86" s="69">
        <f>SUMIFS('2 Ingresos'!$I$6:$I$255,'2 Ingresos'!$B$6:$B$255,$A86,'2 Ingresos'!$C$6:$C$255,$B86)</f>
        <v/>
      </c>
      <c r="F86" s="41">
        <f>'6 Inv Final'!$G86</f>
        <v/>
      </c>
      <c r="G86" s="70">
        <f>$D86+$E86-$F86</f>
        <v/>
      </c>
      <c r="H86" s="69">
        <f>SUMIFS('7 Facturas'!$F$6:$F$255,'7 Facturas'!$D$6:$D$255,$A86,'7 Facturas'!$E$6:$E$255,$B86)</f>
        <v/>
      </c>
      <c r="I86" s="69">
        <f>$E86-$H86</f>
        <v/>
      </c>
      <c r="J86" s="69">
        <f>IFERROR(INDEX('8 Fudo Stock'!$H$6:$H$205,MATCH($A86&amp;" | "&amp;$B86,'8 Fudo Stock'!$I$6:$I$205,0)),"")</f>
        <v/>
      </c>
      <c r="K86" s="69">
        <f>IF($J86="","",$G86-$J86)</f>
        <v/>
      </c>
      <c r="L86" s="71">
        <f>IF(OR($J86="",$J86=0),"",$K86/$J86)</f>
        <v/>
      </c>
      <c r="M86" s="72">
        <f>IF(Insumos!$H86="","",Insumos!$H86)</f>
        <v/>
      </c>
      <c r="N86" s="73">
        <f>IF($M86="","",$G86*$M86)</f>
        <v/>
      </c>
      <c r="O86" s="74">
        <f>IF(OR($M86="",$K86=""),"",$K86*$M86)</f>
        <v/>
      </c>
      <c r="P86" s="75">
        <f>IF(AND('1 Inv Inicial'!$E86="",'1 Inv Inicial'!$F86=""),"Falta inventario inicial",IF(AND('6 Inv Final'!$E86="",'6 Inv Final'!$F86=""),"Falta inventario final",IF($G86&lt;0,"Consumo negativo: entro mercaderia sin registrar",IF(AND($L86&lt;&gt;"",ABS($L86)&gt;Config!$B$46),"Desvio alto vs Fudo: investigar",IF(AND($H86&gt;0,ABS($I86)/$H86&gt;Config!$B$46),"Lo recibido no coincide con la factura",IF(AND($J86="",$G86&gt;0),"Sin dato de Fudo para comparar","OK"))))))</f>
        <v/>
      </c>
      <c r="Q86" s="76">
        <f>IF($L86="","",ABS($L86)+ROW()/1000000)</f>
        <v/>
      </c>
      <c r="R86" s="76">
        <f>IF($O86="","",ABS($O86)+ROW()/1000000)</f>
        <v/>
      </c>
    </row>
    <row r="87">
      <c r="A87" s="38">
        <f>Insumos!$A87</f>
        <v/>
      </c>
      <c r="B87" s="39">
        <f>Insumos!$B87</f>
        <v/>
      </c>
      <c r="C87" s="40">
        <f>Insumos!$E87</f>
        <v/>
      </c>
      <c r="D87" s="41">
        <f>'1 Inv Inicial'!$G87</f>
        <v/>
      </c>
      <c r="E87" s="69">
        <f>SUMIFS('2 Ingresos'!$I$6:$I$255,'2 Ingresos'!$B$6:$B$255,$A87,'2 Ingresos'!$C$6:$C$255,$B87)</f>
        <v/>
      </c>
      <c r="F87" s="41">
        <f>'6 Inv Final'!$G87</f>
        <v/>
      </c>
      <c r="G87" s="70">
        <f>$D87+$E87-$F87</f>
        <v/>
      </c>
      <c r="H87" s="69">
        <f>SUMIFS('7 Facturas'!$F$6:$F$255,'7 Facturas'!$D$6:$D$255,$A87,'7 Facturas'!$E$6:$E$255,$B87)</f>
        <v/>
      </c>
      <c r="I87" s="69">
        <f>$E87-$H87</f>
        <v/>
      </c>
      <c r="J87" s="69">
        <f>IFERROR(INDEX('8 Fudo Stock'!$H$6:$H$205,MATCH($A87&amp;" | "&amp;$B87,'8 Fudo Stock'!$I$6:$I$205,0)),"")</f>
        <v/>
      </c>
      <c r="K87" s="69">
        <f>IF($J87="","",$G87-$J87)</f>
        <v/>
      </c>
      <c r="L87" s="71">
        <f>IF(OR($J87="",$J87=0),"",$K87/$J87)</f>
        <v/>
      </c>
      <c r="M87" s="72">
        <f>IF(Insumos!$H87="","",Insumos!$H87)</f>
        <v/>
      </c>
      <c r="N87" s="73">
        <f>IF($M87="","",$G87*$M87)</f>
        <v/>
      </c>
      <c r="O87" s="74">
        <f>IF(OR($M87="",$K87=""),"",$K87*$M87)</f>
        <v/>
      </c>
      <c r="P87" s="75">
        <f>IF(AND('1 Inv Inicial'!$E87="",'1 Inv Inicial'!$F87=""),"Falta inventario inicial",IF(AND('6 Inv Final'!$E87="",'6 Inv Final'!$F87=""),"Falta inventario final",IF($G87&lt;0,"Consumo negativo: entro mercaderia sin registrar",IF(AND($L87&lt;&gt;"",ABS($L87)&gt;Config!$B$46),"Desvio alto vs Fudo: investigar",IF(AND($H87&gt;0,ABS($I87)/$H87&gt;Config!$B$46),"Lo recibido no coincide con la factura",IF(AND($J87="",$G87&gt;0),"Sin dato de Fudo para comparar","OK"))))))</f>
        <v/>
      </c>
      <c r="Q87" s="76">
        <f>IF($L87="","",ABS($L87)+ROW()/1000000)</f>
        <v/>
      </c>
      <c r="R87" s="76">
        <f>IF($O87="","",ABS($O87)+ROW()/1000000)</f>
        <v/>
      </c>
    </row>
    <row r="88">
      <c r="A88" s="43">
        <f>Insumos!$A88</f>
        <v/>
      </c>
      <c r="B88" s="44">
        <f>Insumos!$B88</f>
        <v/>
      </c>
      <c r="C88" s="45">
        <f>Insumos!$E88</f>
        <v/>
      </c>
      <c r="D88" s="41">
        <f>'1 Inv Inicial'!$G88</f>
        <v/>
      </c>
      <c r="E88" s="69">
        <f>SUMIFS('2 Ingresos'!$I$6:$I$255,'2 Ingresos'!$B$6:$B$255,$A88,'2 Ingresos'!$C$6:$C$255,$B88)</f>
        <v/>
      </c>
      <c r="F88" s="41">
        <f>'6 Inv Final'!$G88</f>
        <v/>
      </c>
      <c r="G88" s="70">
        <f>$D88+$E88-$F88</f>
        <v/>
      </c>
      <c r="H88" s="69">
        <f>SUMIFS('7 Facturas'!$F$6:$F$255,'7 Facturas'!$D$6:$D$255,$A88,'7 Facturas'!$E$6:$E$255,$B88)</f>
        <v/>
      </c>
      <c r="I88" s="69">
        <f>$E88-$H88</f>
        <v/>
      </c>
      <c r="J88" s="69">
        <f>IFERROR(INDEX('8 Fudo Stock'!$H$6:$H$205,MATCH($A88&amp;" | "&amp;$B88,'8 Fudo Stock'!$I$6:$I$205,0)),"")</f>
        <v/>
      </c>
      <c r="K88" s="69">
        <f>IF($J88="","",$G88-$J88)</f>
        <v/>
      </c>
      <c r="L88" s="71">
        <f>IF(OR($J88="",$J88=0),"",$K88/$J88)</f>
        <v/>
      </c>
      <c r="M88" s="72">
        <f>IF(Insumos!$H88="","",Insumos!$H88)</f>
        <v/>
      </c>
      <c r="N88" s="73">
        <f>IF($M88="","",$G88*$M88)</f>
        <v/>
      </c>
      <c r="O88" s="74">
        <f>IF(OR($M88="",$K88=""),"",$K88*$M88)</f>
        <v/>
      </c>
      <c r="P88" s="75">
        <f>IF(AND('1 Inv Inicial'!$E88="",'1 Inv Inicial'!$F88=""),"Falta inventario inicial",IF(AND('6 Inv Final'!$E88="",'6 Inv Final'!$F88=""),"Falta inventario final",IF($G88&lt;0,"Consumo negativo: entro mercaderia sin registrar",IF(AND($L88&lt;&gt;"",ABS($L88)&gt;Config!$B$46),"Desvio alto vs Fudo: investigar",IF(AND($H88&gt;0,ABS($I88)/$H88&gt;Config!$B$46),"Lo recibido no coincide con la factura",IF(AND($J88="",$G88&gt;0),"Sin dato de Fudo para comparar","OK"))))))</f>
        <v/>
      </c>
      <c r="Q88" s="76">
        <f>IF($L88="","",ABS($L88)+ROW()/1000000)</f>
        <v/>
      </c>
      <c r="R88" s="76">
        <f>IF($O88="","",ABS($O88)+ROW()/1000000)</f>
        <v/>
      </c>
    </row>
    <row r="89">
      <c r="A89" s="38">
        <f>Insumos!$A89</f>
        <v/>
      </c>
      <c r="B89" s="39">
        <f>Insumos!$B89</f>
        <v/>
      </c>
      <c r="C89" s="40">
        <f>Insumos!$E89</f>
        <v/>
      </c>
      <c r="D89" s="41">
        <f>'1 Inv Inicial'!$G89</f>
        <v/>
      </c>
      <c r="E89" s="69">
        <f>SUMIFS('2 Ingresos'!$I$6:$I$255,'2 Ingresos'!$B$6:$B$255,$A89,'2 Ingresos'!$C$6:$C$255,$B89)</f>
        <v/>
      </c>
      <c r="F89" s="41">
        <f>'6 Inv Final'!$G89</f>
        <v/>
      </c>
      <c r="G89" s="70">
        <f>$D89+$E89-$F89</f>
        <v/>
      </c>
      <c r="H89" s="69">
        <f>SUMIFS('7 Facturas'!$F$6:$F$255,'7 Facturas'!$D$6:$D$255,$A89,'7 Facturas'!$E$6:$E$255,$B89)</f>
        <v/>
      </c>
      <c r="I89" s="69">
        <f>$E89-$H89</f>
        <v/>
      </c>
      <c r="J89" s="69">
        <f>IFERROR(INDEX('8 Fudo Stock'!$H$6:$H$205,MATCH($A89&amp;" | "&amp;$B89,'8 Fudo Stock'!$I$6:$I$205,0)),"")</f>
        <v/>
      </c>
      <c r="K89" s="69">
        <f>IF($J89="","",$G89-$J89)</f>
        <v/>
      </c>
      <c r="L89" s="71">
        <f>IF(OR($J89="",$J89=0),"",$K89/$J89)</f>
        <v/>
      </c>
      <c r="M89" s="72">
        <f>IF(Insumos!$H89="","",Insumos!$H89)</f>
        <v/>
      </c>
      <c r="N89" s="73">
        <f>IF($M89="","",$G89*$M89)</f>
        <v/>
      </c>
      <c r="O89" s="74">
        <f>IF(OR($M89="",$K89=""),"",$K89*$M89)</f>
        <v/>
      </c>
      <c r="P89" s="75">
        <f>IF(AND('1 Inv Inicial'!$E89="",'1 Inv Inicial'!$F89=""),"Falta inventario inicial",IF(AND('6 Inv Final'!$E89="",'6 Inv Final'!$F89=""),"Falta inventario final",IF($G89&lt;0,"Consumo negativo: entro mercaderia sin registrar",IF(AND($L89&lt;&gt;"",ABS($L89)&gt;Config!$B$46),"Desvio alto vs Fudo: investigar",IF(AND($H89&gt;0,ABS($I89)/$H89&gt;Config!$B$46),"Lo recibido no coincide con la factura",IF(AND($J89="",$G89&gt;0),"Sin dato de Fudo para comparar","OK"))))))</f>
        <v/>
      </c>
      <c r="Q89" s="76">
        <f>IF($L89="","",ABS($L89)+ROW()/1000000)</f>
        <v/>
      </c>
      <c r="R89" s="76">
        <f>IF($O89="","",ABS($O89)+ROW()/1000000)</f>
        <v/>
      </c>
    </row>
    <row r="90">
      <c r="A90" s="43">
        <f>Insumos!$A90</f>
        <v/>
      </c>
      <c r="B90" s="44">
        <f>Insumos!$B90</f>
        <v/>
      </c>
      <c r="C90" s="45">
        <f>Insumos!$E90</f>
        <v/>
      </c>
      <c r="D90" s="41">
        <f>'1 Inv Inicial'!$G90</f>
        <v/>
      </c>
      <c r="E90" s="69">
        <f>SUMIFS('2 Ingresos'!$I$6:$I$255,'2 Ingresos'!$B$6:$B$255,$A90,'2 Ingresos'!$C$6:$C$255,$B90)</f>
        <v/>
      </c>
      <c r="F90" s="41">
        <f>'6 Inv Final'!$G90</f>
        <v/>
      </c>
      <c r="G90" s="70">
        <f>$D90+$E90-$F90</f>
        <v/>
      </c>
      <c r="H90" s="69">
        <f>SUMIFS('7 Facturas'!$F$6:$F$255,'7 Facturas'!$D$6:$D$255,$A90,'7 Facturas'!$E$6:$E$255,$B90)</f>
        <v/>
      </c>
      <c r="I90" s="69">
        <f>$E90-$H90</f>
        <v/>
      </c>
      <c r="J90" s="69">
        <f>IFERROR(INDEX('8 Fudo Stock'!$H$6:$H$205,MATCH($A90&amp;" | "&amp;$B90,'8 Fudo Stock'!$I$6:$I$205,0)),"")</f>
        <v/>
      </c>
      <c r="K90" s="69">
        <f>IF($J90="","",$G90-$J90)</f>
        <v/>
      </c>
      <c r="L90" s="71">
        <f>IF(OR($J90="",$J90=0),"",$K90/$J90)</f>
        <v/>
      </c>
      <c r="M90" s="72">
        <f>IF(Insumos!$H90="","",Insumos!$H90)</f>
        <v/>
      </c>
      <c r="N90" s="73">
        <f>IF($M90="","",$G90*$M90)</f>
        <v/>
      </c>
      <c r="O90" s="74">
        <f>IF(OR($M90="",$K90=""),"",$K90*$M90)</f>
        <v/>
      </c>
      <c r="P90" s="75">
        <f>IF(AND('1 Inv Inicial'!$E90="",'1 Inv Inicial'!$F90=""),"Falta inventario inicial",IF(AND('6 Inv Final'!$E90="",'6 Inv Final'!$F90=""),"Falta inventario final",IF($G90&lt;0,"Consumo negativo: entro mercaderia sin registrar",IF(AND($L90&lt;&gt;"",ABS($L90)&gt;Config!$B$46),"Desvio alto vs Fudo: investigar",IF(AND($H90&gt;0,ABS($I90)/$H90&gt;Config!$B$46),"Lo recibido no coincide con la factura",IF(AND($J90="",$G90&gt;0),"Sin dato de Fudo para comparar","OK"))))))</f>
        <v/>
      </c>
      <c r="Q90" s="76">
        <f>IF($L90="","",ABS($L90)+ROW()/1000000)</f>
        <v/>
      </c>
      <c r="R90" s="76">
        <f>IF($O90="","",ABS($O90)+ROW()/1000000)</f>
        <v/>
      </c>
    </row>
    <row r="91">
      <c r="A91" s="38">
        <f>Insumos!$A91</f>
        <v/>
      </c>
      <c r="B91" s="39">
        <f>Insumos!$B91</f>
        <v/>
      </c>
      <c r="C91" s="40">
        <f>Insumos!$E91</f>
        <v/>
      </c>
      <c r="D91" s="41">
        <f>'1 Inv Inicial'!$G91</f>
        <v/>
      </c>
      <c r="E91" s="69">
        <f>SUMIFS('2 Ingresos'!$I$6:$I$255,'2 Ingresos'!$B$6:$B$255,$A91,'2 Ingresos'!$C$6:$C$255,$B91)</f>
        <v/>
      </c>
      <c r="F91" s="41">
        <f>'6 Inv Final'!$G91</f>
        <v/>
      </c>
      <c r="G91" s="70">
        <f>$D91+$E91-$F91</f>
        <v/>
      </c>
      <c r="H91" s="69">
        <f>SUMIFS('7 Facturas'!$F$6:$F$255,'7 Facturas'!$D$6:$D$255,$A91,'7 Facturas'!$E$6:$E$255,$B91)</f>
        <v/>
      </c>
      <c r="I91" s="69">
        <f>$E91-$H91</f>
        <v/>
      </c>
      <c r="J91" s="69">
        <f>IFERROR(INDEX('8 Fudo Stock'!$H$6:$H$205,MATCH($A91&amp;" | "&amp;$B91,'8 Fudo Stock'!$I$6:$I$205,0)),"")</f>
        <v/>
      </c>
      <c r="K91" s="69">
        <f>IF($J91="","",$G91-$J91)</f>
        <v/>
      </c>
      <c r="L91" s="71">
        <f>IF(OR($J91="",$J91=0),"",$K91/$J91)</f>
        <v/>
      </c>
      <c r="M91" s="72">
        <f>IF(Insumos!$H91="","",Insumos!$H91)</f>
        <v/>
      </c>
      <c r="N91" s="73">
        <f>IF($M91="","",$G91*$M91)</f>
        <v/>
      </c>
      <c r="O91" s="74">
        <f>IF(OR($M91="",$K91=""),"",$K91*$M91)</f>
        <v/>
      </c>
      <c r="P91" s="75">
        <f>IF(AND('1 Inv Inicial'!$E91="",'1 Inv Inicial'!$F91=""),"Falta inventario inicial",IF(AND('6 Inv Final'!$E91="",'6 Inv Final'!$F91=""),"Falta inventario final",IF($G91&lt;0,"Consumo negativo: entro mercaderia sin registrar",IF(AND($L91&lt;&gt;"",ABS($L91)&gt;Config!$B$46),"Desvio alto vs Fudo: investigar",IF(AND($H91&gt;0,ABS($I91)/$H91&gt;Config!$B$46),"Lo recibido no coincide con la factura",IF(AND($J91="",$G91&gt;0),"Sin dato de Fudo para comparar","OK"))))))</f>
        <v/>
      </c>
      <c r="Q91" s="76">
        <f>IF($L91="","",ABS($L91)+ROW()/1000000)</f>
        <v/>
      </c>
      <c r="R91" s="76">
        <f>IF($O91="","",ABS($O91)+ROW()/1000000)</f>
        <v/>
      </c>
    </row>
    <row r="92">
      <c r="A92" s="43">
        <f>Insumos!$A92</f>
        <v/>
      </c>
      <c r="B92" s="44">
        <f>Insumos!$B92</f>
        <v/>
      </c>
      <c r="C92" s="45">
        <f>Insumos!$E92</f>
        <v/>
      </c>
      <c r="D92" s="41">
        <f>'1 Inv Inicial'!$G92</f>
        <v/>
      </c>
      <c r="E92" s="69">
        <f>SUMIFS('2 Ingresos'!$I$6:$I$255,'2 Ingresos'!$B$6:$B$255,$A92,'2 Ingresos'!$C$6:$C$255,$B92)</f>
        <v/>
      </c>
      <c r="F92" s="41">
        <f>'6 Inv Final'!$G92</f>
        <v/>
      </c>
      <c r="G92" s="70">
        <f>$D92+$E92-$F92</f>
        <v/>
      </c>
      <c r="H92" s="69">
        <f>SUMIFS('7 Facturas'!$F$6:$F$255,'7 Facturas'!$D$6:$D$255,$A92,'7 Facturas'!$E$6:$E$255,$B92)</f>
        <v/>
      </c>
      <c r="I92" s="69">
        <f>$E92-$H92</f>
        <v/>
      </c>
      <c r="J92" s="69">
        <f>IFERROR(INDEX('8 Fudo Stock'!$H$6:$H$205,MATCH($A92&amp;" | "&amp;$B92,'8 Fudo Stock'!$I$6:$I$205,0)),"")</f>
        <v/>
      </c>
      <c r="K92" s="69">
        <f>IF($J92="","",$G92-$J92)</f>
        <v/>
      </c>
      <c r="L92" s="71">
        <f>IF(OR($J92="",$J92=0),"",$K92/$J92)</f>
        <v/>
      </c>
      <c r="M92" s="72">
        <f>IF(Insumos!$H92="","",Insumos!$H92)</f>
        <v/>
      </c>
      <c r="N92" s="73">
        <f>IF($M92="","",$G92*$M92)</f>
        <v/>
      </c>
      <c r="O92" s="74">
        <f>IF(OR($M92="",$K92=""),"",$K92*$M92)</f>
        <v/>
      </c>
      <c r="P92" s="75">
        <f>IF(AND('1 Inv Inicial'!$E92="",'1 Inv Inicial'!$F92=""),"Falta inventario inicial",IF(AND('6 Inv Final'!$E92="",'6 Inv Final'!$F92=""),"Falta inventario final",IF($G92&lt;0,"Consumo negativo: entro mercaderia sin registrar",IF(AND($L92&lt;&gt;"",ABS($L92)&gt;Config!$B$46),"Desvio alto vs Fudo: investigar",IF(AND($H92&gt;0,ABS($I92)/$H92&gt;Config!$B$46),"Lo recibido no coincide con la factura",IF(AND($J92="",$G92&gt;0),"Sin dato de Fudo para comparar","OK"))))))</f>
        <v/>
      </c>
      <c r="Q92" s="76">
        <f>IF($L92="","",ABS($L92)+ROW()/1000000)</f>
        <v/>
      </c>
      <c r="R92" s="76">
        <f>IF($O92="","",ABS($O92)+ROW()/1000000)</f>
        <v/>
      </c>
    </row>
    <row r="93">
      <c r="A93" s="38">
        <f>Insumos!$A93</f>
        <v/>
      </c>
      <c r="B93" s="39">
        <f>Insumos!$B93</f>
        <v/>
      </c>
      <c r="C93" s="40">
        <f>Insumos!$E93</f>
        <v/>
      </c>
      <c r="D93" s="41">
        <f>'1 Inv Inicial'!$G93</f>
        <v/>
      </c>
      <c r="E93" s="69">
        <f>SUMIFS('2 Ingresos'!$I$6:$I$255,'2 Ingresos'!$B$6:$B$255,$A93,'2 Ingresos'!$C$6:$C$255,$B93)</f>
        <v/>
      </c>
      <c r="F93" s="41">
        <f>'6 Inv Final'!$G93</f>
        <v/>
      </c>
      <c r="G93" s="70">
        <f>$D93+$E93-$F93</f>
        <v/>
      </c>
      <c r="H93" s="69">
        <f>SUMIFS('7 Facturas'!$F$6:$F$255,'7 Facturas'!$D$6:$D$255,$A93,'7 Facturas'!$E$6:$E$255,$B93)</f>
        <v/>
      </c>
      <c r="I93" s="69">
        <f>$E93-$H93</f>
        <v/>
      </c>
      <c r="J93" s="69">
        <f>IFERROR(INDEX('8 Fudo Stock'!$H$6:$H$205,MATCH($A93&amp;" | "&amp;$B93,'8 Fudo Stock'!$I$6:$I$205,0)),"")</f>
        <v/>
      </c>
      <c r="K93" s="69">
        <f>IF($J93="","",$G93-$J93)</f>
        <v/>
      </c>
      <c r="L93" s="71">
        <f>IF(OR($J93="",$J93=0),"",$K93/$J93)</f>
        <v/>
      </c>
      <c r="M93" s="72">
        <f>IF(Insumos!$H93="","",Insumos!$H93)</f>
        <v/>
      </c>
      <c r="N93" s="73">
        <f>IF($M93="","",$G93*$M93)</f>
        <v/>
      </c>
      <c r="O93" s="74">
        <f>IF(OR($M93="",$K93=""),"",$K93*$M93)</f>
        <v/>
      </c>
      <c r="P93" s="75">
        <f>IF(AND('1 Inv Inicial'!$E93="",'1 Inv Inicial'!$F93=""),"Falta inventario inicial",IF(AND('6 Inv Final'!$E93="",'6 Inv Final'!$F93=""),"Falta inventario final",IF($G93&lt;0,"Consumo negativo: entro mercaderia sin registrar",IF(AND($L93&lt;&gt;"",ABS($L93)&gt;Config!$B$46),"Desvio alto vs Fudo: investigar",IF(AND($H93&gt;0,ABS($I93)/$H93&gt;Config!$B$46),"Lo recibido no coincide con la factura",IF(AND($J93="",$G93&gt;0),"Sin dato de Fudo para comparar","OK"))))))</f>
        <v/>
      </c>
      <c r="Q93" s="76">
        <f>IF($L93="","",ABS($L93)+ROW()/1000000)</f>
        <v/>
      </c>
      <c r="R93" s="76">
        <f>IF($O93="","",ABS($O93)+ROW()/1000000)</f>
        <v/>
      </c>
    </row>
    <row r="94">
      <c r="A94" s="43">
        <f>Insumos!$A94</f>
        <v/>
      </c>
      <c r="B94" s="44">
        <f>Insumos!$B94</f>
        <v/>
      </c>
      <c r="C94" s="45">
        <f>Insumos!$E94</f>
        <v/>
      </c>
      <c r="D94" s="41">
        <f>'1 Inv Inicial'!$G94</f>
        <v/>
      </c>
      <c r="E94" s="69">
        <f>SUMIFS('2 Ingresos'!$I$6:$I$255,'2 Ingresos'!$B$6:$B$255,$A94,'2 Ingresos'!$C$6:$C$255,$B94)</f>
        <v/>
      </c>
      <c r="F94" s="41">
        <f>'6 Inv Final'!$G94</f>
        <v/>
      </c>
      <c r="G94" s="70">
        <f>$D94+$E94-$F94</f>
        <v/>
      </c>
      <c r="H94" s="69">
        <f>SUMIFS('7 Facturas'!$F$6:$F$255,'7 Facturas'!$D$6:$D$255,$A94,'7 Facturas'!$E$6:$E$255,$B94)</f>
        <v/>
      </c>
      <c r="I94" s="69">
        <f>$E94-$H94</f>
        <v/>
      </c>
      <c r="J94" s="69">
        <f>IFERROR(INDEX('8 Fudo Stock'!$H$6:$H$205,MATCH($A94&amp;" | "&amp;$B94,'8 Fudo Stock'!$I$6:$I$205,0)),"")</f>
        <v/>
      </c>
      <c r="K94" s="69">
        <f>IF($J94="","",$G94-$J94)</f>
        <v/>
      </c>
      <c r="L94" s="71">
        <f>IF(OR($J94="",$J94=0),"",$K94/$J94)</f>
        <v/>
      </c>
      <c r="M94" s="72">
        <f>IF(Insumos!$H94="","",Insumos!$H94)</f>
        <v/>
      </c>
      <c r="N94" s="73">
        <f>IF($M94="","",$G94*$M94)</f>
        <v/>
      </c>
      <c r="O94" s="74">
        <f>IF(OR($M94="",$K94=""),"",$K94*$M94)</f>
        <v/>
      </c>
      <c r="P94" s="75">
        <f>IF(AND('1 Inv Inicial'!$E94="",'1 Inv Inicial'!$F94=""),"Falta inventario inicial",IF(AND('6 Inv Final'!$E94="",'6 Inv Final'!$F94=""),"Falta inventario final",IF($G94&lt;0,"Consumo negativo: entro mercaderia sin registrar",IF(AND($L94&lt;&gt;"",ABS($L94)&gt;Config!$B$46),"Desvio alto vs Fudo: investigar",IF(AND($H94&gt;0,ABS($I94)/$H94&gt;Config!$B$46),"Lo recibido no coincide con la factura",IF(AND($J94="",$G94&gt;0),"Sin dato de Fudo para comparar","OK"))))))</f>
        <v/>
      </c>
      <c r="Q94" s="76">
        <f>IF($L94="","",ABS($L94)+ROW()/1000000)</f>
        <v/>
      </c>
      <c r="R94" s="76">
        <f>IF($O94="","",ABS($O94)+ROW()/1000000)</f>
        <v/>
      </c>
    </row>
    <row r="95">
      <c r="A95" s="38">
        <f>Insumos!$A95</f>
        <v/>
      </c>
      <c r="B95" s="39">
        <f>Insumos!$B95</f>
        <v/>
      </c>
      <c r="C95" s="40">
        <f>Insumos!$E95</f>
        <v/>
      </c>
      <c r="D95" s="41">
        <f>'1 Inv Inicial'!$G95</f>
        <v/>
      </c>
      <c r="E95" s="69">
        <f>SUMIFS('2 Ingresos'!$I$6:$I$255,'2 Ingresos'!$B$6:$B$255,$A95,'2 Ingresos'!$C$6:$C$255,$B95)</f>
        <v/>
      </c>
      <c r="F95" s="41">
        <f>'6 Inv Final'!$G95</f>
        <v/>
      </c>
      <c r="G95" s="70">
        <f>$D95+$E95-$F95</f>
        <v/>
      </c>
      <c r="H95" s="69">
        <f>SUMIFS('7 Facturas'!$F$6:$F$255,'7 Facturas'!$D$6:$D$255,$A95,'7 Facturas'!$E$6:$E$255,$B95)</f>
        <v/>
      </c>
      <c r="I95" s="69">
        <f>$E95-$H95</f>
        <v/>
      </c>
      <c r="J95" s="69">
        <f>IFERROR(INDEX('8 Fudo Stock'!$H$6:$H$205,MATCH($A95&amp;" | "&amp;$B95,'8 Fudo Stock'!$I$6:$I$205,0)),"")</f>
        <v/>
      </c>
      <c r="K95" s="69">
        <f>IF($J95="","",$G95-$J95)</f>
        <v/>
      </c>
      <c r="L95" s="71">
        <f>IF(OR($J95="",$J95=0),"",$K95/$J95)</f>
        <v/>
      </c>
      <c r="M95" s="72">
        <f>IF(Insumos!$H95="","",Insumos!$H95)</f>
        <v/>
      </c>
      <c r="N95" s="73">
        <f>IF($M95="","",$G95*$M95)</f>
        <v/>
      </c>
      <c r="O95" s="74">
        <f>IF(OR($M95="",$K95=""),"",$K95*$M95)</f>
        <v/>
      </c>
      <c r="P95" s="75">
        <f>IF(AND('1 Inv Inicial'!$E95="",'1 Inv Inicial'!$F95=""),"Falta inventario inicial",IF(AND('6 Inv Final'!$E95="",'6 Inv Final'!$F95=""),"Falta inventario final",IF($G95&lt;0,"Consumo negativo: entro mercaderia sin registrar",IF(AND($L95&lt;&gt;"",ABS($L95)&gt;Config!$B$46),"Desvio alto vs Fudo: investigar",IF(AND($H95&gt;0,ABS($I95)/$H95&gt;Config!$B$46),"Lo recibido no coincide con la factura",IF(AND($J95="",$G95&gt;0),"Sin dato de Fudo para comparar","OK"))))))</f>
        <v/>
      </c>
      <c r="Q95" s="76">
        <f>IF($L95="","",ABS($L95)+ROW()/1000000)</f>
        <v/>
      </c>
      <c r="R95" s="76">
        <f>IF($O95="","",ABS($O95)+ROW()/1000000)</f>
        <v/>
      </c>
    </row>
    <row r="96">
      <c r="A96" s="43">
        <f>Insumos!$A96</f>
        <v/>
      </c>
      <c r="B96" s="44">
        <f>Insumos!$B96</f>
        <v/>
      </c>
      <c r="C96" s="45">
        <f>Insumos!$E96</f>
        <v/>
      </c>
      <c r="D96" s="41">
        <f>'1 Inv Inicial'!$G96</f>
        <v/>
      </c>
      <c r="E96" s="69">
        <f>SUMIFS('2 Ingresos'!$I$6:$I$255,'2 Ingresos'!$B$6:$B$255,$A96,'2 Ingresos'!$C$6:$C$255,$B96)</f>
        <v/>
      </c>
      <c r="F96" s="41">
        <f>'6 Inv Final'!$G96</f>
        <v/>
      </c>
      <c r="G96" s="70">
        <f>$D96+$E96-$F96</f>
        <v/>
      </c>
      <c r="H96" s="69">
        <f>SUMIFS('7 Facturas'!$F$6:$F$255,'7 Facturas'!$D$6:$D$255,$A96,'7 Facturas'!$E$6:$E$255,$B96)</f>
        <v/>
      </c>
      <c r="I96" s="69">
        <f>$E96-$H96</f>
        <v/>
      </c>
      <c r="J96" s="69">
        <f>IFERROR(INDEX('8 Fudo Stock'!$H$6:$H$205,MATCH($A96&amp;" | "&amp;$B96,'8 Fudo Stock'!$I$6:$I$205,0)),"")</f>
        <v/>
      </c>
      <c r="K96" s="69">
        <f>IF($J96="","",$G96-$J96)</f>
        <v/>
      </c>
      <c r="L96" s="71">
        <f>IF(OR($J96="",$J96=0),"",$K96/$J96)</f>
        <v/>
      </c>
      <c r="M96" s="72">
        <f>IF(Insumos!$H96="","",Insumos!$H96)</f>
        <v/>
      </c>
      <c r="N96" s="73">
        <f>IF($M96="","",$G96*$M96)</f>
        <v/>
      </c>
      <c r="O96" s="74">
        <f>IF(OR($M96="",$K96=""),"",$K96*$M96)</f>
        <v/>
      </c>
      <c r="P96" s="75">
        <f>IF(AND('1 Inv Inicial'!$E96="",'1 Inv Inicial'!$F96=""),"Falta inventario inicial",IF(AND('6 Inv Final'!$E96="",'6 Inv Final'!$F96=""),"Falta inventario final",IF($G96&lt;0,"Consumo negativo: entro mercaderia sin registrar",IF(AND($L96&lt;&gt;"",ABS($L96)&gt;Config!$B$46),"Desvio alto vs Fudo: investigar",IF(AND($H96&gt;0,ABS($I96)/$H96&gt;Config!$B$46),"Lo recibido no coincide con la factura",IF(AND($J96="",$G96&gt;0),"Sin dato de Fudo para comparar","OK"))))))</f>
        <v/>
      </c>
      <c r="Q96" s="76">
        <f>IF($L96="","",ABS($L96)+ROW()/1000000)</f>
        <v/>
      </c>
      <c r="R96" s="76">
        <f>IF($O96="","",ABS($O96)+ROW()/1000000)</f>
        <v/>
      </c>
    </row>
    <row r="97">
      <c r="A97" s="38">
        <f>Insumos!$A97</f>
        <v/>
      </c>
      <c r="B97" s="39">
        <f>Insumos!$B97</f>
        <v/>
      </c>
      <c r="C97" s="40">
        <f>Insumos!$E97</f>
        <v/>
      </c>
      <c r="D97" s="41">
        <f>'1 Inv Inicial'!$G97</f>
        <v/>
      </c>
      <c r="E97" s="69">
        <f>SUMIFS('2 Ingresos'!$I$6:$I$255,'2 Ingresos'!$B$6:$B$255,$A97,'2 Ingresos'!$C$6:$C$255,$B97)</f>
        <v/>
      </c>
      <c r="F97" s="41">
        <f>'6 Inv Final'!$G97</f>
        <v/>
      </c>
      <c r="G97" s="70">
        <f>$D97+$E97-$F97</f>
        <v/>
      </c>
      <c r="H97" s="69">
        <f>SUMIFS('7 Facturas'!$F$6:$F$255,'7 Facturas'!$D$6:$D$255,$A97,'7 Facturas'!$E$6:$E$255,$B97)</f>
        <v/>
      </c>
      <c r="I97" s="69">
        <f>$E97-$H97</f>
        <v/>
      </c>
      <c r="J97" s="69">
        <f>IFERROR(INDEX('8 Fudo Stock'!$H$6:$H$205,MATCH($A97&amp;" | "&amp;$B97,'8 Fudo Stock'!$I$6:$I$205,0)),"")</f>
        <v/>
      </c>
      <c r="K97" s="69">
        <f>IF($J97="","",$G97-$J97)</f>
        <v/>
      </c>
      <c r="L97" s="71">
        <f>IF(OR($J97="",$J97=0),"",$K97/$J97)</f>
        <v/>
      </c>
      <c r="M97" s="72">
        <f>IF(Insumos!$H97="","",Insumos!$H97)</f>
        <v/>
      </c>
      <c r="N97" s="73">
        <f>IF($M97="","",$G97*$M97)</f>
        <v/>
      </c>
      <c r="O97" s="74">
        <f>IF(OR($M97="",$K97=""),"",$K97*$M97)</f>
        <v/>
      </c>
      <c r="P97" s="75">
        <f>IF(AND('1 Inv Inicial'!$E97="",'1 Inv Inicial'!$F97=""),"Falta inventario inicial",IF(AND('6 Inv Final'!$E97="",'6 Inv Final'!$F97=""),"Falta inventario final",IF($G97&lt;0,"Consumo negativo: entro mercaderia sin registrar",IF(AND($L97&lt;&gt;"",ABS($L97)&gt;Config!$B$46),"Desvio alto vs Fudo: investigar",IF(AND($H97&gt;0,ABS($I97)/$H97&gt;Config!$B$46),"Lo recibido no coincide con la factura",IF(AND($J97="",$G97&gt;0),"Sin dato de Fudo para comparar","OK"))))))</f>
        <v/>
      </c>
      <c r="Q97" s="76">
        <f>IF($L97="","",ABS($L97)+ROW()/1000000)</f>
        <v/>
      </c>
      <c r="R97" s="76">
        <f>IF($O97="","",ABS($O97)+ROW()/1000000)</f>
        <v/>
      </c>
    </row>
    <row r="98">
      <c r="A98" s="43">
        <f>Insumos!$A98</f>
        <v/>
      </c>
      <c r="B98" s="44">
        <f>Insumos!$B98</f>
        <v/>
      </c>
      <c r="C98" s="45">
        <f>Insumos!$E98</f>
        <v/>
      </c>
      <c r="D98" s="41">
        <f>'1 Inv Inicial'!$G98</f>
        <v/>
      </c>
      <c r="E98" s="69">
        <f>SUMIFS('2 Ingresos'!$I$6:$I$255,'2 Ingresos'!$B$6:$B$255,$A98,'2 Ingresos'!$C$6:$C$255,$B98)</f>
        <v/>
      </c>
      <c r="F98" s="41">
        <f>'6 Inv Final'!$G98</f>
        <v/>
      </c>
      <c r="G98" s="70">
        <f>$D98+$E98-$F98</f>
        <v/>
      </c>
      <c r="H98" s="69">
        <f>SUMIFS('7 Facturas'!$F$6:$F$255,'7 Facturas'!$D$6:$D$255,$A98,'7 Facturas'!$E$6:$E$255,$B98)</f>
        <v/>
      </c>
      <c r="I98" s="69">
        <f>$E98-$H98</f>
        <v/>
      </c>
      <c r="J98" s="69">
        <f>IFERROR(INDEX('8 Fudo Stock'!$H$6:$H$205,MATCH($A98&amp;" | "&amp;$B98,'8 Fudo Stock'!$I$6:$I$205,0)),"")</f>
        <v/>
      </c>
      <c r="K98" s="69">
        <f>IF($J98="","",$G98-$J98)</f>
        <v/>
      </c>
      <c r="L98" s="71">
        <f>IF(OR($J98="",$J98=0),"",$K98/$J98)</f>
        <v/>
      </c>
      <c r="M98" s="72">
        <f>IF(Insumos!$H98="","",Insumos!$H98)</f>
        <v/>
      </c>
      <c r="N98" s="73">
        <f>IF($M98="","",$G98*$M98)</f>
        <v/>
      </c>
      <c r="O98" s="74">
        <f>IF(OR($M98="",$K98=""),"",$K98*$M98)</f>
        <v/>
      </c>
      <c r="P98" s="75">
        <f>IF(AND('1 Inv Inicial'!$E98="",'1 Inv Inicial'!$F98=""),"Falta inventario inicial",IF(AND('6 Inv Final'!$E98="",'6 Inv Final'!$F98=""),"Falta inventario final",IF($G98&lt;0,"Consumo negativo: entro mercaderia sin registrar",IF(AND($L98&lt;&gt;"",ABS($L98)&gt;Config!$B$46),"Desvio alto vs Fudo: investigar",IF(AND($H98&gt;0,ABS($I98)/$H98&gt;Config!$B$46),"Lo recibido no coincide con la factura",IF(AND($J98="",$G98&gt;0),"Sin dato de Fudo para comparar","OK"))))))</f>
        <v/>
      </c>
      <c r="Q98" s="76">
        <f>IF($L98="","",ABS($L98)+ROW()/1000000)</f>
        <v/>
      </c>
      <c r="R98" s="76">
        <f>IF($O98="","",ABS($O98)+ROW()/1000000)</f>
        <v/>
      </c>
    </row>
    <row r="99">
      <c r="A99" s="38">
        <f>Insumos!$A99</f>
        <v/>
      </c>
      <c r="B99" s="39">
        <f>Insumos!$B99</f>
        <v/>
      </c>
      <c r="C99" s="40">
        <f>Insumos!$E99</f>
        <v/>
      </c>
      <c r="D99" s="41">
        <f>'1 Inv Inicial'!$G99</f>
        <v/>
      </c>
      <c r="E99" s="69">
        <f>SUMIFS('2 Ingresos'!$I$6:$I$255,'2 Ingresos'!$B$6:$B$255,$A99,'2 Ingresos'!$C$6:$C$255,$B99)</f>
        <v/>
      </c>
      <c r="F99" s="41">
        <f>'6 Inv Final'!$G99</f>
        <v/>
      </c>
      <c r="G99" s="70">
        <f>$D99+$E99-$F99</f>
        <v/>
      </c>
      <c r="H99" s="69">
        <f>SUMIFS('7 Facturas'!$F$6:$F$255,'7 Facturas'!$D$6:$D$255,$A99,'7 Facturas'!$E$6:$E$255,$B99)</f>
        <v/>
      </c>
      <c r="I99" s="69">
        <f>$E99-$H99</f>
        <v/>
      </c>
      <c r="J99" s="69">
        <f>IFERROR(INDEX('8 Fudo Stock'!$H$6:$H$205,MATCH($A99&amp;" | "&amp;$B99,'8 Fudo Stock'!$I$6:$I$205,0)),"")</f>
        <v/>
      </c>
      <c r="K99" s="69">
        <f>IF($J99="","",$G99-$J99)</f>
        <v/>
      </c>
      <c r="L99" s="71">
        <f>IF(OR($J99="",$J99=0),"",$K99/$J99)</f>
        <v/>
      </c>
      <c r="M99" s="72">
        <f>IF(Insumos!$H99="","",Insumos!$H99)</f>
        <v/>
      </c>
      <c r="N99" s="73">
        <f>IF($M99="","",$G99*$M99)</f>
        <v/>
      </c>
      <c r="O99" s="74">
        <f>IF(OR($M99="",$K99=""),"",$K99*$M99)</f>
        <v/>
      </c>
      <c r="P99" s="75">
        <f>IF(AND('1 Inv Inicial'!$E99="",'1 Inv Inicial'!$F99=""),"Falta inventario inicial",IF(AND('6 Inv Final'!$E99="",'6 Inv Final'!$F99=""),"Falta inventario final",IF($G99&lt;0,"Consumo negativo: entro mercaderia sin registrar",IF(AND($L99&lt;&gt;"",ABS($L99)&gt;Config!$B$46),"Desvio alto vs Fudo: investigar",IF(AND($H99&gt;0,ABS($I99)/$H99&gt;Config!$B$46),"Lo recibido no coincide con la factura",IF(AND($J99="",$G99&gt;0),"Sin dato de Fudo para comparar","OK"))))))</f>
        <v/>
      </c>
      <c r="Q99" s="76">
        <f>IF($L99="","",ABS($L99)+ROW()/1000000)</f>
        <v/>
      </c>
      <c r="R99" s="76">
        <f>IF($O99="","",ABS($O99)+ROW()/1000000)</f>
        <v/>
      </c>
    </row>
    <row r="100">
      <c r="A100" s="43">
        <f>Insumos!$A100</f>
        <v/>
      </c>
      <c r="B100" s="44">
        <f>Insumos!$B100</f>
        <v/>
      </c>
      <c r="C100" s="45">
        <f>Insumos!$E100</f>
        <v/>
      </c>
      <c r="D100" s="41">
        <f>'1 Inv Inicial'!$G100</f>
        <v/>
      </c>
      <c r="E100" s="69">
        <f>SUMIFS('2 Ingresos'!$I$6:$I$255,'2 Ingresos'!$B$6:$B$255,$A100,'2 Ingresos'!$C$6:$C$255,$B100)</f>
        <v/>
      </c>
      <c r="F100" s="41">
        <f>'6 Inv Final'!$G100</f>
        <v/>
      </c>
      <c r="G100" s="70">
        <f>$D100+$E100-$F100</f>
        <v/>
      </c>
      <c r="H100" s="69">
        <f>SUMIFS('7 Facturas'!$F$6:$F$255,'7 Facturas'!$D$6:$D$255,$A100,'7 Facturas'!$E$6:$E$255,$B100)</f>
        <v/>
      </c>
      <c r="I100" s="69">
        <f>$E100-$H100</f>
        <v/>
      </c>
      <c r="J100" s="69">
        <f>IFERROR(INDEX('8 Fudo Stock'!$H$6:$H$205,MATCH($A100&amp;" | "&amp;$B100,'8 Fudo Stock'!$I$6:$I$205,0)),"")</f>
        <v/>
      </c>
      <c r="K100" s="69">
        <f>IF($J100="","",$G100-$J100)</f>
        <v/>
      </c>
      <c r="L100" s="71">
        <f>IF(OR($J100="",$J100=0),"",$K100/$J100)</f>
        <v/>
      </c>
      <c r="M100" s="72">
        <f>IF(Insumos!$H100="","",Insumos!$H100)</f>
        <v/>
      </c>
      <c r="N100" s="73">
        <f>IF($M100="","",$G100*$M100)</f>
        <v/>
      </c>
      <c r="O100" s="74">
        <f>IF(OR($M100="",$K100=""),"",$K100*$M100)</f>
        <v/>
      </c>
      <c r="P100" s="75">
        <f>IF(AND('1 Inv Inicial'!$E100="",'1 Inv Inicial'!$F100=""),"Falta inventario inicial",IF(AND('6 Inv Final'!$E100="",'6 Inv Final'!$F100=""),"Falta inventario final",IF($G100&lt;0,"Consumo negativo: entro mercaderia sin registrar",IF(AND($L100&lt;&gt;"",ABS($L100)&gt;Config!$B$46),"Desvio alto vs Fudo: investigar",IF(AND($H100&gt;0,ABS($I100)/$H100&gt;Config!$B$46),"Lo recibido no coincide con la factura",IF(AND($J100="",$G100&gt;0),"Sin dato de Fudo para comparar","OK"))))))</f>
        <v/>
      </c>
      <c r="Q100" s="76">
        <f>IF($L100="","",ABS($L100)+ROW()/1000000)</f>
        <v/>
      </c>
      <c r="R100" s="76">
        <f>IF($O100="","",ABS($O100)+ROW()/1000000)</f>
        <v/>
      </c>
    </row>
    <row r="101">
      <c r="A101" s="38">
        <f>Insumos!$A101</f>
        <v/>
      </c>
      <c r="B101" s="39">
        <f>Insumos!$B101</f>
        <v/>
      </c>
      <c r="C101" s="40">
        <f>Insumos!$E101</f>
        <v/>
      </c>
      <c r="D101" s="41">
        <f>'1 Inv Inicial'!$G101</f>
        <v/>
      </c>
      <c r="E101" s="69">
        <f>SUMIFS('2 Ingresos'!$I$6:$I$255,'2 Ingresos'!$B$6:$B$255,$A101,'2 Ingresos'!$C$6:$C$255,$B101)</f>
        <v/>
      </c>
      <c r="F101" s="41">
        <f>'6 Inv Final'!$G101</f>
        <v/>
      </c>
      <c r="G101" s="70">
        <f>$D101+$E101-$F101</f>
        <v/>
      </c>
      <c r="H101" s="69">
        <f>SUMIFS('7 Facturas'!$F$6:$F$255,'7 Facturas'!$D$6:$D$255,$A101,'7 Facturas'!$E$6:$E$255,$B101)</f>
        <v/>
      </c>
      <c r="I101" s="69">
        <f>$E101-$H101</f>
        <v/>
      </c>
      <c r="J101" s="69">
        <f>IFERROR(INDEX('8 Fudo Stock'!$H$6:$H$205,MATCH($A101&amp;" | "&amp;$B101,'8 Fudo Stock'!$I$6:$I$205,0)),"")</f>
        <v/>
      </c>
      <c r="K101" s="69">
        <f>IF($J101="","",$G101-$J101)</f>
        <v/>
      </c>
      <c r="L101" s="71">
        <f>IF(OR($J101="",$J101=0),"",$K101/$J101)</f>
        <v/>
      </c>
      <c r="M101" s="72">
        <f>IF(Insumos!$H101="","",Insumos!$H101)</f>
        <v/>
      </c>
      <c r="N101" s="73">
        <f>IF($M101="","",$G101*$M101)</f>
        <v/>
      </c>
      <c r="O101" s="74">
        <f>IF(OR($M101="",$K101=""),"",$K101*$M101)</f>
        <v/>
      </c>
      <c r="P101" s="75">
        <f>IF(AND('1 Inv Inicial'!$E101="",'1 Inv Inicial'!$F101=""),"Falta inventario inicial",IF(AND('6 Inv Final'!$E101="",'6 Inv Final'!$F101=""),"Falta inventario final",IF($G101&lt;0,"Consumo negativo: entro mercaderia sin registrar",IF(AND($L101&lt;&gt;"",ABS($L101)&gt;Config!$B$46),"Desvio alto vs Fudo: investigar",IF(AND($H101&gt;0,ABS($I101)/$H101&gt;Config!$B$46),"Lo recibido no coincide con la factura",IF(AND($J101="",$G101&gt;0),"Sin dato de Fudo para comparar","OK"))))))</f>
        <v/>
      </c>
      <c r="Q101" s="76">
        <f>IF($L101="","",ABS($L101)+ROW()/1000000)</f>
        <v/>
      </c>
      <c r="R101" s="76">
        <f>IF($O101="","",ABS($O101)+ROW()/1000000)</f>
        <v/>
      </c>
    </row>
    <row r="102">
      <c r="A102" s="43">
        <f>Insumos!$A102</f>
        <v/>
      </c>
      <c r="B102" s="44">
        <f>Insumos!$B102</f>
        <v/>
      </c>
      <c r="C102" s="45">
        <f>Insumos!$E102</f>
        <v/>
      </c>
      <c r="D102" s="41">
        <f>'1 Inv Inicial'!$G102</f>
        <v/>
      </c>
      <c r="E102" s="69">
        <f>SUMIFS('2 Ingresos'!$I$6:$I$255,'2 Ingresos'!$B$6:$B$255,$A102,'2 Ingresos'!$C$6:$C$255,$B102)</f>
        <v/>
      </c>
      <c r="F102" s="41">
        <f>'6 Inv Final'!$G102</f>
        <v/>
      </c>
      <c r="G102" s="70">
        <f>$D102+$E102-$F102</f>
        <v/>
      </c>
      <c r="H102" s="69">
        <f>SUMIFS('7 Facturas'!$F$6:$F$255,'7 Facturas'!$D$6:$D$255,$A102,'7 Facturas'!$E$6:$E$255,$B102)</f>
        <v/>
      </c>
      <c r="I102" s="69">
        <f>$E102-$H102</f>
        <v/>
      </c>
      <c r="J102" s="69">
        <f>IFERROR(INDEX('8 Fudo Stock'!$H$6:$H$205,MATCH($A102&amp;" | "&amp;$B102,'8 Fudo Stock'!$I$6:$I$205,0)),"")</f>
        <v/>
      </c>
      <c r="K102" s="69">
        <f>IF($J102="","",$G102-$J102)</f>
        <v/>
      </c>
      <c r="L102" s="71">
        <f>IF(OR($J102="",$J102=0),"",$K102/$J102)</f>
        <v/>
      </c>
      <c r="M102" s="72">
        <f>IF(Insumos!$H102="","",Insumos!$H102)</f>
        <v/>
      </c>
      <c r="N102" s="73">
        <f>IF($M102="","",$G102*$M102)</f>
        <v/>
      </c>
      <c r="O102" s="74">
        <f>IF(OR($M102="",$K102=""),"",$K102*$M102)</f>
        <v/>
      </c>
      <c r="P102" s="75">
        <f>IF(AND('1 Inv Inicial'!$E102="",'1 Inv Inicial'!$F102=""),"Falta inventario inicial",IF(AND('6 Inv Final'!$E102="",'6 Inv Final'!$F102=""),"Falta inventario final",IF($G102&lt;0,"Consumo negativo: entro mercaderia sin registrar",IF(AND($L102&lt;&gt;"",ABS($L102)&gt;Config!$B$46),"Desvio alto vs Fudo: investigar",IF(AND($H102&gt;0,ABS($I102)/$H102&gt;Config!$B$46),"Lo recibido no coincide con la factura",IF(AND($J102="",$G102&gt;0),"Sin dato de Fudo para comparar","OK"))))))</f>
        <v/>
      </c>
      <c r="Q102" s="76">
        <f>IF($L102="","",ABS($L102)+ROW()/1000000)</f>
        <v/>
      </c>
      <c r="R102" s="76">
        <f>IF($O102="","",ABS($O102)+ROW()/1000000)</f>
        <v/>
      </c>
    </row>
    <row r="103">
      <c r="A103" s="38">
        <f>Insumos!$A103</f>
        <v/>
      </c>
      <c r="B103" s="39">
        <f>Insumos!$B103</f>
        <v/>
      </c>
      <c r="C103" s="40">
        <f>Insumos!$E103</f>
        <v/>
      </c>
      <c r="D103" s="41">
        <f>'1 Inv Inicial'!$G103</f>
        <v/>
      </c>
      <c r="E103" s="69">
        <f>SUMIFS('2 Ingresos'!$I$6:$I$255,'2 Ingresos'!$B$6:$B$255,$A103,'2 Ingresos'!$C$6:$C$255,$B103)</f>
        <v/>
      </c>
      <c r="F103" s="41">
        <f>'6 Inv Final'!$G103</f>
        <v/>
      </c>
      <c r="G103" s="70">
        <f>$D103+$E103-$F103</f>
        <v/>
      </c>
      <c r="H103" s="69">
        <f>SUMIFS('7 Facturas'!$F$6:$F$255,'7 Facturas'!$D$6:$D$255,$A103,'7 Facturas'!$E$6:$E$255,$B103)</f>
        <v/>
      </c>
      <c r="I103" s="69">
        <f>$E103-$H103</f>
        <v/>
      </c>
      <c r="J103" s="69">
        <f>IFERROR(INDEX('8 Fudo Stock'!$H$6:$H$205,MATCH($A103&amp;" | "&amp;$B103,'8 Fudo Stock'!$I$6:$I$205,0)),"")</f>
        <v/>
      </c>
      <c r="K103" s="69">
        <f>IF($J103="","",$G103-$J103)</f>
        <v/>
      </c>
      <c r="L103" s="71">
        <f>IF(OR($J103="",$J103=0),"",$K103/$J103)</f>
        <v/>
      </c>
      <c r="M103" s="72">
        <f>IF(Insumos!$H103="","",Insumos!$H103)</f>
        <v/>
      </c>
      <c r="N103" s="73">
        <f>IF($M103="","",$G103*$M103)</f>
        <v/>
      </c>
      <c r="O103" s="74">
        <f>IF(OR($M103="",$K103=""),"",$K103*$M103)</f>
        <v/>
      </c>
      <c r="P103" s="75">
        <f>IF(AND('1 Inv Inicial'!$E103="",'1 Inv Inicial'!$F103=""),"Falta inventario inicial",IF(AND('6 Inv Final'!$E103="",'6 Inv Final'!$F103=""),"Falta inventario final",IF($G103&lt;0,"Consumo negativo: entro mercaderia sin registrar",IF(AND($L103&lt;&gt;"",ABS($L103)&gt;Config!$B$46),"Desvio alto vs Fudo: investigar",IF(AND($H103&gt;0,ABS($I103)/$H103&gt;Config!$B$46),"Lo recibido no coincide con la factura",IF(AND($J103="",$G103&gt;0),"Sin dato de Fudo para comparar","OK"))))))</f>
        <v/>
      </c>
      <c r="Q103" s="76">
        <f>IF($L103="","",ABS($L103)+ROW()/1000000)</f>
        <v/>
      </c>
      <c r="R103" s="76">
        <f>IF($O103="","",ABS($O103)+ROW()/1000000)</f>
        <v/>
      </c>
    </row>
    <row r="104">
      <c r="A104" s="43">
        <f>Insumos!$A104</f>
        <v/>
      </c>
      <c r="B104" s="44">
        <f>Insumos!$B104</f>
        <v/>
      </c>
      <c r="C104" s="45">
        <f>Insumos!$E104</f>
        <v/>
      </c>
      <c r="D104" s="41">
        <f>'1 Inv Inicial'!$G104</f>
        <v/>
      </c>
      <c r="E104" s="69">
        <f>SUMIFS('2 Ingresos'!$I$6:$I$255,'2 Ingresos'!$B$6:$B$255,$A104,'2 Ingresos'!$C$6:$C$255,$B104)</f>
        <v/>
      </c>
      <c r="F104" s="41">
        <f>'6 Inv Final'!$G104</f>
        <v/>
      </c>
      <c r="G104" s="70">
        <f>$D104+$E104-$F104</f>
        <v/>
      </c>
      <c r="H104" s="69">
        <f>SUMIFS('7 Facturas'!$F$6:$F$255,'7 Facturas'!$D$6:$D$255,$A104,'7 Facturas'!$E$6:$E$255,$B104)</f>
        <v/>
      </c>
      <c r="I104" s="69">
        <f>$E104-$H104</f>
        <v/>
      </c>
      <c r="J104" s="69">
        <f>IFERROR(INDEX('8 Fudo Stock'!$H$6:$H$205,MATCH($A104&amp;" | "&amp;$B104,'8 Fudo Stock'!$I$6:$I$205,0)),"")</f>
        <v/>
      </c>
      <c r="K104" s="69">
        <f>IF($J104="","",$G104-$J104)</f>
        <v/>
      </c>
      <c r="L104" s="71">
        <f>IF(OR($J104="",$J104=0),"",$K104/$J104)</f>
        <v/>
      </c>
      <c r="M104" s="72">
        <f>IF(Insumos!$H104="","",Insumos!$H104)</f>
        <v/>
      </c>
      <c r="N104" s="73">
        <f>IF($M104="","",$G104*$M104)</f>
        <v/>
      </c>
      <c r="O104" s="74">
        <f>IF(OR($M104="",$K104=""),"",$K104*$M104)</f>
        <v/>
      </c>
      <c r="P104" s="75">
        <f>IF(AND('1 Inv Inicial'!$E104="",'1 Inv Inicial'!$F104=""),"Falta inventario inicial",IF(AND('6 Inv Final'!$E104="",'6 Inv Final'!$F104=""),"Falta inventario final",IF($G104&lt;0,"Consumo negativo: entro mercaderia sin registrar",IF(AND($L104&lt;&gt;"",ABS($L104)&gt;Config!$B$46),"Desvio alto vs Fudo: investigar",IF(AND($H104&gt;0,ABS($I104)/$H104&gt;Config!$B$46),"Lo recibido no coincide con la factura",IF(AND($J104="",$G104&gt;0),"Sin dato de Fudo para comparar","OK"))))))</f>
        <v/>
      </c>
      <c r="Q104" s="76">
        <f>IF($L104="","",ABS($L104)+ROW()/1000000)</f>
        <v/>
      </c>
      <c r="R104" s="76">
        <f>IF($O104="","",ABS($O104)+ROW()/1000000)</f>
        <v/>
      </c>
    </row>
    <row r="105">
      <c r="A105" s="38">
        <f>Insumos!$A105</f>
        <v/>
      </c>
      <c r="B105" s="39">
        <f>Insumos!$B105</f>
        <v/>
      </c>
      <c r="C105" s="40">
        <f>Insumos!$E105</f>
        <v/>
      </c>
      <c r="D105" s="41">
        <f>'1 Inv Inicial'!$G105</f>
        <v/>
      </c>
      <c r="E105" s="69">
        <f>SUMIFS('2 Ingresos'!$I$6:$I$255,'2 Ingresos'!$B$6:$B$255,$A105,'2 Ingresos'!$C$6:$C$255,$B105)</f>
        <v/>
      </c>
      <c r="F105" s="41">
        <f>'6 Inv Final'!$G105</f>
        <v/>
      </c>
      <c r="G105" s="70">
        <f>$D105+$E105-$F105</f>
        <v/>
      </c>
      <c r="H105" s="69">
        <f>SUMIFS('7 Facturas'!$F$6:$F$255,'7 Facturas'!$D$6:$D$255,$A105,'7 Facturas'!$E$6:$E$255,$B105)</f>
        <v/>
      </c>
      <c r="I105" s="69">
        <f>$E105-$H105</f>
        <v/>
      </c>
      <c r="J105" s="69">
        <f>IFERROR(INDEX('8 Fudo Stock'!$H$6:$H$205,MATCH($A105&amp;" | "&amp;$B105,'8 Fudo Stock'!$I$6:$I$205,0)),"")</f>
        <v/>
      </c>
      <c r="K105" s="69">
        <f>IF($J105="","",$G105-$J105)</f>
        <v/>
      </c>
      <c r="L105" s="71">
        <f>IF(OR($J105="",$J105=0),"",$K105/$J105)</f>
        <v/>
      </c>
      <c r="M105" s="72">
        <f>IF(Insumos!$H105="","",Insumos!$H105)</f>
        <v/>
      </c>
      <c r="N105" s="73">
        <f>IF($M105="","",$G105*$M105)</f>
        <v/>
      </c>
      <c r="O105" s="74">
        <f>IF(OR($M105="",$K105=""),"",$K105*$M105)</f>
        <v/>
      </c>
      <c r="P105" s="75">
        <f>IF(AND('1 Inv Inicial'!$E105="",'1 Inv Inicial'!$F105=""),"Falta inventario inicial",IF(AND('6 Inv Final'!$E105="",'6 Inv Final'!$F105=""),"Falta inventario final",IF($G105&lt;0,"Consumo negativo: entro mercaderia sin registrar",IF(AND($L105&lt;&gt;"",ABS($L105)&gt;Config!$B$46),"Desvio alto vs Fudo: investigar",IF(AND($H105&gt;0,ABS($I105)/$H105&gt;Config!$B$46),"Lo recibido no coincide con la factura",IF(AND($J105="",$G105&gt;0),"Sin dato de Fudo para comparar","OK"))))))</f>
        <v/>
      </c>
      <c r="Q105" s="76">
        <f>IF($L105="","",ABS($L105)+ROW()/1000000)</f>
        <v/>
      </c>
      <c r="R105" s="76">
        <f>IF($O105="","",ABS($O105)+ROW()/1000000)</f>
        <v/>
      </c>
    </row>
    <row r="106">
      <c r="A106" s="43">
        <f>Insumos!$A106</f>
        <v/>
      </c>
      <c r="B106" s="44">
        <f>Insumos!$B106</f>
        <v/>
      </c>
      <c r="C106" s="45">
        <f>Insumos!$E106</f>
        <v/>
      </c>
      <c r="D106" s="41">
        <f>'1 Inv Inicial'!$G106</f>
        <v/>
      </c>
      <c r="E106" s="69">
        <f>SUMIFS('2 Ingresos'!$I$6:$I$255,'2 Ingresos'!$B$6:$B$255,$A106,'2 Ingresos'!$C$6:$C$255,$B106)</f>
        <v/>
      </c>
      <c r="F106" s="41">
        <f>'6 Inv Final'!$G106</f>
        <v/>
      </c>
      <c r="G106" s="70">
        <f>$D106+$E106-$F106</f>
        <v/>
      </c>
      <c r="H106" s="69">
        <f>SUMIFS('7 Facturas'!$F$6:$F$255,'7 Facturas'!$D$6:$D$255,$A106,'7 Facturas'!$E$6:$E$255,$B106)</f>
        <v/>
      </c>
      <c r="I106" s="69">
        <f>$E106-$H106</f>
        <v/>
      </c>
      <c r="J106" s="69">
        <f>IFERROR(INDEX('8 Fudo Stock'!$H$6:$H$205,MATCH($A106&amp;" | "&amp;$B106,'8 Fudo Stock'!$I$6:$I$205,0)),"")</f>
        <v/>
      </c>
      <c r="K106" s="69">
        <f>IF($J106="","",$G106-$J106)</f>
        <v/>
      </c>
      <c r="L106" s="71">
        <f>IF(OR($J106="",$J106=0),"",$K106/$J106)</f>
        <v/>
      </c>
      <c r="M106" s="72">
        <f>IF(Insumos!$H106="","",Insumos!$H106)</f>
        <v/>
      </c>
      <c r="N106" s="73">
        <f>IF($M106="","",$G106*$M106)</f>
        <v/>
      </c>
      <c r="O106" s="74">
        <f>IF(OR($M106="",$K106=""),"",$K106*$M106)</f>
        <v/>
      </c>
      <c r="P106" s="75">
        <f>IF(AND('1 Inv Inicial'!$E106="",'1 Inv Inicial'!$F106=""),"Falta inventario inicial",IF(AND('6 Inv Final'!$E106="",'6 Inv Final'!$F106=""),"Falta inventario final",IF($G106&lt;0,"Consumo negativo: entro mercaderia sin registrar",IF(AND($L106&lt;&gt;"",ABS($L106)&gt;Config!$B$46),"Desvio alto vs Fudo: investigar",IF(AND($H106&gt;0,ABS($I106)/$H106&gt;Config!$B$46),"Lo recibido no coincide con la factura",IF(AND($J106="",$G106&gt;0),"Sin dato de Fudo para comparar","OK"))))))</f>
        <v/>
      </c>
      <c r="Q106" s="76">
        <f>IF($L106="","",ABS($L106)+ROW()/1000000)</f>
        <v/>
      </c>
      <c r="R106" s="76">
        <f>IF($O106="","",ABS($O106)+ROW()/1000000)</f>
        <v/>
      </c>
    </row>
    <row r="107">
      <c r="A107" s="38">
        <f>Insumos!$A107</f>
        <v/>
      </c>
      <c r="B107" s="39">
        <f>Insumos!$B107</f>
        <v/>
      </c>
      <c r="C107" s="40">
        <f>Insumos!$E107</f>
        <v/>
      </c>
      <c r="D107" s="41">
        <f>'1 Inv Inicial'!$G107</f>
        <v/>
      </c>
      <c r="E107" s="69">
        <f>SUMIFS('2 Ingresos'!$I$6:$I$255,'2 Ingresos'!$B$6:$B$255,$A107,'2 Ingresos'!$C$6:$C$255,$B107)</f>
        <v/>
      </c>
      <c r="F107" s="41">
        <f>'6 Inv Final'!$G107</f>
        <v/>
      </c>
      <c r="G107" s="70">
        <f>$D107+$E107-$F107</f>
        <v/>
      </c>
      <c r="H107" s="69">
        <f>SUMIFS('7 Facturas'!$F$6:$F$255,'7 Facturas'!$D$6:$D$255,$A107,'7 Facturas'!$E$6:$E$255,$B107)</f>
        <v/>
      </c>
      <c r="I107" s="69">
        <f>$E107-$H107</f>
        <v/>
      </c>
      <c r="J107" s="69">
        <f>IFERROR(INDEX('8 Fudo Stock'!$H$6:$H$205,MATCH($A107&amp;" | "&amp;$B107,'8 Fudo Stock'!$I$6:$I$205,0)),"")</f>
        <v/>
      </c>
      <c r="K107" s="69">
        <f>IF($J107="","",$G107-$J107)</f>
        <v/>
      </c>
      <c r="L107" s="71">
        <f>IF(OR($J107="",$J107=0),"",$K107/$J107)</f>
        <v/>
      </c>
      <c r="M107" s="72">
        <f>IF(Insumos!$H107="","",Insumos!$H107)</f>
        <v/>
      </c>
      <c r="N107" s="73">
        <f>IF($M107="","",$G107*$M107)</f>
        <v/>
      </c>
      <c r="O107" s="74">
        <f>IF(OR($M107="",$K107=""),"",$K107*$M107)</f>
        <v/>
      </c>
      <c r="P107" s="75">
        <f>IF(AND('1 Inv Inicial'!$E107="",'1 Inv Inicial'!$F107=""),"Falta inventario inicial",IF(AND('6 Inv Final'!$E107="",'6 Inv Final'!$F107=""),"Falta inventario final",IF($G107&lt;0,"Consumo negativo: entro mercaderia sin registrar",IF(AND($L107&lt;&gt;"",ABS($L107)&gt;Config!$B$46),"Desvio alto vs Fudo: investigar",IF(AND($H107&gt;0,ABS($I107)/$H107&gt;Config!$B$46),"Lo recibido no coincide con la factura",IF(AND($J107="",$G107&gt;0),"Sin dato de Fudo para comparar","OK"))))))</f>
        <v/>
      </c>
      <c r="Q107" s="76">
        <f>IF($L107="","",ABS($L107)+ROW()/1000000)</f>
        <v/>
      </c>
      <c r="R107" s="76">
        <f>IF($O107="","",ABS($O107)+ROW()/1000000)</f>
        <v/>
      </c>
    </row>
    <row r="108">
      <c r="A108" s="43">
        <f>Insumos!$A108</f>
        <v/>
      </c>
      <c r="B108" s="44">
        <f>Insumos!$B108</f>
        <v/>
      </c>
      <c r="C108" s="45">
        <f>Insumos!$E108</f>
        <v/>
      </c>
      <c r="D108" s="41">
        <f>'1 Inv Inicial'!$G108</f>
        <v/>
      </c>
      <c r="E108" s="69">
        <f>SUMIFS('2 Ingresos'!$I$6:$I$255,'2 Ingresos'!$B$6:$B$255,$A108,'2 Ingresos'!$C$6:$C$255,$B108)</f>
        <v/>
      </c>
      <c r="F108" s="41">
        <f>'6 Inv Final'!$G108</f>
        <v/>
      </c>
      <c r="G108" s="70">
        <f>$D108+$E108-$F108</f>
        <v/>
      </c>
      <c r="H108" s="69">
        <f>SUMIFS('7 Facturas'!$F$6:$F$255,'7 Facturas'!$D$6:$D$255,$A108,'7 Facturas'!$E$6:$E$255,$B108)</f>
        <v/>
      </c>
      <c r="I108" s="69">
        <f>$E108-$H108</f>
        <v/>
      </c>
      <c r="J108" s="69">
        <f>IFERROR(INDEX('8 Fudo Stock'!$H$6:$H$205,MATCH($A108&amp;" | "&amp;$B108,'8 Fudo Stock'!$I$6:$I$205,0)),"")</f>
        <v/>
      </c>
      <c r="K108" s="69">
        <f>IF($J108="","",$G108-$J108)</f>
        <v/>
      </c>
      <c r="L108" s="71">
        <f>IF(OR($J108="",$J108=0),"",$K108/$J108)</f>
        <v/>
      </c>
      <c r="M108" s="72">
        <f>IF(Insumos!$H108="","",Insumos!$H108)</f>
        <v/>
      </c>
      <c r="N108" s="73">
        <f>IF($M108="","",$G108*$M108)</f>
        <v/>
      </c>
      <c r="O108" s="74">
        <f>IF(OR($M108="",$K108=""),"",$K108*$M108)</f>
        <v/>
      </c>
      <c r="P108" s="75">
        <f>IF(AND('1 Inv Inicial'!$E108="",'1 Inv Inicial'!$F108=""),"Falta inventario inicial",IF(AND('6 Inv Final'!$E108="",'6 Inv Final'!$F108=""),"Falta inventario final",IF($G108&lt;0,"Consumo negativo: entro mercaderia sin registrar",IF(AND($L108&lt;&gt;"",ABS($L108)&gt;Config!$B$46),"Desvio alto vs Fudo: investigar",IF(AND($H108&gt;0,ABS($I108)/$H108&gt;Config!$B$46),"Lo recibido no coincide con la factura",IF(AND($J108="",$G108&gt;0),"Sin dato de Fudo para comparar","OK"))))))</f>
        <v/>
      </c>
      <c r="Q108" s="76">
        <f>IF($L108="","",ABS($L108)+ROW()/1000000)</f>
        <v/>
      </c>
      <c r="R108" s="76">
        <f>IF($O108="","",ABS($O108)+ROW()/1000000)</f>
        <v/>
      </c>
    </row>
    <row r="109">
      <c r="A109" s="38">
        <f>Insumos!$A109</f>
        <v/>
      </c>
      <c r="B109" s="39">
        <f>Insumos!$B109</f>
        <v/>
      </c>
      <c r="C109" s="40">
        <f>Insumos!$E109</f>
        <v/>
      </c>
      <c r="D109" s="41">
        <f>'1 Inv Inicial'!$G109</f>
        <v/>
      </c>
      <c r="E109" s="69">
        <f>SUMIFS('2 Ingresos'!$I$6:$I$255,'2 Ingresos'!$B$6:$B$255,$A109,'2 Ingresos'!$C$6:$C$255,$B109)</f>
        <v/>
      </c>
      <c r="F109" s="41">
        <f>'6 Inv Final'!$G109</f>
        <v/>
      </c>
      <c r="G109" s="70">
        <f>$D109+$E109-$F109</f>
        <v/>
      </c>
      <c r="H109" s="69">
        <f>SUMIFS('7 Facturas'!$F$6:$F$255,'7 Facturas'!$D$6:$D$255,$A109,'7 Facturas'!$E$6:$E$255,$B109)</f>
        <v/>
      </c>
      <c r="I109" s="69">
        <f>$E109-$H109</f>
        <v/>
      </c>
      <c r="J109" s="69">
        <f>IFERROR(INDEX('8 Fudo Stock'!$H$6:$H$205,MATCH($A109&amp;" | "&amp;$B109,'8 Fudo Stock'!$I$6:$I$205,0)),"")</f>
        <v/>
      </c>
      <c r="K109" s="69">
        <f>IF($J109="","",$G109-$J109)</f>
        <v/>
      </c>
      <c r="L109" s="71">
        <f>IF(OR($J109="",$J109=0),"",$K109/$J109)</f>
        <v/>
      </c>
      <c r="M109" s="72">
        <f>IF(Insumos!$H109="","",Insumos!$H109)</f>
        <v/>
      </c>
      <c r="N109" s="73">
        <f>IF($M109="","",$G109*$M109)</f>
        <v/>
      </c>
      <c r="O109" s="74">
        <f>IF(OR($M109="",$K109=""),"",$K109*$M109)</f>
        <v/>
      </c>
      <c r="P109" s="75">
        <f>IF(AND('1 Inv Inicial'!$E109="",'1 Inv Inicial'!$F109=""),"Falta inventario inicial",IF(AND('6 Inv Final'!$E109="",'6 Inv Final'!$F109=""),"Falta inventario final",IF($G109&lt;0,"Consumo negativo: entro mercaderia sin registrar",IF(AND($L109&lt;&gt;"",ABS($L109)&gt;Config!$B$46),"Desvio alto vs Fudo: investigar",IF(AND($H109&gt;0,ABS($I109)/$H109&gt;Config!$B$46),"Lo recibido no coincide con la factura",IF(AND($J109="",$G109&gt;0),"Sin dato de Fudo para comparar","OK"))))))</f>
        <v/>
      </c>
      <c r="Q109" s="76">
        <f>IF($L109="","",ABS($L109)+ROW()/1000000)</f>
        <v/>
      </c>
      <c r="R109" s="76">
        <f>IF($O109="","",ABS($O109)+ROW()/1000000)</f>
        <v/>
      </c>
    </row>
    <row r="110">
      <c r="A110" s="43">
        <f>Insumos!$A110</f>
        <v/>
      </c>
      <c r="B110" s="44">
        <f>Insumos!$B110</f>
        <v/>
      </c>
      <c r="C110" s="45">
        <f>Insumos!$E110</f>
        <v/>
      </c>
      <c r="D110" s="41">
        <f>'1 Inv Inicial'!$G110</f>
        <v/>
      </c>
      <c r="E110" s="69">
        <f>SUMIFS('2 Ingresos'!$I$6:$I$255,'2 Ingresos'!$B$6:$B$255,$A110,'2 Ingresos'!$C$6:$C$255,$B110)</f>
        <v/>
      </c>
      <c r="F110" s="41">
        <f>'6 Inv Final'!$G110</f>
        <v/>
      </c>
      <c r="G110" s="70">
        <f>$D110+$E110-$F110</f>
        <v/>
      </c>
      <c r="H110" s="69">
        <f>SUMIFS('7 Facturas'!$F$6:$F$255,'7 Facturas'!$D$6:$D$255,$A110,'7 Facturas'!$E$6:$E$255,$B110)</f>
        <v/>
      </c>
      <c r="I110" s="69">
        <f>$E110-$H110</f>
        <v/>
      </c>
      <c r="J110" s="69">
        <f>IFERROR(INDEX('8 Fudo Stock'!$H$6:$H$205,MATCH($A110&amp;" | "&amp;$B110,'8 Fudo Stock'!$I$6:$I$205,0)),"")</f>
        <v/>
      </c>
      <c r="K110" s="69">
        <f>IF($J110="","",$G110-$J110)</f>
        <v/>
      </c>
      <c r="L110" s="71">
        <f>IF(OR($J110="",$J110=0),"",$K110/$J110)</f>
        <v/>
      </c>
      <c r="M110" s="72">
        <f>IF(Insumos!$H110="","",Insumos!$H110)</f>
        <v/>
      </c>
      <c r="N110" s="73">
        <f>IF($M110="","",$G110*$M110)</f>
        <v/>
      </c>
      <c r="O110" s="74">
        <f>IF(OR($M110="",$K110=""),"",$K110*$M110)</f>
        <v/>
      </c>
      <c r="P110" s="75">
        <f>IF(AND('1 Inv Inicial'!$E110="",'1 Inv Inicial'!$F110=""),"Falta inventario inicial",IF(AND('6 Inv Final'!$E110="",'6 Inv Final'!$F110=""),"Falta inventario final",IF($G110&lt;0,"Consumo negativo: entro mercaderia sin registrar",IF(AND($L110&lt;&gt;"",ABS($L110)&gt;Config!$B$46),"Desvio alto vs Fudo: investigar",IF(AND($H110&gt;0,ABS($I110)/$H110&gt;Config!$B$46),"Lo recibido no coincide con la factura",IF(AND($J110="",$G110&gt;0),"Sin dato de Fudo para comparar","OK"))))))</f>
        <v/>
      </c>
      <c r="Q110" s="76">
        <f>IF($L110="","",ABS($L110)+ROW()/1000000)</f>
        <v/>
      </c>
      <c r="R110" s="76">
        <f>IF($O110="","",ABS($O110)+ROW()/1000000)</f>
        <v/>
      </c>
    </row>
    <row r="111">
      <c r="A111" s="38">
        <f>Insumos!$A111</f>
        <v/>
      </c>
      <c r="B111" s="39">
        <f>Insumos!$B111</f>
        <v/>
      </c>
      <c r="C111" s="40">
        <f>Insumos!$E111</f>
        <v/>
      </c>
      <c r="D111" s="41">
        <f>'1 Inv Inicial'!$G111</f>
        <v/>
      </c>
      <c r="E111" s="69">
        <f>SUMIFS('2 Ingresos'!$I$6:$I$255,'2 Ingresos'!$B$6:$B$255,$A111,'2 Ingresos'!$C$6:$C$255,$B111)</f>
        <v/>
      </c>
      <c r="F111" s="41">
        <f>'6 Inv Final'!$G111</f>
        <v/>
      </c>
      <c r="G111" s="70">
        <f>$D111+$E111-$F111</f>
        <v/>
      </c>
      <c r="H111" s="69">
        <f>SUMIFS('7 Facturas'!$F$6:$F$255,'7 Facturas'!$D$6:$D$255,$A111,'7 Facturas'!$E$6:$E$255,$B111)</f>
        <v/>
      </c>
      <c r="I111" s="69">
        <f>$E111-$H111</f>
        <v/>
      </c>
      <c r="J111" s="69">
        <f>IFERROR(INDEX('8 Fudo Stock'!$H$6:$H$205,MATCH($A111&amp;" | "&amp;$B111,'8 Fudo Stock'!$I$6:$I$205,0)),"")</f>
        <v/>
      </c>
      <c r="K111" s="69">
        <f>IF($J111="","",$G111-$J111)</f>
        <v/>
      </c>
      <c r="L111" s="71">
        <f>IF(OR($J111="",$J111=0),"",$K111/$J111)</f>
        <v/>
      </c>
      <c r="M111" s="72">
        <f>IF(Insumos!$H111="","",Insumos!$H111)</f>
        <v/>
      </c>
      <c r="N111" s="73">
        <f>IF($M111="","",$G111*$M111)</f>
        <v/>
      </c>
      <c r="O111" s="74">
        <f>IF(OR($M111="",$K111=""),"",$K111*$M111)</f>
        <v/>
      </c>
      <c r="P111" s="75">
        <f>IF(AND('1 Inv Inicial'!$E111="",'1 Inv Inicial'!$F111=""),"Falta inventario inicial",IF(AND('6 Inv Final'!$E111="",'6 Inv Final'!$F111=""),"Falta inventario final",IF($G111&lt;0,"Consumo negativo: entro mercaderia sin registrar",IF(AND($L111&lt;&gt;"",ABS($L111)&gt;Config!$B$46),"Desvio alto vs Fudo: investigar",IF(AND($H111&gt;0,ABS($I111)/$H111&gt;Config!$B$46),"Lo recibido no coincide con la factura",IF(AND($J111="",$G111&gt;0),"Sin dato de Fudo para comparar","OK"))))))</f>
        <v/>
      </c>
      <c r="Q111" s="76">
        <f>IF($L111="","",ABS($L111)+ROW()/1000000)</f>
        <v/>
      </c>
      <c r="R111" s="76">
        <f>IF($O111="","",ABS($O111)+ROW()/1000000)</f>
        <v/>
      </c>
    </row>
    <row r="112">
      <c r="A112" s="43">
        <f>Insumos!$A112</f>
        <v/>
      </c>
      <c r="B112" s="44">
        <f>Insumos!$B112</f>
        <v/>
      </c>
      <c r="C112" s="45">
        <f>Insumos!$E112</f>
        <v/>
      </c>
      <c r="D112" s="41">
        <f>'1 Inv Inicial'!$G112</f>
        <v/>
      </c>
      <c r="E112" s="69">
        <f>SUMIFS('2 Ingresos'!$I$6:$I$255,'2 Ingresos'!$B$6:$B$255,$A112,'2 Ingresos'!$C$6:$C$255,$B112)</f>
        <v/>
      </c>
      <c r="F112" s="41">
        <f>'6 Inv Final'!$G112</f>
        <v/>
      </c>
      <c r="G112" s="70">
        <f>$D112+$E112-$F112</f>
        <v/>
      </c>
      <c r="H112" s="69">
        <f>SUMIFS('7 Facturas'!$F$6:$F$255,'7 Facturas'!$D$6:$D$255,$A112,'7 Facturas'!$E$6:$E$255,$B112)</f>
        <v/>
      </c>
      <c r="I112" s="69">
        <f>$E112-$H112</f>
        <v/>
      </c>
      <c r="J112" s="69">
        <f>IFERROR(INDEX('8 Fudo Stock'!$H$6:$H$205,MATCH($A112&amp;" | "&amp;$B112,'8 Fudo Stock'!$I$6:$I$205,0)),"")</f>
        <v/>
      </c>
      <c r="K112" s="69">
        <f>IF($J112="","",$G112-$J112)</f>
        <v/>
      </c>
      <c r="L112" s="71">
        <f>IF(OR($J112="",$J112=0),"",$K112/$J112)</f>
        <v/>
      </c>
      <c r="M112" s="72">
        <f>IF(Insumos!$H112="","",Insumos!$H112)</f>
        <v/>
      </c>
      <c r="N112" s="73">
        <f>IF($M112="","",$G112*$M112)</f>
        <v/>
      </c>
      <c r="O112" s="74">
        <f>IF(OR($M112="",$K112=""),"",$K112*$M112)</f>
        <v/>
      </c>
      <c r="P112" s="75">
        <f>IF(AND('1 Inv Inicial'!$E112="",'1 Inv Inicial'!$F112=""),"Falta inventario inicial",IF(AND('6 Inv Final'!$E112="",'6 Inv Final'!$F112=""),"Falta inventario final",IF($G112&lt;0,"Consumo negativo: entro mercaderia sin registrar",IF(AND($L112&lt;&gt;"",ABS($L112)&gt;Config!$B$46),"Desvio alto vs Fudo: investigar",IF(AND($H112&gt;0,ABS($I112)/$H112&gt;Config!$B$46),"Lo recibido no coincide con la factura",IF(AND($J112="",$G112&gt;0),"Sin dato de Fudo para comparar","OK"))))))</f>
        <v/>
      </c>
      <c r="Q112" s="76">
        <f>IF($L112="","",ABS($L112)+ROW()/1000000)</f>
        <v/>
      </c>
      <c r="R112" s="76">
        <f>IF($O112="","",ABS($O112)+ROW()/1000000)</f>
        <v/>
      </c>
    </row>
    <row r="113">
      <c r="A113" s="38">
        <f>Insumos!$A113</f>
        <v/>
      </c>
      <c r="B113" s="39">
        <f>Insumos!$B113</f>
        <v/>
      </c>
      <c r="C113" s="40">
        <f>Insumos!$E113</f>
        <v/>
      </c>
      <c r="D113" s="41">
        <f>'1 Inv Inicial'!$G113</f>
        <v/>
      </c>
      <c r="E113" s="69">
        <f>SUMIFS('2 Ingresos'!$I$6:$I$255,'2 Ingresos'!$B$6:$B$255,$A113,'2 Ingresos'!$C$6:$C$255,$B113)</f>
        <v/>
      </c>
      <c r="F113" s="41">
        <f>'6 Inv Final'!$G113</f>
        <v/>
      </c>
      <c r="G113" s="70">
        <f>$D113+$E113-$F113</f>
        <v/>
      </c>
      <c r="H113" s="69">
        <f>SUMIFS('7 Facturas'!$F$6:$F$255,'7 Facturas'!$D$6:$D$255,$A113,'7 Facturas'!$E$6:$E$255,$B113)</f>
        <v/>
      </c>
      <c r="I113" s="69">
        <f>$E113-$H113</f>
        <v/>
      </c>
      <c r="J113" s="69">
        <f>IFERROR(INDEX('8 Fudo Stock'!$H$6:$H$205,MATCH($A113&amp;" | "&amp;$B113,'8 Fudo Stock'!$I$6:$I$205,0)),"")</f>
        <v/>
      </c>
      <c r="K113" s="69">
        <f>IF($J113="","",$G113-$J113)</f>
        <v/>
      </c>
      <c r="L113" s="71">
        <f>IF(OR($J113="",$J113=0),"",$K113/$J113)</f>
        <v/>
      </c>
      <c r="M113" s="72">
        <f>IF(Insumos!$H113="","",Insumos!$H113)</f>
        <v/>
      </c>
      <c r="N113" s="73">
        <f>IF($M113="","",$G113*$M113)</f>
        <v/>
      </c>
      <c r="O113" s="74">
        <f>IF(OR($M113="",$K113=""),"",$K113*$M113)</f>
        <v/>
      </c>
      <c r="P113" s="75">
        <f>IF(AND('1 Inv Inicial'!$E113="",'1 Inv Inicial'!$F113=""),"Falta inventario inicial",IF(AND('6 Inv Final'!$E113="",'6 Inv Final'!$F113=""),"Falta inventario final",IF($G113&lt;0,"Consumo negativo: entro mercaderia sin registrar",IF(AND($L113&lt;&gt;"",ABS($L113)&gt;Config!$B$46),"Desvio alto vs Fudo: investigar",IF(AND($H113&gt;0,ABS($I113)/$H113&gt;Config!$B$46),"Lo recibido no coincide con la factura",IF(AND($J113="",$G113&gt;0),"Sin dato de Fudo para comparar","OK"))))))</f>
        <v/>
      </c>
      <c r="Q113" s="76">
        <f>IF($L113="","",ABS($L113)+ROW()/1000000)</f>
        <v/>
      </c>
      <c r="R113" s="76">
        <f>IF($O113="","",ABS($O113)+ROW()/1000000)</f>
        <v/>
      </c>
    </row>
    <row r="114">
      <c r="A114" s="43">
        <f>Insumos!$A114</f>
        <v/>
      </c>
      <c r="B114" s="44">
        <f>Insumos!$B114</f>
        <v/>
      </c>
      <c r="C114" s="45">
        <f>Insumos!$E114</f>
        <v/>
      </c>
      <c r="D114" s="41">
        <f>'1 Inv Inicial'!$G114</f>
        <v/>
      </c>
      <c r="E114" s="69">
        <f>SUMIFS('2 Ingresos'!$I$6:$I$255,'2 Ingresos'!$B$6:$B$255,$A114,'2 Ingresos'!$C$6:$C$255,$B114)</f>
        <v/>
      </c>
      <c r="F114" s="41">
        <f>'6 Inv Final'!$G114</f>
        <v/>
      </c>
      <c r="G114" s="70">
        <f>$D114+$E114-$F114</f>
        <v/>
      </c>
      <c r="H114" s="69">
        <f>SUMIFS('7 Facturas'!$F$6:$F$255,'7 Facturas'!$D$6:$D$255,$A114,'7 Facturas'!$E$6:$E$255,$B114)</f>
        <v/>
      </c>
      <c r="I114" s="69">
        <f>$E114-$H114</f>
        <v/>
      </c>
      <c r="J114" s="69">
        <f>IFERROR(INDEX('8 Fudo Stock'!$H$6:$H$205,MATCH($A114&amp;" | "&amp;$B114,'8 Fudo Stock'!$I$6:$I$205,0)),"")</f>
        <v/>
      </c>
      <c r="K114" s="69">
        <f>IF($J114="","",$G114-$J114)</f>
        <v/>
      </c>
      <c r="L114" s="71">
        <f>IF(OR($J114="",$J114=0),"",$K114/$J114)</f>
        <v/>
      </c>
      <c r="M114" s="72">
        <f>IF(Insumos!$H114="","",Insumos!$H114)</f>
        <v/>
      </c>
      <c r="N114" s="73">
        <f>IF($M114="","",$G114*$M114)</f>
        <v/>
      </c>
      <c r="O114" s="74">
        <f>IF(OR($M114="",$K114=""),"",$K114*$M114)</f>
        <v/>
      </c>
      <c r="P114" s="75">
        <f>IF(AND('1 Inv Inicial'!$E114="",'1 Inv Inicial'!$F114=""),"Falta inventario inicial",IF(AND('6 Inv Final'!$E114="",'6 Inv Final'!$F114=""),"Falta inventario final",IF($G114&lt;0,"Consumo negativo: entro mercaderia sin registrar",IF(AND($L114&lt;&gt;"",ABS($L114)&gt;Config!$B$46),"Desvio alto vs Fudo: investigar",IF(AND($H114&gt;0,ABS($I114)/$H114&gt;Config!$B$46),"Lo recibido no coincide con la factura",IF(AND($J114="",$G114&gt;0),"Sin dato de Fudo para comparar","OK"))))))</f>
        <v/>
      </c>
      <c r="Q114" s="76">
        <f>IF($L114="","",ABS($L114)+ROW()/1000000)</f>
        <v/>
      </c>
      <c r="R114" s="76">
        <f>IF($O114="","",ABS($O114)+ROW()/1000000)</f>
        <v/>
      </c>
    </row>
    <row r="115">
      <c r="A115" s="38">
        <f>Insumos!$A115</f>
        <v/>
      </c>
      <c r="B115" s="39">
        <f>Insumos!$B115</f>
        <v/>
      </c>
      <c r="C115" s="40">
        <f>Insumos!$E115</f>
        <v/>
      </c>
      <c r="D115" s="41">
        <f>'1 Inv Inicial'!$G115</f>
        <v/>
      </c>
      <c r="E115" s="69">
        <f>SUMIFS('2 Ingresos'!$I$6:$I$255,'2 Ingresos'!$B$6:$B$255,$A115,'2 Ingresos'!$C$6:$C$255,$B115)</f>
        <v/>
      </c>
      <c r="F115" s="41">
        <f>'6 Inv Final'!$G115</f>
        <v/>
      </c>
      <c r="G115" s="70">
        <f>$D115+$E115-$F115</f>
        <v/>
      </c>
      <c r="H115" s="69">
        <f>SUMIFS('7 Facturas'!$F$6:$F$255,'7 Facturas'!$D$6:$D$255,$A115,'7 Facturas'!$E$6:$E$255,$B115)</f>
        <v/>
      </c>
      <c r="I115" s="69">
        <f>$E115-$H115</f>
        <v/>
      </c>
      <c r="J115" s="69">
        <f>IFERROR(INDEX('8 Fudo Stock'!$H$6:$H$205,MATCH($A115&amp;" | "&amp;$B115,'8 Fudo Stock'!$I$6:$I$205,0)),"")</f>
        <v/>
      </c>
      <c r="K115" s="69">
        <f>IF($J115="","",$G115-$J115)</f>
        <v/>
      </c>
      <c r="L115" s="71">
        <f>IF(OR($J115="",$J115=0),"",$K115/$J115)</f>
        <v/>
      </c>
      <c r="M115" s="72">
        <f>IF(Insumos!$H115="","",Insumos!$H115)</f>
        <v/>
      </c>
      <c r="N115" s="73">
        <f>IF($M115="","",$G115*$M115)</f>
        <v/>
      </c>
      <c r="O115" s="74">
        <f>IF(OR($M115="",$K115=""),"",$K115*$M115)</f>
        <v/>
      </c>
      <c r="P115" s="75">
        <f>IF(AND('1 Inv Inicial'!$E115="",'1 Inv Inicial'!$F115=""),"Falta inventario inicial",IF(AND('6 Inv Final'!$E115="",'6 Inv Final'!$F115=""),"Falta inventario final",IF($G115&lt;0,"Consumo negativo: entro mercaderia sin registrar",IF(AND($L115&lt;&gt;"",ABS($L115)&gt;Config!$B$46),"Desvio alto vs Fudo: investigar",IF(AND($H115&gt;0,ABS($I115)/$H115&gt;Config!$B$46),"Lo recibido no coincide con la factura",IF(AND($J115="",$G115&gt;0),"Sin dato de Fudo para comparar","OK"))))))</f>
        <v/>
      </c>
      <c r="Q115" s="76">
        <f>IF($L115="","",ABS($L115)+ROW()/1000000)</f>
        <v/>
      </c>
      <c r="R115" s="76">
        <f>IF($O115="","",ABS($O115)+ROW()/1000000)</f>
        <v/>
      </c>
    </row>
    <row r="116">
      <c r="A116" s="43">
        <f>Insumos!$A116</f>
        <v/>
      </c>
      <c r="B116" s="44">
        <f>Insumos!$B116</f>
        <v/>
      </c>
      <c r="C116" s="45">
        <f>Insumos!$E116</f>
        <v/>
      </c>
      <c r="D116" s="41">
        <f>'1 Inv Inicial'!$G116</f>
        <v/>
      </c>
      <c r="E116" s="69">
        <f>SUMIFS('2 Ingresos'!$I$6:$I$255,'2 Ingresos'!$B$6:$B$255,$A116,'2 Ingresos'!$C$6:$C$255,$B116)</f>
        <v/>
      </c>
      <c r="F116" s="41">
        <f>'6 Inv Final'!$G116</f>
        <v/>
      </c>
      <c r="G116" s="70">
        <f>$D116+$E116-$F116</f>
        <v/>
      </c>
      <c r="H116" s="69">
        <f>SUMIFS('7 Facturas'!$F$6:$F$255,'7 Facturas'!$D$6:$D$255,$A116,'7 Facturas'!$E$6:$E$255,$B116)</f>
        <v/>
      </c>
      <c r="I116" s="69">
        <f>$E116-$H116</f>
        <v/>
      </c>
      <c r="J116" s="69">
        <f>IFERROR(INDEX('8 Fudo Stock'!$H$6:$H$205,MATCH($A116&amp;" | "&amp;$B116,'8 Fudo Stock'!$I$6:$I$205,0)),"")</f>
        <v/>
      </c>
      <c r="K116" s="69">
        <f>IF($J116="","",$G116-$J116)</f>
        <v/>
      </c>
      <c r="L116" s="71">
        <f>IF(OR($J116="",$J116=0),"",$K116/$J116)</f>
        <v/>
      </c>
      <c r="M116" s="72">
        <f>IF(Insumos!$H116="","",Insumos!$H116)</f>
        <v/>
      </c>
      <c r="N116" s="73">
        <f>IF($M116="","",$G116*$M116)</f>
        <v/>
      </c>
      <c r="O116" s="74">
        <f>IF(OR($M116="",$K116=""),"",$K116*$M116)</f>
        <v/>
      </c>
      <c r="P116" s="75">
        <f>IF(AND('1 Inv Inicial'!$E116="",'1 Inv Inicial'!$F116=""),"Falta inventario inicial",IF(AND('6 Inv Final'!$E116="",'6 Inv Final'!$F116=""),"Falta inventario final",IF($G116&lt;0,"Consumo negativo: entro mercaderia sin registrar",IF(AND($L116&lt;&gt;"",ABS($L116)&gt;Config!$B$46),"Desvio alto vs Fudo: investigar",IF(AND($H116&gt;0,ABS($I116)/$H116&gt;Config!$B$46),"Lo recibido no coincide con la factura",IF(AND($J116="",$G116&gt;0),"Sin dato de Fudo para comparar","OK"))))))</f>
        <v/>
      </c>
      <c r="Q116" s="76">
        <f>IF($L116="","",ABS($L116)+ROW()/1000000)</f>
        <v/>
      </c>
      <c r="R116" s="76">
        <f>IF($O116="","",ABS($O116)+ROW()/1000000)</f>
        <v/>
      </c>
    </row>
    <row r="117">
      <c r="A117" s="38">
        <f>Insumos!$A117</f>
        <v/>
      </c>
      <c r="B117" s="39">
        <f>Insumos!$B117</f>
        <v/>
      </c>
      <c r="C117" s="40">
        <f>Insumos!$E117</f>
        <v/>
      </c>
      <c r="D117" s="41">
        <f>'1 Inv Inicial'!$G117</f>
        <v/>
      </c>
      <c r="E117" s="69">
        <f>SUMIFS('2 Ingresos'!$I$6:$I$255,'2 Ingresos'!$B$6:$B$255,$A117,'2 Ingresos'!$C$6:$C$255,$B117)</f>
        <v/>
      </c>
      <c r="F117" s="41">
        <f>'6 Inv Final'!$G117</f>
        <v/>
      </c>
      <c r="G117" s="70">
        <f>$D117+$E117-$F117</f>
        <v/>
      </c>
      <c r="H117" s="69">
        <f>SUMIFS('7 Facturas'!$F$6:$F$255,'7 Facturas'!$D$6:$D$255,$A117,'7 Facturas'!$E$6:$E$255,$B117)</f>
        <v/>
      </c>
      <c r="I117" s="69">
        <f>$E117-$H117</f>
        <v/>
      </c>
      <c r="J117" s="69">
        <f>IFERROR(INDEX('8 Fudo Stock'!$H$6:$H$205,MATCH($A117&amp;" | "&amp;$B117,'8 Fudo Stock'!$I$6:$I$205,0)),"")</f>
        <v/>
      </c>
      <c r="K117" s="69">
        <f>IF($J117="","",$G117-$J117)</f>
        <v/>
      </c>
      <c r="L117" s="71">
        <f>IF(OR($J117="",$J117=0),"",$K117/$J117)</f>
        <v/>
      </c>
      <c r="M117" s="72">
        <f>IF(Insumos!$H117="","",Insumos!$H117)</f>
        <v/>
      </c>
      <c r="N117" s="73">
        <f>IF($M117="","",$G117*$M117)</f>
        <v/>
      </c>
      <c r="O117" s="74">
        <f>IF(OR($M117="",$K117=""),"",$K117*$M117)</f>
        <v/>
      </c>
      <c r="P117" s="75">
        <f>IF(AND('1 Inv Inicial'!$E117="",'1 Inv Inicial'!$F117=""),"Falta inventario inicial",IF(AND('6 Inv Final'!$E117="",'6 Inv Final'!$F117=""),"Falta inventario final",IF($G117&lt;0,"Consumo negativo: entro mercaderia sin registrar",IF(AND($L117&lt;&gt;"",ABS($L117)&gt;Config!$B$46),"Desvio alto vs Fudo: investigar",IF(AND($H117&gt;0,ABS($I117)/$H117&gt;Config!$B$46),"Lo recibido no coincide con la factura",IF(AND($J117="",$G117&gt;0),"Sin dato de Fudo para comparar","OK"))))))</f>
        <v/>
      </c>
      <c r="Q117" s="76">
        <f>IF($L117="","",ABS($L117)+ROW()/1000000)</f>
        <v/>
      </c>
      <c r="R117" s="76">
        <f>IF($O117="","",ABS($O117)+ROW()/1000000)</f>
        <v/>
      </c>
    </row>
    <row r="118">
      <c r="A118" s="43">
        <f>Insumos!$A118</f>
        <v/>
      </c>
      <c r="B118" s="44">
        <f>Insumos!$B118</f>
        <v/>
      </c>
      <c r="C118" s="45">
        <f>Insumos!$E118</f>
        <v/>
      </c>
      <c r="D118" s="41">
        <f>'1 Inv Inicial'!$G118</f>
        <v/>
      </c>
      <c r="E118" s="69">
        <f>SUMIFS('2 Ingresos'!$I$6:$I$255,'2 Ingresos'!$B$6:$B$255,$A118,'2 Ingresos'!$C$6:$C$255,$B118)</f>
        <v/>
      </c>
      <c r="F118" s="41">
        <f>'6 Inv Final'!$G118</f>
        <v/>
      </c>
      <c r="G118" s="70">
        <f>$D118+$E118-$F118</f>
        <v/>
      </c>
      <c r="H118" s="69">
        <f>SUMIFS('7 Facturas'!$F$6:$F$255,'7 Facturas'!$D$6:$D$255,$A118,'7 Facturas'!$E$6:$E$255,$B118)</f>
        <v/>
      </c>
      <c r="I118" s="69">
        <f>$E118-$H118</f>
        <v/>
      </c>
      <c r="J118" s="69">
        <f>IFERROR(INDEX('8 Fudo Stock'!$H$6:$H$205,MATCH($A118&amp;" | "&amp;$B118,'8 Fudo Stock'!$I$6:$I$205,0)),"")</f>
        <v/>
      </c>
      <c r="K118" s="69">
        <f>IF($J118="","",$G118-$J118)</f>
        <v/>
      </c>
      <c r="L118" s="71">
        <f>IF(OR($J118="",$J118=0),"",$K118/$J118)</f>
        <v/>
      </c>
      <c r="M118" s="72">
        <f>IF(Insumos!$H118="","",Insumos!$H118)</f>
        <v/>
      </c>
      <c r="N118" s="73">
        <f>IF($M118="","",$G118*$M118)</f>
        <v/>
      </c>
      <c r="O118" s="74">
        <f>IF(OR($M118="",$K118=""),"",$K118*$M118)</f>
        <v/>
      </c>
      <c r="P118" s="75">
        <f>IF(AND('1 Inv Inicial'!$E118="",'1 Inv Inicial'!$F118=""),"Falta inventario inicial",IF(AND('6 Inv Final'!$E118="",'6 Inv Final'!$F118=""),"Falta inventario final",IF($G118&lt;0,"Consumo negativo: entro mercaderia sin registrar",IF(AND($L118&lt;&gt;"",ABS($L118)&gt;Config!$B$46),"Desvio alto vs Fudo: investigar",IF(AND($H118&gt;0,ABS($I118)/$H118&gt;Config!$B$46),"Lo recibido no coincide con la factura",IF(AND($J118="",$G118&gt;0),"Sin dato de Fudo para comparar","OK"))))))</f>
        <v/>
      </c>
      <c r="Q118" s="76">
        <f>IF($L118="","",ABS($L118)+ROW()/1000000)</f>
        <v/>
      </c>
      <c r="R118" s="76">
        <f>IF($O118="","",ABS($O118)+ROW()/1000000)</f>
        <v/>
      </c>
    </row>
    <row r="119">
      <c r="A119" s="38">
        <f>Insumos!$A119</f>
        <v/>
      </c>
      <c r="B119" s="39">
        <f>Insumos!$B119</f>
        <v/>
      </c>
      <c r="C119" s="40">
        <f>Insumos!$E119</f>
        <v/>
      </c>
      <c r="D119" s="41">
        <f>'1 Inv Inicial'!$G119</f>
        <v/>
      </c>
      <c r="E119" s="69">
        <f>SUMIFS('2 Ingresos'!$I$6:$I$255,'2 Ingresos'!$B$6:$B$255,$A119,'2 Ingresos'!$C$6:$C$255,$B119)</f>
        <v/>
      </c>
      <c r="F119" s="41">
        <f>'6 Inv Final'!$G119</f>
        <v/>
      </c>
      <c r="G119" s="70">
        <f>$D119+$E119-$F119</f>
        <v/>
      </c>
      <c r="H119" s="69">
        <f>SUMIFS('7 Facturas'!$F$6:$F$255,'7 Facturas'!$D$6:$D$255,$A119,'7 Facturas'!$E$6:$E$255,$B119)</f>
        <v/>
      </c>
      <c r="I119" s="69">
        <f>$E119-$H119</f>
        <v/>
      </c>
      <c r="J119" s="69">
        <f>IFERROR(INDEX('8 Fudo Stock'!$H$6:$H$205,MATCH($A119&amp;" | "&amp;$B119,'8 Fudo Stock'!$I$6:$I$205,0)),"")</f>
        <v/>
      </c>
      <c r="K119" s="69">
        <f>IF($J119="","",$G119-$J119)</f>
        <v/>
      </c>
      <c r="L119" s="71">
        <f>IF(OR($J119="",$J119=0),"",$K119/$J119)</f>
        <v/>
      </c>
      <c r="M119" s="72">
        <f>IF(Insumos!$H119="","",Insumos!$H119)</f>
        <v/>
      </c>
      <c r="N119" s="73">
        <f>IF($M119="","",$G119*$M119)</f>
        <v/>
      </c>
      <c r="O119" s="74">
        <f>IF(OR($M119="",$K119=""),"",$K119*$M119)</f>
        <v/>
      </c>
      <c r="P119" s="75">
        <f>IF(AND('1 Inv Inicial'!$E119="",'1 Inv Inicial'!$F119=""),"Falta inventario inicial",IF(AND('6 Inv Final'!$E119="",'6 Inv Final'!$F119=""),"Falta inventario final",IF($G119&lt;0,"Consumo negativo: entro mercaderia sin registrar",IF(AND($L119&lt;&gt;"",ABS($L119)&gt;Config!$B$46),"Desvio alto vs Fudo: investigar",IF(AND($H119&gt;0,ABS($I119)/$H119&gt;Config!$B$46),"Lo recibido no coincide con la factura",IF(AND($J119="",$G119&gt;0),"Sin dato de Fudo para comparar","OK"))))))</f>
        <v/>
      </c>
      <c r="Q119" s="76">
        <f>IF($L119="","",ABS($L119)+ROW()/1000000)</f>
        <v/>
      </c>
      <c r="R119" s="76">
        <f>IF($O119="","",ABS($O119)+ROW()/1000000)</f>
        <v/>
      </c>
    </row>
    <row r="120">
      <c r="A120" s="43">
        <f>Insumos!$A120</f>
        <v/>
      </c>
      <c r="B120" s="44">
        <f>Insumos!$B120</f>
        <v/>
      </c>
      <c r="C120" s="45">
        <f>Insumos!$E120</f>
        <v/>
      </c>
      <c r="D120" s="41">
        <f>'1 Inv Inicial'!$G120</f>
        <v/>
      </c>
      <c r="E120" s="69">
        <f>SUMIFS('2 Ingresos'!$I$6:$I$255,'2 Ingresos'!$B$6:$B$255,$A120,'2 Ingresos'!$C$6:$C$255,$B120)</f>
        <v/>
      </c>
      <c r="F120" s="41">
        <f>'6 Inv Final'!$G120</f>
        <v/>
      </c>
      <c r="G120" s="70">
        <f>$D120+$E120-$F120</f>
        <v/>
      </c>
      <c r="H120" s="69">
        <f>SUMIFS('7 Facturas'!$F$6:$F$255,'7 Facturas'!$D$6:$D$255,$A120,'7 Facturas'!$E$6:$E$255,$B120)</f>
        <v/>
      </c>
      <c r="I120" s="69">
        <f>$E120-$H120</f>
        <v/>
      </c>
      <c r="J120" s="69">
        <f>IFERROR(INDEX('8 Fudo Stock'!$H$6:$H$205,MATCH($A120&amp;" | "&amp;$B120,'8 Fudo Stock'!$I$6:$I$205,0)),"")</f>
        <v/>
      </c>
      <c r="K120" s="69">
        <f>IF($J120="","",$G120-$J120)</f>
        <v/>
      </c>
      <c r="L120" s="71">
        <f>IF(OR($J120="",$J120=0),"",$K120/$J120)</f>
        <v/>
      </c>
      <c r="M120" s="72">
        <f>IF(Insumos!$H120="","",Insumos!$H120)</f>
        <v/>
      </c>
      <c r="N120" s="73">
        <f>IF($M120="","",$G120*$M120)</f>
        <v/>
      </c>
      <c r="O120" s="74">
        <f>IF(OR($M120="",$K120=""),"",$K120*$M120)</f>
        <v/>
      </c>
      <c r="P120" s="75">
        <f>IF(AND('1 Inv Inicial'!$E120="",'1 Inv Inicial'!$F120=""),"Falta inventario inicial",IF(AND('6 Inv Final'!$E120="",'6 Inv Final'!$F120=""),"Falta inventario final",IF($G120&lt;0,"Consumo negativo: entro mercaderia sin registrar",IF(AND($L120&lt;&gt;"",ABS($L120)&gt;Config!$B$46),"Desvio alto vs Fudo: investigar",IF(AND($H120&gt;0,ABS($I120)/$H120&gt;Config!$B$46),"Lo recibido no coincide con la factura",IF(AND($J120="",$G120&gt;0),"Sin dato de Fudo para comparar","OK"))))))</f>
        <v/>
      </c>
      <c r="Q120" s="76">
        <f>IF($L120="","",ABS($L120)+ROW()/1000000)</f>
        <v/>
      </c>
      <c r="R120" s="76">
        <f>IF($O120="","",ABS($O120)+ROW()/1000000)</f>
        <v/>
      </c>
    </row>
    <row r="121">
      <c r="A121" s="38">
        <f>Insumos!$A121</f>
        <v/>
      </c>
      <c r="B121" s="39">
        <f>Insumos!$B121</f>
        <v/>
      </c>
      <c r="C121" s="40">
        <f>Insumos!$E121</f>
        <v/>
      </c>
      <c r="D121" s="41">
        <f>'1 Inv Inicial'!$G121</f>
        <v/>
      </c>
      <c r="E121" s="69">
        <f>SUMIFS('2 Ingresos'!$I$6:$I$255,'2 Ingresos'!$B$6:$B$255,$A121,'2 Ingresos'!$C$6:$C$255,$B121)</f>
        <v/>
      </c>
      <c r="F121" s="41">
        <f>'6 Inv Final'!$G121</f>
        <v/>
      </c>
      <c r="G121" s="70">
        <f>$D121+$E121-$F121</f>
        <v/>
      </c>
      <c r="H121" s="69">
        <f>SUMIFS('7 Facturas'!$F$6:$F$255,'7 Facturas'!$D$6:$D$255,$A121,'7 Facturas'!$E$6:$E$255,$B121)</f>
        <v/>
      </c>
      <c r="I121" s="69">
        <f>$E121-$H121</f>
        <v/>
      </c>
      <c r="J121" s="69">
        <f>IFERROR(INDEX('8 Fudo Stock'!$H$6:$H$205,MATCH($A121&amp;" | "&amp;$B121,'8 Fudo Stock'!$I$6:$I$205,0)),"")</f>
        <v/>
      </c>
      <c r="K121" s="69">
        <f>IF($J121="","",$G121-$J121)</f>
        <v/>
      </c>
      <c r="L121" s="71">
        <f>IF(OR($J121="",$J121=0),"",$K121/$J121)</f>
        <v/>
      </c>
      <c r="M121" s="72">
        <f>IF(Insumos!$H121="","",Insumos!$H121)</f>
        <v/>
      </c>
      <c r="N121" s="73">
        <f>IF($M121="","",$G121*$M121)</f>
        <v/>
      </c>
      <c r="O121" s="74">
        <f>IF(OR($M121="",$K121=""),"",$K121*$M121)</f>
        <v/>
      </c>
      <c r="P121" s="75">
        <f>IF(AND('1 Inv Inicial'!$E121="",'1 Inv Inicial'!$F121=""),"Falta inventario inicial",IF(AND('6 Inv Final'!$E121="",'6 Inv Final'!$F121=""),"Falta inventario final",IF($G121&lt;0,"Consumo negativo: entro mercaderia sin registrar",IF(AND($L121&lt;&gt;"",ABS($L121)&gt;Config!$B$46),"Desvio alto vs Fudo: investigar",IF(AND($H121&gt;0,ABS($I121)/$H121&gt;Config!$B$46),"Lo recibido no coincide con la factura",IF(AND($J121="",$G121&gt;0),"Sin dato de Fudo para comparar","OK"))))))</f>
        <v/>
      </c>
      <c r="Q121" s="76">
        <f>IF($L121="","",ABS($L121)+ROW()/1000000)</f>
        <v/>
      </c>
      <c r="R121" s="76">
        <f>IF($O121="","",ABS($O121)+ROW()/1000000)</f>
        <v/>
      </c>
    </row>
    <row r="122">
      <c r="A122" s="43">
        <f>Insumos!$A122</f>
        <v/>
      </c>
      <c r="B122" s="44">
        <f>Insumos!$B122</f>
        <v/>
      </c>
      <c r="C122" s="45">
        <f>Insumos!$E122</f>
        <v/>
      </c>
      <c r="D122" s="41">
        <f>'1 Inv Inicial'!$G122</f>
        <v/>
      </c>
      <c r="E122" s="69">
        <f>SUMIFS('2 Ingresos'!$I$6:$I$255,'2 Ingresos'!$B$6:$B$255,$A122,'2 Ingresos'!$C$6:$C$255,$B122)</f>
        <v/>
      </c>
      <c r="F122" s="41">
        <f>'6 Inv Final'!$G122</f>
        <v/>
      </c>
      <c r="G122" s="70">
        <f>$D122+$E122-$F122</f>
        <v/>
      </c>
      <c r="H122" s="69">
        <f>SUMIFS('7 Facturas'!$F$6:$F$255,'7 Facturas'!$D$6:$D$255,$A122,'7 Facturas'!$E$6:$E$255,$B122)</f>
        <v/>
      </c>
      <c r="I122" s="69">
        <f>$E122-$H122</f>
        <v/>
      </c>
      <c r="J122" s="69">
        <f>IFERROR(INDEX('8 Fudo Stock'!$H$6:$H$205,MATCH($A122&amp;" | "&amp;$B122,'8 Fudo Stock'!$I$6:$I$205,0)),"")</f>
        <v/>
      </c>
      <c r="K122" s="69">
        <f>IF($J122="","",$G122-$J122)</f>
        <v/>
      </c>
      <c r="L122" s="71">
        <f>IF(OR($J122="",$J122=0),"",$K122/$J122)</f>
        <v/>
      </c>
      <c r="M122" s="72">
        <f>IF(Insumos!$H122="","",Insumos!$H122)</f>
        <v/>
      </c>
      <c r="N122" s="73">
        <f>IF($M122="","",$G122*$M122)</f>
        <v/>
      </c>
      <c r="O122" s="74">
        <f>IF(OR($M122="",$K122=""),"",$K122*$M122)</f>
        <v/>
      </c>
      <c r="P122" s="75">
        <f>IF(AND('1 Inv Inicial'!$E122="",'1 Inv Inicial'!$F122=""),"Falta inventario inicial",IF(AND('6 Inv Final'!$E122="",'6 Inv Final'!$F122=""),"Falta inventario final",IF($G122&lt;0,"Consumo negativo: entro mercaderia sin registrar",IF(AND($L122&lt;&gt;"",ABS($L122)&gt;Config!$B$46),"Desvio alto vs Fudo: investigar",IF(AND($H122&gt;0,ABS($I122)/$H122&gt;Config!$B$46),"Lo recibido no coincide con la factura",IF(AND($J122="",$G122&gt;0),"Sin dato de Fudo para comparar","OK"))))))</f>
        <v/>
      </c>
      <c r="Q122" s="76">
        <f>IF($L122="","",ABS($L122)+ROW()/1000000)</f>
        <v/>
      </c>
      <c r="R122" s="76">
        <f>IF($O122="","",ABS($O122)+ROW()/1000000)</f>
        <v/>
      </c>
    </row>
    <row r="123">
      <c r="A123" s="38">
        <f>Insumos!$A123</f>
        <v/>
      </c>
      <c r="B123" s="39">
        <f>Insumos!$B123</f>
        <v/>
      </c>
      <c r="C123" s="40">
        <f>Insumos!$E123</f>
        <v/>
      </c>
      <c r="D123" s="41">
        <f>'1 Inv Inicial'!$G123</f>
        <v/>
      </c>
      <c r="E123" s="69">
        <f>SUMIFS('2 Ingresos'!$I$6:$I$255,'2 Ingresos'!$B$6:$B$255,$A123,'2 Ingresos'!$C$6:$C$255,$B123)</f>
        <v/>
      </c>
      <c r="F123" s="41">
        <f>'6 Inv Final'!$G123</f>
        <v/>
      </c>
      <c r="G123" s="70">
        <f>$D123+$E123-$F123</f>
        <v/>
      </c>
      <c r="H123" s="69">
        <f>SUMIFS('7 Facturas'!$F$6:$F$255,'7 Facturas'!$D$6:$D$255,$A123,'7 Facturas'!$E$6:$E$255,$B123)</f>
        <v/>
      </c>
      <c r="I123" s="69">
        <f>$E123-$H123</f>
        <v/>
      </c>
      <c r="J123" s="69">
        <f>IFERROR(INDEX('8 Fudo Stock'!$H$6:$H$205,MATCH($A123&amp;" | "&amp;$B123,'8 Fudo Stock'!$I$6:$I$205,0)),"")</f>
        <v/>
      </c>
      <c r="K123" s="69">
        <f>IF($J123="","",$G123-$J123)</f>
        <v/>
      </c>
      <c r="L123" s="71">
        <f>IF(OR($J123="",$J123=0),"",$K123/$J123)</f>
        <v/>
      </c>
      <c r="M123" s="72">
        <f>IF(Insumos!$H123="","",Insumos!$H123)</f>
        <v/>
      </c>
      <c r="N123" s="73">
        <f>IF($M123="","",$G123*$M123)</f>
        <v/>
      </c>
      <c r="O123" s="74">
        <f>IF(OR($M123="",$K123=""),"",$K123*$M123)</f>
        <v/>
      </c>
      <c r="P123" s="75">
        <f>IF(AND('1 Inv Inicial'!$E123="",'1 Inv Inicial'!$F123=""),"Falta inventario inicial",IF(AND('6 Inv Final'!$E123="",'6 Inv Final'!$F123=""),"Falta inventario final",IF($G123&lt;0,"Consumo negativo: entro mercaderia sin registrar",IF(AND($L123&lt;&gt;"",ABS($L123)&gt;Config!$B$46),"Desvio alto vs Fudo: investigar",IF(AND($H123&gt;0,ABS($I123)/$H123&gt;Config!$B$46),"Lo recibido no coincide con la factura",IF(AND($J123="",$G123&gt;0),"Sin dato de Fudo para comparar","OK"))))))</f>
        <v/>
      </c>
      <c r="Q123" s="76">
        <f>IF($L123="","",ABS($L123)+ROW()/1000000)</f>
        <v/>
      </c>
      <c r="R123" s="76">
        <f>IF($O123="","",ABS($O123)+ROW()/1000000)</f>
        <v/>
      </c>
    </row>
    <row r="124">
      <c r="A124" s="43">
        <f>Insumos!$A124</f>
        <v/>
      </c>
      <c r="B124" s="44">
        <f>Insumos!$B124</f>
        <v/>
      </c>
      <c r="C124" s="45">
        <f>Insumos!$E124</f>
        <v/>
      </c>
      <c r="D124" s="41">
        <f>'1 Inv Inicial'!$G124</f>
        <v/>
      </c>
      <c r="E124" s="69">
        <f>SUMIFS('2 Ingresos'!$I$6:$I$255,'2 Ingresos'!$B$6:$B$255,$A124,'2 Ingresos'!$C$6:$C$255,$B124)</f>
        <v/>
      </c>
      <c r="F124" s="41">
        <f>'6 Inv Final'!$G124</f>
        <v/>
      </c>
      <c r="G124" s="70">
        <f>$D124+$E124-$F124</f>
        <v/>
      </c>
      <c r="H124" s="69">
        <f>SUMIFS('7 Facturas'!$F$6:$F$255,'7 Facturas'!$D$6:$D$255,$A124,'7 Facturas'!$E$6:$E$255,$B124)</f>
        <v/>
      </c>
      <c r="I124" s="69">
        <f>$E124-$H124</f>
        <v/>
      </c>
      <c r="J124" s="69">
        <f>IFERROR(INDEX('8 Fudo Stock'!$H$6:$H$205,MATCH($A124&amp;" | "&amp;$B124,'8 Fudo Stock'!$I$6:$I$205,0)),"")</f>
        <v/>
      </c>
      <c r="K124" s="69">
        <f>IF($J124="","",$G124-$J124)</f>
        <v/>
      </c>
      <c r="L124" s="71">
        <f>IF(OR($J124="",$J124=0),"",$K124/$J124)</f>
        <v/>
      </c>
      <c r="M124" s="72">
        <f>IF(Insumos!$H124="","",Insumos!$H124)</f>
        <v/>
      </c>
      <c r="N124" s="73">
        <f>IF($M124="","",$G124*$M124)</f>
        <v/>
      </c>
      <c r="O124" s="74">
        <f>IF(OR($M124="",$K124=""),"",$K124*$M124)</f>
        <v/>
      </c>
      <c r="P124" s="75">
        <f>IF(AND('1 Inv Inicial'!$E124="",'1 Inv Inicial'!$F124=""),"Falta inventario inicial",IF(AND('6 Inv Final'!$E124="",'6 Inv Final'!$F124=""),"Falta inventario final",IF($G124&lt;0,"Consumo negativo: entro mercaderia sin registrar",IF(AND($L124&lt;&gt;"",ABS($L124)&gt;Config!$B$46),"Desvio alto vs Fudo: investigar",IF(AND($H124&gt;0,ABS($I124)/$H124&gt;Config!$B$46),"Lo recibido no coincide con la factura",IF(AND($J124="",$G124&gt;0),"Sin dato de Fudo para comparar","OK"))))))</f>
        <v/>
      </c>
      <c r="Q124" s="76">
        <f>IF($L124="","",ABS($L124)+ROW()/1000000)</f>
        <v/>
      </c>
      <c r="R124" s="76">
        <f>IF($O124="","",ABS($O124)+ROW()/1000000)</f>
        <v/>
      </c>
    </row>
    <row r="125">
      <c r="A125" s="38">
        <f>Insumos!$A125</f>
        <v/>
      </c>
      <c r="B125" s="39">
        <f>Insumos!$B125</f>
        <v/>
      </c>
      <c r="C125" s="40">
        <f>Insumos!$E125</f>
        <v/>
      </c>
      <c r="D125" s="41">
        <f>'1 Inv Inicial'!$G125</f>
        <v/>
      </c>
      <c r="E125" s="69">
        <f>SUMIFS('2 Ingresos'!$I$6:$I$255,'2 Ingresos'!$B$6:$B$255,$A125,'2 Ingresos'!$C$6:$C$255,$B125)</f>
        <v/>
      </c>
      <c r="F125" s="41">
        <f>'6 Inv Final'!$G125</f>
        <v/>
      </c>
      <c r="G125" s="70">
        <f>$D125+$E125-$F125</f>
        <v/>
      </c>
      <c r="H125" s="69">
        <f>SUMIFS('7 Facturas'!$F$6:$F$255,'7 Facturas'!$D$6:$D$255,$A125,'7 Facturas'!$E$6:$E$255,$B125)</f>
        <v/>
      </c>
      <c r="I125" s="69">
        <f>$E125-$H125</f>
        <v/>
      </c>
      <c r="J125" s="69">
        <f>IFERROR(INDEX('8 Fudo Stock'!$H$6:$H$205,MATCH($A125&amp;" | "&amp;$B125,'8 Fudo Stock'!$I$6:$I$205,0)),"")</f>
        <v/>
      </c>
      <c r="K125" s="69">
        <f>IF($J125="","",$G125-$J125)</f>
        <v/>
      </c>
      <c r="L125" s="71">
        <f>IF(OR($J125="",$J125=0),"",$K125/$J125)</f>
        <v/>
      </c>
      <c r="M125" s="72">
        <f>IF(Insumos!$H125="","",Insumos!$H125)</f>
        <v/>
      </c>
      <c r="N125" s="73">
        <f>IF($M125="","",$G125*$M125)</f>
        <v/>
      </c>
      <c r="O125" s="74">
        <f>IF(OR($M125="",$K125=""),"",$K125*$M125)</f>
        <v/>
      </c>
      <c r="P125" s="75">
        <f>IF(AND('1 Inv Inicial'!$E125="",'1 Inv Inicial'!$F125=""),"Falta inventario inicial",IF(AND('6 Inv Final'!$E125="",'6 Inv Final'!$F125=""),"Falta inventario final",IF($G125&lt;0,"Consumo negativo: entro mercaderia sin registrar",IF(AND($L125&lt;&gt;"",ABS($L125)&gt;Config!$B$46),"Desvio alto vs Fudo: investigar",IF(AND($H125&gt;0,ABS($I125)/$H125&gt;Config!$B$46),"Lo recibido no coincide con la factura",IF(AND($J125="",$G125&gt;0),"Sin dato de Fudo para comparar","OK"))))))</f>
        <v/>
      </c>
      <c r="Q125" s="76">
        <f>IF($L125="","",ABS($L125)+ROW()/1000000)</f>
        <v/>
      </c>
      <c r="R125" s="76">
        <f>IF($O125="","",ABS($O125)+ROW()/1000000)</f>
        <v/>
      </c>
    </row>
    <row r="126">
      <c r="A126" s="43">
        <f>Insumos!$A126</f>
        <v/>
      </c>
      <c r="B126" s="44">
        <f>Insumos!$B126</f>
        <v/>
      </c>
      <c r="C126" s="45">
        <f>Insumos!$E126</f>
        <v/>
      </c>
      <c r="D126" s="41">
        <f>'1 Inv Inicial'!$G126</f>
        <v/>
      </c>
      <c r="E126" s="69">
        <f>SUMIFS('2 Ingresos'!$I$6:$I$255,'2 Ingresos'!$B$6:$B$255,$A126,'2 Ingresos'!$C$6:$C$255,$B126)</f>
        <v/>
      </c>
      <c r="F126" s="41">
        <f>'6 Inv Final'!$G126</f>
        <v/>
      </c>
      <c r="G126" s="70">
        <f>$D126+$E126-$F126</f>
        <v/>
      </c>
      <c r="H126" s="69">
        <f>SUMIFS('7 Facturas'!$F$6:$F$255,'7 Facturas'!$D$6:$D$255,$A126,'7 Facturas'!$E$6:$E$255,$B126)</f>
        <v/>
      </c>
      <c r="I126" s="69">
        <f>$E126-$H126</f>
        <v/>
      </c>
      <c r="J126" s="69">
        <f>IFERROR(INDEX('8 Fudo Stock'!$H$6:$H$205,MATCH($A126&amp;" | "&amp;$B126,'8 Fudo Stock'!$I$6:$I$205,0)),"")</f>
        <v/>
      </c>
      <c r="K126" s="69">
        <f>IF($J126="","",$G126-$J126)</f>
        <v/>
      </c>
      <c r="L126" s="71">
        <f>IF(OR($J126="",$J126=0),"",$K126/$J126)</f>
        <v/>
      </c>
      <c r="M126" s="72">
        <f>IF(Insumos!$H126="","",Insumos!$H126)</f>
        <v/>
      </c>
      <c r="N126" s="73">
        <f>IF($M126="","",$G126*$M126)</f>
        <v/>
      </c>
      <c r="O126" s="74">
        <f>IF(OR($M126="",$K126=""),"",$K126*$M126)</f>
        <v/>
      </c>
      <c r="P126" s="75">
        <f>IF(AND('1 Inv Inicial'!$E126="",'1 Inv Inicial'!$F126=""),"Falta inventario inicial",IF(AND('6 Inv Final'!$E126="",'6 Inv Final'!$F126=""),"Falta inventario final",IF($G126&lt;0,"Consumo negativo: entro mercaderia sin registrar",IF(AND($L126&lt;&gt;"",ABS($L126)&gt;Config!$B$46),"Desvio alto vs Fudo: investigar",IF(AND($H126&gt;0,ABS($I126)/$H126&gt;Config!$B$46),"Lo recibido no coincide con la factura",IF(AND($J126="",$G126&gt;0),"Sin dato de Fudo para comparar","OK"))))))</f>
        <v/>
      </c>
      <c r="Q126" s="76">
        <f>IF($L126="","",ABS($L126)+ROW()/1000000)</f>
        <v/>
      </c>
      <c r="R126" s="76">
        <f>IF($O126="","",ABS($O126)+ROW()/1000000)</f>
        <v/>
      </c>
    </row>
    <row r="127">
      <c r="A127" s="38">
        <f>Insumos!$A127</f>
        <v/>
      </c>
      <c r="B127" s="39">
        <f>Insumos!$B127</f>
        <v/>
      </c>
      <c r="C127" s="40">
        <f>Insumos!$E127</f>
        <v/>
      </c>
      <c r="D127" s="41">
        <f>'1 Inv Inicial'!$G127</f>
        <v/>
      </c>
      <c r="E127" s="69">
        <f>SUMIFS('2 Ingresos'!$I$6:$I$255,'2 Ingresos'!$B$6:$B$255,$A127,'2 Ingresos'!$C$6:$C$255,$B127)</f>
        <v/>
      </c>
      <c r="F127" s="41">
        <f>'6 Inv Final'!$G127</f>
        <v/>
      </c>
      <c r="G127" s="70">
        <f>$D127+$E127-$F127</f>
        <v/>
      </c>
      <c r="H127" s="69">
        <f>SUMIFS('7 Facturas'!$F$6:$F$255,'7 Facturas'!$D$6:$D$255,$A127,'7 Facturas'!$E$6:$E$255,$B127)</f>
        <v/>
      </c>
      <c r="I127" s="69">
        <f>$E127-$H127</f>
        <v/>
      </c>
      <c r="J127" s="69">
        <f>IFERROR(INDEX('8 Fudo Stock'!$H$6:$H$205,MATCH($A127&amp;" | "&amp;$B127,'8 Fudo Stock'!$I$6:$I$205,0)),"")</f>
        <v/>
      </c>
      <c r="K127" s="69">
        <f>IF($J127="","",$G127-$J127)</f>
        <v/>
      </c>
      <c r="L127" s="71">
        <f>IF(OR($J127="",$J127=0),"",$K127/$J127)</f>
        <v/>
      </c>
      <c r="M127" s="72">
        <f>IF(Insumos!$H127="","",Insumos!$H127)</f>
        <v/>
      </c>
      <c r="N127" s="73">
        <f>IF($M127="","",$G127*$M127)</f>
        <v/>
      </c>
      <c r="O127" s="74">
        <f>IF(OR($M127="",$K127=""),"",$K127*$M127)</f>
        <v/>
      </c>
      <c r="P127" s="75">
        <f>IF(AND('1 Inv Inicial'!$E127="",'1 Inv Inicial'!$F127=""),"Falta inventario inicial",IF(AND('6 Inv Final'!$E127="",'6 Inv Final'!$F127=""),"Falta inventario final",IF($G127&lt;0,"Consumo negativo: entro mercaderia sin registrar",IF(AND($L127&lt;&gt;"",ABS($L127)&gt;Config!$B$46),"Desvio alto vs Fudo: investigar",IF(AND($H127&gt;0,ABS($I127)/$H127&gt;Config!$B$46),"Lo recibido no coincide con la factura",IF(AND($J127="",$G127&gt;0),"Sin dato de Fudo para comparar","OK"))))))</f>
        <v/>
      </c>
      <c r="Q127" s="76">
        <f>IF($L127="","",ABS($L127)+ROW()/1000000)</f>
        <v/>
      </c>
      <c r="R127" s="76">
        <f>IF($O127="","",ABS($O127)+ROW()/1000000)</f>
        <v/>
      </c>
    </row>
    <row r="128">
      <c r="A128" s="43">
        <f>Insumos!$A128</f>
        <v/>
      </c>
      <c r="B128" s="44">
        <f>Insumos!$B128</f>
        <v/>
      </c>
      <c r="C128" s="45">
        <f>Insumos!$E128</f>
        <v/>
      </c>
      <c r="D128" s="41">
        <f>'1 Inv Inicial'!$G128</f>
        <v/>
      </c>
      <c r="E128" s="69">
        <f>SUMIFS('2 Ingresos'!$I$6:$I$255,'2 Ingresos'!$B$6:$B$255,$A128,'2 Ingresos'!$C$6:$C$255,$B128)</f>
        <v/>
      </c>
      <c r="F128" s="41">
        <f>'6 Inv Final'!$G128</f>
        <v/>
      </c>
      <c r="G128" s="70">
        <f>$D128+$E128-$F128</f>
        <v/>
      </c>
      <c r="H128" s="69">
        <f>SUMIFS('7 Facturas'!$F$6:$F$255,'7 Facturas'!$D$6:$D$255,$A128,'7 Facturas'!$E$6:$E$255,$B128)</f>
        <v/>
      </c>
      <c r="I128" s="69">
        <f>$E128-$H128</f>
        <v/>
      </c>
      <c r="J128" s="69">
        <f>IFERROR(INDEX('8 Fudo Stock'!$H$6:$H$205,MATCH($A128&amp;" | "&amp;$B128,'8 Fudo Stock'!$I$6:$I$205,0)),"")</f>
        <v/>
      </c>
      <c r="K128" s="69">
        <f>IF($J128="","",$G128-$J128)</f>
        <v/>
      </c>
      <c r="L128" s="71">
        <f>IF(OR($J128="",$J128=0),"",$K128/$J128)</f>
        <v/>
      </c>
      <c r="M128" s="72">
        <f>IF(Insumos!$H128="","",Insumos!$H128)</f>
        <v/>
      </c>
      <c r="N128" s="73">
        <f>IF($M128="","",$G128*$M128)</f>
        <v/>
      </c>
      <c r="O128" s="74">
        <f>IF(OR($M128="",$K128=""),"",$K128*$M128)</f>
        <v/>
      </c>
      <c r="P128" s="75">
        <f>IF(AND('1 Inv Inicial'!$E128="",'1 Inv Inicial'!$F128=""),"Falta inventario inicial",IF(AND('6 Inv Final'!$E128="",'6 Inv Final'!$F128=""),"Falta inventario final",IF($G128&lt;0,"Consumo negativo: entro mercaderia sin registrar",IF(AND($L128&lt;&gt;"",ABS($L128)&gt;Config!$B$46),"Desvio alto vs Fudo: investigar",IF(AND($H128&gt;0,ABS($I128)/$H128&gt;Config!$B$46),"Lo recibido no coincide con la factura",IF(AND($J128="",$G128&gt;0),"Sin dato de Fudo para comparar","OK"))))))</f>
        <v/>
      </c>
      <c r="Q128" s="76">
        <f>IF($L128="","",ABS($L128)+ROW()/1000000)</f>
        <v/>
      </c>
      <c r="R128" s="76">
        <f>IF($O128="","",ABS($O128)+ROW()/1000000)</f>
        <v/>
      </c>
    </row>
    <row r="129">
      <c r="A129" s="38">
        <f>Insumos!$A129</f>
        <v/>
      </c>
      <c r="B129" s="39">
        <f>Insumos!$B129</f>
        <v/>
      </c>
      <c r="C129" s="40">
        <f>Insumos!$E129</f>
        <v/>
      </c>
      <c r="D129" s="41">
        <f>'1 Inv Inicial'!$G129</f>
        <v/>
      </c>
      <c r="E129" s="69">
        <f>SUMIFS('2 Ingresos'!$I$6:$I$255,'2 Ingresos'!$B$6:$B$255,$A129,'2 Ingresos'!$C$6:$C$255,$B129)</f>
        <v/>
      </c>
      <c r="F129" s="41">
        <f>'6 Inv Final'!$G129</f>
        <v/>
      </c>
      <c r="G129" s="70">
        <f>$D129+$E129-$F129</f>
        <v/>
      </c>
      <c r="H129" s="69">
        <f>SUMIFS('7 Facturas'!$F$6:$F$255,'7 Facturas'!$D$6:$D$255,$A129,'7 Facturas'!$E$6:$E$255,$B129)</f>
        <v/>
      </c>
      <c r="I129" s="69">
        <f>$E129-$H129</f>
        <v/>
      </c>
      <c r="J129" s="69">
        <f>IFERROR(INDEX('8 Fudo Stock'!$H$6:$H$205,MATCH($A129&amp;" | "&amp;$B129,'8 Fudo Stock'!$I$6:$I$205,0)),"")</f>
        <v/>
      </c>
      <c r="K129" s="69">
        <f>IF($J129="","",$G129-$J129)</f>
        <v/>
      </c>
      <c r="L129" s="71">
        <f>IF(OR($J129="",$J129=0),"",$K129/$J129)</f>
        <v/>
      </c>
      <c r="M129" s="72">
        <f>IF(Insumos!$H129="","",Insumos!$H129)</f>
        <v/>
      </c>
      <c r="N129" s="73">
        <f>IF($M129="","",$G129*$M129)</f>
        <v/>
      </c>
      <c r="O129" s="74">
        <f>IF(OR($M129="",$K129=""),"",$K129*$M129)</f>
        <v/>
      </c>
      <c r="P129" s="75">
        <f>IF(AND('1 Inv Inicial'!$E129="",'1 Inv Inicial'!$F129=""),"Falta inventario inicial",IF(AND('6 Inv Final'!$E129="",'6 Inv Final'!$F129=""),"Falta inventario final",IF($G129&lt;0,"Consumo negativo: entro mercaderia sin registrar",IF(AND($L129&lt;&gt;"",ABS($L129)&gt;Config!$B$46),"Desvio alto vs Fudo: investigar",IF(AND($H129&gt;0,ABS($I129)/$H129&gt;Config!$B$46),"Lo recibido no coincide con la factura",IF(AND($J129="",$G129&gt;0),"Sin dato de Fudo para comparar","OK"))))))</f>
        <v/>
      </c>
      <c r="Q129" s="76">
        <f>IF($L129="","",ABS($L129)+ROW()/1000000)</f>
        <v/>
      </c>
      <c r="R129" s="76">
        <f>IF($O129="","",ABS($O129)+ROW()/1000000)</f>
        <v/>
      </c>
    </row>
    <row r="130">
      <c r="A130" s="43">
        <f>Insumos!$A130</f>
        <v/>
      </c>
      <c r="B130" s="44">
        <f>Insumos!$B130</f>
        <v/>
      </c>
      <c r="C130" s="45">
        <f>Insumos!$E130</f>
        <v/>
      </c>
      <c r="D130" s="41">
        <f>'1 Inv Inicial'!$G130</f>
        <v/>
      </c>
      <c r="E130" s="69">
        <f>SUMIFS('2 Ingresos'!$I$6:$I$255,'2 Ingresos'!$B$6:$B$255,$A130,'2 Ingresos'!$C$6:$C$255,$B130)</f>
        <v/>
      </c>
      <c r="F130" s="41">
        <f>'6 Inv Final'!$G130</f>
        <v/>
      </c>
      <c r="G130" s="70">
        <f>$D130+$E130-$F130</f>
        <v/>
      </c>
      <c r="H130" s="69">
        <f>SUMIFS('7 Facturas'!$F$6:$F$255,'7 Facturas'!$D$6:$D$255,$A130,'7 Facturas'!$E$6:$E$255,$B130)</f>
        <v/>
      </c>
      <c r="I130" s="69">
        <f>$E130-$H130</f>
        <v/>
      </c>
      <c r="J130" s="69">
        <f>IFERROR(INDEX('8 Fudo Stock'!$H$6:$H$205,MATCH($A130&amp;" | "&amp;$B130,'8 Fudo Stock'!$I$6:$I$205,0)),"")</f>
        <v/>
      </c>
      <c r="K130" s="69">
        <f>IF($J130="","",$G130-$J130)</f>
        <v/>
      </c>
      <c r="L130" s="71">
        <f>IF(OR($J130="",$J130=0),"",$K130/$J130)</f>
        <v/>
      </c>
      <c r="M130" s="72">
        <f>IF(Insumos!$H130="","",Insumos!$H130)</f>
        <v/>
      </c>
      <c r="N130" s="73">
        <f>IF($M130="","",$G130*$M130)</f>
        <v/>
      </c>
      <c r="O130" s="74">
        <f>IF(OR($M130="",$K130=""),"",$K130*$M130)</f>
        <v/>
      </c>
      <c r="P130" s="75">
        <f>IF(AND('1 Inv Inicial'!$E130="",'1 Inv Inicial'!$F130=""),"Falta inventario inicial",IF(AND('6 Inv Final'!$E130="",'6 Inv Final'!$F130=""),"Falta inventario final",IF($G130&lt;0,"Consumo negativo: entro mercaderia sin registrar",IF(AND($L130&lt;&gt;"",ABS($L130)&gt;Config!$B$46),"Desvio alto vs Fudo: investigar",IF(AND($H130&gt;0,ABS($I130)/$H130&gt;Config!$B$46),"Lo recibido no coincide con la factura",IF(AND($J130="",$G130&gt;0),"Sin dato de Fudo para comparar","OK"))))))</f>
        <v/>
      </c>
      <c r="Q130" s="76">
        <f>IF($L130="","",ABS($L130)+ROW()/1000000)</f>
        <v/>
      </c>
      <c r="R130" s="76">
        <f>IF($O130="","",ABS($O130)+ROW()/1000000)</f>
        <v/>
      </c>
    </row>
    <row r="131">
      <c r="A131" s="38">
        <f>Insumos!$A131</f>
        <v/>
      </c>
      <c r="B131" s="39">
        <f>Insumos!$B131</f>
        <v/>
      </c>
      <c r="C131" s="40">
        <f>Insumos!$E131</f>
        <v/>
      </c>
      <c r="D131" s="41">
        <f>'1 Inv Inicial'!$G131</f>
        <v/>
      </c>
      <c r="E131" s="69">
        <f>SUMIFS('2 Ingresos'!$I$6:$I$255,'2 Ingresos'!$B$6:$B$255,$A131,'2 Ingresos'!$C$6:$C$255,$B131)</f>
        <v/>
      </c>
      <c r="F131" s="41">
        <f>'6 Inv Final'!$G131</f>
        <v/>
      </c>
      <c r="G131" s="70">
        <f>$D131+$E131-$F131</f>
        <v/>
      </c>
      <c r="H131" s="69">
        <f>SUMIFS('7 Facturas'!$F$6:$F$255,'7 Facturas'!$D$6:$D$255,$A131,'7 Facturas'!$E$6:$E$255,$B131)</f>
        <v/>
      </c>
      <c r="I131" s="69">
        <f>$E131-$H131</f>
        <v/>
      </c>
      <c r="J131" s="69">
        <f>IFERROR(INDEX('8 Fudo Stock'!$H$6:$H$205,MATCH($A131&amp;" | "&amp;$B131,'8 Fudo Stock'!$I$6:$I$205,0)),"")</f>
        <v/>
      </c>
      <c r="K131" s="69">
        <f>IF($J131="","",$G131-$J131)</f>
        <v/>
      </c>
      <c r="L131" s="71">
        <f>IF(OR($J131="",$J131=0),"",$K131/$J131)</f>
        <v/>
      </c>
      <c r="M131" s="72">
        <f>IF(Insumos!$H131="","",Insumos!$H131)</f>
        <v/>
      </c>
      <c r="N131" s="73">
        <f>IF($M131="","",$G131*$M131)</f>
        <v/>
      </c>
      <c r="O131" s="74">
        <f>IF(OR($M131="",$K131=""),"",$K131*$M131)</f>
        <v/>
      </c>
      <c r="P131" s="75">
        <f>IF(AND('1 Inv Inicial'!$E131="",'1 Inv Inicial'!$F131=""),"Falta inventario inicial",IF(AND('6 Inv Final'!$E131="",'6 Inv Final'!$F131=""),"Falta inventario final",IF($G131&lt;0,"Consumo negativo: entro mercaderia sin registrar",IF(AND($L131&lt;&gt;"",ABS($L131)&gt;Config!$B$46),"Desvio alto vs Fudo: investigar",IF(AND($H131&gt;0,ABS($I131)/$H131&gt;Config!$B$46),"Lo recibido no coincide con la factura",IF(AND($J131="",$G131&gt;0),"Sin dato de Fudo para comparar","OK"))))))</f>
        <v/>
      </c>
      <c r="Q131" s="76">
        <f>IF($L131="","",ABS($L131)+ROW()/1000000)</f>
        <v/>
      </c>
      <c r="R131" s="76">
        <f>IF($O131="","",ABS($O131)+ROW()/1000000)</f>
        <v/>
      </c>
    </row>
    <row r="132">
      <c r="A132" s="43">
        <f>Insumos!$A132</f>
        <v/>
      </c>
      <c r="B132" s="44">
        <f>Insumos!$B132</f>
        <v/>
      </c>
      <c r="C132" s="45">
        <f>Insumos!$E132</f>
        <v/>
      </c>
      <c r="D132" s="41">
        <f>'1 Inv Inicial'!$G132</f>
        <v/>
      </c>
      <c r="E132" s="69">
        <f>SUMIFS('2 Ingresos'!$I$6:$I$255,'2 Ingresos'!$B$6:$B$255,$A132,'2 Ingresos'!$C$6:$C$255,$B132)</f>
        <v/>
      </c>
      <c r="F132" s="41">
        <f>'6 Inv Final'!$G132</f>
        <v/>
      </c>
      <c r="G132" s="70">
        <f>$D132+$E132-$F132</f>
        <v/>
      </c>
      <c r="H132" s="69">
        <f>SUMIFS('7 Facturas'!$F$6:$F$255,'7 Facturas'!$D$6:$D$255,$A132,'7 Facturas'!$E$6:$E$255,$B132)</f>
        <v/>
      </c>
      <c r="I132" s="69">
        <f>$E132-$H132</f>
        <v/>
      </c>
      <c r="J132" s="69">
        <f>IFERROR(INDEX('8 Fudo Stock'!$H$6:$H$205,MATCH($A132&amp;" | "&amp;$B132,'8 Fudo Stock'!$I$6:$I$205,0)),"")</f>
        <v/>
      </c>
      <c r="K132" s="69">
        <f>IF($J132="","",$G132-$J132)</f>
        <v/>
      </c>
      <c r="L132" s="71">
        <f>IF(OR($J132="",$J132=0),"",$K132/$J132)</f>
        <v/>
      </c>
      <c r="M132" s="72">
        <f>IF(Insumos!$H132="","",Insumos!$H132)</f>
        <v/>
      </c>
      <c r="N132" s="73">
        <f>IF($M132="","",$G132*$M132)</f>
        <v/>
      </c>
      <c r="O132" s="74">
        <f>IF(OR($M132="",$K132=""),"",$K132*$M132)</f>
        <v/>
      </c>
      <c r="P132" s="75">
        <f>IF(AND('1 Inv Inicial'!$E132="",'1 Inv Inicial'!$F132=""),"Falta inventario inicial",IF(AND('6 Inv Final'!$E132="",'6 Inv Final'!$F132=""),"Falta inventario final",IF($G132&lt;0,"Consumo negativo: entro mercaderia sin registrar",IF(AND($L132&lt;&gt;"",ABS($L132)&gt;Config!$B$46),"Desvio alto vs Fudo: investigar",IF(AND($H132&gt;0,ABS($I132)/$H132&gt;Config!$B$46),"Lo recibido no coincide con la factura",IF(AND($J132="",$G132&gt;0),"Sin dato de Fudo para comparar","OK"))))))</f>
        <v/>
      </c>
      <c r="Q132" s="76">
        <f>IF($L132="","",ABS($L132)+ROW()/1000000)</f>
        <v/>
      </c>
      <c r="R132" s="76">
        <f>IF($O132="","",ABS($O132)+ROW()/1000000)</f>
        <v/>
      </c>
    </row>
    <row r="133">
      <c r="A133" s="38">
        <f>Insumos!$A133</f>
        <v/>
      </c>
      <c r="B133" s="39">
        <f>Insumos!$B133</f>
        <v/>
      </c>
      <c r="C133" s="40">
        <f>Insumos!$E133</f>
        <v/>
      </c>
      <c r="D133" s="41">
        <f>'1 Inv Inicial'!$G133</f>
        <v/>
      </c>
      <c r="E133" s="69">
        <f>SUMIFS('2 Ingresos'!$I$6:$I$255,'2 Ingresos'!$B$6:$B$255,$A133,'2 Ingresos'!$C$6:$C$255,$B133)</f>
        <v/>
      </c>
      <c r="F133" s="41">
        <f>'6 Inv Final'!$G133</f>
        <v/>
      </c>
      <c r="G133" s="70">
        <f>$D133+$E133-$F133</f>
        <v/>
      </c>
      <c r="H133" s="69">
        <f>SUMIFS('7 Facturas'!$F$6:$F$255,'7 Facturas'!$D$6:$D$255,$A133,'7 Facturas'!$E$6:$E$255,$B133)</f>
        <v/>
      </c>
      <c r="I133" s="69">
        <f>$E133-$H133</f>
        <v/>
      </c>
      <c r="J133" s="69">
        <f>IFERROR(INDEX('8 Fudo Stock'!$H$6:$H$205,MATCH($A133&amp;" | "&amp;$B133,'8 Fudo Stock'!$I$6:$I$205,0)),"")</f>
        <v/>
      </c>
      <c r="K133" s="69">
        <f>IF($J133="","",$G133-$J133)</f>
        <v/>
      </c>
      <c r="L133" s="71">
        <f>IF(OR($J133="",$J133=0),"",$K133/$J133)</f>
        <v/>
      </c>
      <c r="M133" s="72">
        <f>IF(Insumos!$H133="","",Insumos!$H133)</f>
        <v/>
      </c>
      <c r="N133" s="73">
        <f>IF($M133="","",$G133*$M133)</f>
        <v/>
      </c>
      <c r="O133" s="74">
        <f>IF(OR($M133="",$K133=""),"",$K133*$M133)</f>
        <v/>
      </c>
      <c r="P133" s="75">
        <f>IF(AND('1 Inv Inicial'!$E133="",'1 Inv Inicial'!$F133=""),"Falta inventario inicial",IF(AND('6 Inv Final'!$E133="",'6 Inv Final'!$F133=""),"Falta inventario final",IF($G133&lt;0,"Consumo negativo: entro mercaderia sin registrar",IF(AND($L133&lt;&gt;"",ABS($L133)&gt;Config!$B$46),"Desvio alto vs Fudo: investigar",IF(AND($H133&gt;0,ABS($I133)/$H133&gt;Config!$B$46),"Lo recibido no coincide con la factura",IF(AND($J133="",$G133&gt;0),"Sin dato de Fudo para comparar","OK"))))))</f>
        <v/>
      </c>
      <c r="Q133" s="76">
        <f>IF($L133="","",ABS($L133)+ROW()/1000000)</f>
        <v/>
      </c>
      <c r="R133" s="76">
        <f>IF($O133="","",ABS($O133)+ROW()/1000000)</f>
        <v/>
      </c>
    </row>
    <row r="134">
      <c r="A134" s="43">
        <f>Insumos!$A134</f>
        <v/>
      </c>
      <c r="B134" s="44">
        <f>Insumos!$B134</f>
        <v/>
      </c>
      <c r="C134" s="45">
        <f>Insumos!$E134</f>
        <v/>
      </c>
      <c r="D134" s="41">
        <f>'1 Inv Inicial'!$G134</f>
        <v/>
      </c>
      <c r="E134" s="69">
        <f>SUMIFS('2 Ingresos'!$I$6:$I$255,'2 Ingresos'!$B$6:$B$255,$A134,'2 Ingresos'!$C$6:$C$255,$B134)</f>
        <v/>
      </c>
      <c r="F134" s="41">
        <f>'6 Inv Final'!$G134</f>
        <v/>
      </c>
      <c r="G134" s="70">
        <f>$D134+$E134-$F134</f>
        <v/>
      </c>
      <c r="H134" s="69">
        <f>SUMIFS('7 Facturas'!$F$6:$F$255,'7 Facturas'!$D$6:$D$255,$A134,'7 Facturas'!$E$6:$E$255,$B134)</f>
        <v/>
      </c>
      <c r="I134" s="69">
        <f>$E134-$H134</f>
        <v/>
      </c>
      <c r="J134" s="69">
        <f>IFERROR(INDEX('8 Fudo Stock'!$H$6:$H$205,MATCH($A134&amp;" | "&amp;$B134,'8 Fudo Stock'!$I$6:$I$205,0)),"")</f>
        <v/>
      </c>
      <c r="K134" s="69">
        <f>IF($J134="","",$G134-$J134)</f>
        <v/>
      </c>
      <c r="L134" s="71">
        <f>IF(OR($J134="",$J134=0),"",$K134/$J134)</f>
        <v/>
      </c>
      <c r="M134" s="72">
        <f>IF(Insumos!$H134="","",Insumos!$H134)</f>
        <v/>
      </c>
      <c r="N134" s="73">
        <f>IF($M134="","",$G134*$M134)</f>
        <v/>
      </c>
      <c r="O134" s="74">
        <f>IF(OR($M134="",$K134=""),"",$K134*$M134)</f>
        <v/>
      </c>
      <c r="P134" s="75">
        <f>IF(AND('1 Inv Inicial'!$E134="",'1 Inv Inicial'!$F134=""),"Falta inventario inicial",IF(AND('6 Inv Final'!$E134="",'6 Inv Final'!$F134=""),"Falta inventario final",IF($G134&lt;0,"Consumo negativo: entro mercaderia sin registrar",IF(AND($L134&lt;&gt;"",ABS($L134)&gt;Config!$B$46),"Desvio alto vs Fudo: investigar",IF(AND($H134&gt;0,ABS($I134)/$H134&gt;Config!$B$46),"Lo recibido no coincide con la factura",IF(AND($J134="",$G134&gt;0),"Sin dato de Fudo para comparar","OK"))))))</f>
        <v/>
      </c>
      <c r="Q134" s="76">
        <f>IF($L134="","",ABS($L134)+ROW()/1000000)</f>
        <v/>
      </c>
      <c r="R134" s="76">
        <f>IF($O134="","",ABS($O134)+ROW()/1000000)</f>
        <v/>
      </c>
    </row>
    <row r="135">
      <c r="A135" s="38">
        <f>Insumos!$A135</f>
        <v/>
      </c>
      <c r="B135" s="39">
        <f>Insumos!$B135</f>
        <v/>
      </c>
      <c r="C135" s="40">
        <f>Insumos!$E135</f>
        <v/>
      </c>
      <c r="D135" s="41">
        <f>'1 Inv Inicial'!$G135</f>
        <v/>
      </c>
      <c r="E135" s="69">
        <f>SUMIFS('2 Ingresos'!$I$6:$I$255,'2 Ingresos'!$B$6:$B$255,$A135,'2 Ingresos'!$C$6:$C$255,$B135)</f>
        <v/>
      </c>
      <c r="F135" s="41">
        <f>'6 Inv Final'!$G135</f>
        <v/>
      </c>
      <c r="G135" s="70">
        <f>$D135+$E135-$F135</f>
        <v/>
      </c>
      <c r="H135" s="69">
        <f>SUMIFS('7 Facturas'!$F$6:$F$255,'7 Facturas'!$D$6:$D$255,$A135,'7 Facturas'!$E$6:$E$255,$B135)</f>
        <v/>
      </c>
      <c r="I135" s="69">
        <f>$E135-$H135</f>
        <v/>
      </c>
      <c r="J135" s="69">
        <f>IFERROR(INDEX('8 Fudo Stock'!$H$6:$H$205,MATCH($A135&amp;" | "&amp;$B135,'8 Fudo Stock'!$I$6:$I$205,0)),"")</f>
        <v/>
      </c>
      <c r="K135" s="69">
        <f>IF($J135="","",$G135-$J135)</f>
        <v/>
      </c>
      <c r="L135" s="71">
        <f>IF(OR($J135="",$J135=0),"",$K135/$J135)</f>
        <v/>
      </c>
      <c r="M135" s="72">
        <f>IF(Insumos!$H135="","",Insumos!$H135)</f>
        <v/>
      </c>
      <c r="N135" s="73">
        <f>IF($M135="","",$G135*$M135)</f>
        <v/>
      </c>
      <c r="O135" s="74">
        <f>IF(OR($M135="",$K135=""),"",$K135*$M135)</f>
        <v/>
      </c>
      <c r="P135" s="75">
        <f>IF(AND('1 Inv Inicial'!$E135="",'1 Inv Inicial'!$F135=""),"Falta inventario inicial",IF(AND('6 Inv Final'!$E135="",'6 Inv Final'!$F135=""),"Falta inventario final",IF($G135&lt;0,"Consumo negativo: entro mercaderia sin registrar",IF(AND($L135&lt;&gt;"",ABS($L135)&gt;Config!$B$46),"Desvio alto vs Fudo: investigar",IF(AND($H135&gt;0,ABS($I135)/$H135&gt;Config!$B$46),"Lo recibido no coincide con la factura",IF(AND($J135="",$G135&gt;0),"Sin dato de Fudo para comparar","OK"))))))</f>
        <v/>
      </c>
      <c r="Q135" s="76">
        <f>IF($L135="","",ABS($L135)+ROW()/1000000)</f>
        <v/>
      </c>
      <c r="R135" s="76">
        <f>IF($O135="","",ABS($O135)+ROW()/1000000)</f>
        <v/>
      </c>
    </row>
    <row r="136">
      <c r="A136" s="43">
        <f>Insumos!$A136</f>
        <v/>
      </c>
      <c r="B136" s="44">
        <f>Insumos!$B136</f>
        <v/>
      </c>
      <c r="C136" s="45">
        <f>Insumos!$E136</f>
        <v/>
      </c>
      <c r="D136" s="41">
        <f>'1 Inv Inicial'!$G136</f>
        <v/>
      </c>
      <c r="E136" s="69">
        <f>SUMIFS('2 Ingresos'!$I$6:$I$255,'2 Ingresos'!$B$6:$B$255,$A136,'2 Ingresos'!$C$6:$C$255,$B136)</f>
        <v/>
      </c>
      <c r="F136" s="41">
        <f>'6 Inv Final'!$G136</f>
        <v/>
      </c>
      <c r="G136" s="70">
        <f>$D136+$E136-$F136</f>
        <v/>
      </c>
      <c r="H136" s="69">
        <f>SUMIFS('7 Facturas'!$F$6:$F$255,'7 Facturas'!$D$6:$D$255,$A136,'7 Facturas'!$E$6:$E$255,$B136)</f>
        <v/>
      </c>
      <c r="I136" s="69">
        <f>$E136-$H136</f>
        <v/>
      </c>
      <c r="J136" s="69">
        <f>IFERROR(INDEX('8 Fudo Stock'!$H$6:$H$205,MATCH($A136&amp;" | "&amp;$B136,'8 Fudo Stock'!$I$6:$I$205,0)),"")</f>
        <v/>
      </c>
      <c r="K136" s="69">
        <f>IF($J136="","",$G136-$J136)</f>
        <v/>
      </c>
      <c r="L136" s="71">
        <f>IF(OR($J136="",$J136=0),"",$K136/$J136)</f>
        <v/>
      </c>
      <c r="M136" s="72">
        <f>IF(Insumos!$H136="","",Insumos!$H136)</f>
        <v/>
      </c>
      <c r="N136" s="73">
        <f>IF($M136="","",$G136*$M136)</f>
        <v/>
      </c>
      <c r="O136" s="74">
        <f>IF(OR($M136="",$K136=""),"",$K136*$M136)</f>
        <v/>
      </c>
      <c r="P136" s="75">
        <f>IF(AND('1 Inv Inicial'!$E136="",'1 Inv Inicial'!$F136=""),"Falta inventario inicial",IF(AND('6 Inv Final'!$E136="",'6 Inv Final'!$F136=""),"Falta inventario final",IF($G136&lt;0,"Consumo negativo: entro mercaderia sin registrar",IF(AND($L136&lt;&gt;"",ABS($L136)&gt;Config!$B$46),"Desvio alto vs Fudo: investigar",IF(AND($H136&gt;0,ABS($I136)/$H136&gt;Config!$B$46),"Lo recibido no coincide con la factura",IF(AND($J136="",$G136&gt;0),"Sin dato de Fudo para comparar","OK"))))))</f>
        <v/>
      </c>
      <c r="Q136" s="76">
        <f>IF($L136="","",ABS($L136)+ROW()/1000000)</f>
        <v/>
      </c>
      <c r="R136" s="76">
        <f>IF($O136="","",ABS($O136)+ROW()/1000000)</f>
        <v/>
      </c>
    </row>
    <row r="137">
      <c r="A137" s="38">
        <f>Insumos!$A137</f>
        <v/>
      </c>
      <c r="B137" s="39">
        <f>Insumos!$B137</f>
        <v/>
      </c>
      <c r="C137" s="40">
        <f>Insumos!$E137</f>
        <v/>
      </c>
      <c r="D137" s="41">
        <f>'1 Inv Inicial'!$G137</f>
        <v/>
      </c>
      <c r="E137" s="69">
        <f>SUMIFS('2 Ingresos'!$I$6:$I$255,'2 Ingresos'!$B$6:$B$255,$A137,'2 Ingresos'!$C$6:$C$255,$B137)</f>
        <v/>
      </c>
      <c r="F137" s="41">
        <f>'6 Inv Final'!$G137</f>
        <v/>
      </c>
      <c r="G137" s="70">
        <f>$D137+$E137-$F137</f>
        <v/>
      </c>
      <c r="H137" s="69">
        <f>SUMIFS('7 Facturas'!$F$6:$F$255,'7 Facturas'!$D$6:$D$255,$A137,'7 Facturas'!$E$6:$E$255,$B137)</f>
        <v/>
      </c>
      <c r="I137" s="69">
        <f>$E137-$H137</f>
        <v/>
      </c>
      <c r="J137" s="69">
        <f>IFERROR(INDEX('8 Fudo Stock'!$H$6:$H$205,MATCH($A137&amp;" | "&amp;$B137,'8 Fudo Stock'!$I$6:$I$205,0)),"")</f>
        <v/>
      </c>
      <c r="K137" s="69">
        <f>IF($J137="","",$G137-$J137)</f>
        <v/>
      </c>
      <c r="L137" s="71">
        <f>IF(OR($J137="",$J137=0),"",$K137/$J137)</f>
        <v/>
      </c>
      <c r="M137" s="72">
        <f>IF(Insumos!$H137="","",Insumos!$H137)</f>
        <v/>
      </c>
      <c r="N137" s="73">
        <f>IF($M137="","",$G137*$M137)</f>
        <v/>
      </c>
      <c r="O137" s="74">
        <f>IF(OR($M137="",$K137=""),"",$K137*$M137)</f>
        <v/>
      </c>
      <c r="P137" s="75">
        <f>IF(AND('1 Inv Inicial'!$E137="",'1 Inv Inicial'!$F137=""),"Falta inventario inicial",IF(AND('6 Inv Final'!$E137="",'6 Inv Final'!$F137=""),"Falta inventario final",IF($G137&lt;0,"Consumo negativo: entro mercaderia sin registrar",IF(AND($L137&lt;&gt;"",ABS($L137)&gt;Config!$B$46),"Desvio alto vs Fudo: investigar",IF(AND($H137&gt;0,ABS($I137)/$H137&gt;Config!$B$46),"Lo recibido no coincide con la factura",IF(AND($J137="",$G137&gt;0),"Sin dato de Fudo para comparar","OK"))))))</f>
        <v/>
      </c>
      <c r="Q137" s="76">
        <f>IF($L137="","",ABS($L137)+ROW()/1000000)</f>
        <v/>
      </c>
      <c r="R137" s="76">
        <f>IF($O137="","",ABS($O137)+ROW()/1000000)</f>
        <v/>
      </c>
    </row>
    <row r="138">
      <c r="A138" s="43">
        <f>Insumos!$A138</f>
        <v/>
      </c>
      <c r="B138" s="44">
        <f>Insumos!$B138</f>
        <v/>
      </c>
      <c r="C138" s="45">
        <f>Insumos!$E138</f>
        <v/>
      </c>
      <c r="D138" s="41">
        <f>'1 Inv Inicial'!$G138</f>
        <v/>
      </c>
      <c r="E138" s="69">
        <f>SUMIFS('2 Ingresos'!$I$6:$I$255,'2 Ingresos'!$B$6:$B$255,$A138,'2 Ingresos'!$C$6:$C$255,$B138)</f>
        <v/>
      </c>
      <c r="F138" s="41">
        <f>'6 Inv Final'!$G138</f>
        <v/>
      </c>
      <c r="G138" s="70">
        <f>$D138+$E138-$F138</f>
        <v/>
      </c>
      <c r="H138" s="69">
        <f>SUMIFS('7 Facturas'!$F$6:$F$255,'7 Facturas'!$D$6:$D$255,$A138,'7 Facturas'!$E$6:$E$255,$B138)</f>
        <v/>
      </c>
      <c r="I138" s="69">
        <f>$E138-$H138</f>
        <v/>
      </c>
      <c r="J138" s="69">
        <f>IFERROR(INDEX('8 Fudo Stock'!$H$6:$H$205,MATCH($A138&amp;" | "&amp;$B138,'8 Fudo Stock'!$I$6:$I$205,0)),"")</f>
        <v/>
      </c>
      <c r="K138" s="69">
        <f>IF($J138="","",$G138-$J138)</f>
        <v/>
      </c>
      <c r="L138" s="71">
        <f>IF(OR($J138="",$J138=0),"",$K138/$J138)</f>
        <v/>
      </c>
      <c r="M138" s="72">
        <f>IF(Insumos!$H138="","",Insumos!$H138)</f>
        <v/>
      </c>
      <c r="N138" s="73">
        <f>IF($M138="","",$G138*$M138)</f>
        <v/>
      </c>
      <c r="O138" s="74">
        <f>IF(OR($M138="",$K138=""),"",$K138*$M138)</f>
        <v/>
      </c>
      <c r="P138" s="75">
        <f>IF(AND('1 Inv Inicial'!$E138="",'1 Inv Inicial'!$F138=""),"Falta inventario inicial",IF(AND('6 Inv Final'!$E138="",'6 Inv Final'!$F138=""),"Falta inventario final",IF($G138&lt;0,"Consumo negativo: entro mercaderia sin registrar",IF(AND($L138&lt;&gt;"",ABS($L138)&gt;Config!$B$46),"Desvio alto vs Fudo: investigar",IF(AND($H138&gt;0,ABS($I138)/$H138&gt;Config!$B$46),"Lo recibido no coincide con la factura",IF(AND($J138="",$G138&gt;0),"Sin dato de Fudo para comparar","OK"))))))</f>
        <v/>
      </c>
      <c r="Q138" s="76">
        <f>IF($L138="","",ABS($L138)+ROW()/1000000)</f>
        <v/>
      </c>
      <c r="R138" s="76">
        <f>IF($O138="","",ABS($O138)+ROW()/1000000)</f>
        <v/>
      </c>
    </row>
    <row r="139">
      <c r="A139" s="38">
        <f>Insumos!$A139</f>
        <v/>
      </c>
      <c r="B139" s="39">
        <f>Insumos!$B139</f>
        <v/>
      </c>
      <c r="C139" s="40">
        <f>Insumos!$E139</f>
        <v/>
      </c>
      <c r="D139" s="41">
        <f>'1 Inv Inicial'!$G139</f>
        <v/>
      </c>
      <c r="E139" s="69">
        <f>SUMIFS('2 Ingresos'!$I$6:$I$255,'2 Ingresos'!$B$6:$B$255,$A139,'2 Ingresos'!$C$6:$C$255,$B139)</f>
        <v/>
      </c>
      <c r="F139" s="41">
        <f>'6 Inv Final'!$G139</f>
        <v/>
      </c>
      <c r="G139" s="70">
        <f>$D139+$E139-$F139</f>
        <v/>
      </c>
      <c r="H139" s="69">
        <f>SUMIFS('7 Facturas'!$F$6:$F$255,'7 Facturas'!$D$6:$D$255,$A139,'7 Facturas'!$E$6:$E$255,$B139)</f>
        <v/>
      </c>
      <c r="I139" s="69">
        <f>$E139-$H139</f>
        <v/>
      </c>
      <c r="J139" s="69">
        <f>IFERROR(INDEX('8 Fudo Stock'!$H$6:$H$205,MATCH($A139&amp;" | "&amp;$B139,'8 Fudo Stock'!$I$6:$I$205,0)),"")</f>
        <v/>
      </c>
      <c r="K139" s="69">
        <f>IF($J139="","",$G139-$J139)</f>
        <v/>
      </c>
      <c r="L139" s="71">
        <f>IF(OR($J139="",$J139=0),"",$K139/$J139)</f>
        <v/>
      </c>
      <c r="M139" s="72">
        <f>IF(Insumos!$H139="","",Insumos!$H139)</f>
        <v/>
      </c>
      <c r="N139" s="73">
        <f>IF($M139="","",$G139*$M139)</f>
        <v/>
      </c>
      <c r="O139" s="74">
        <f>IF(OR($M139="",$K139=""),"",$K139*$M139)</f>
        <v/>
      </c>
      <c r="P139" s="75">
        <f>IF(AND('1 Inv Inicial'!$E139="",'1 Inv Inicial'!$F139=""),"Falta inventario inicial",IF(AND('6 Inv Final'!$E139="",'6 Inv Final'!$F139=""),"Falta inventario final",IF($G139&lt;0,"Consumo negativo: entro mercaderia sin registrar",IF(AND($L139&lt;&gt;"",ABS($L139)&gt;Config!$B$46),"Desvio alto vs Fudo: investigar",IF(AND($H139&gt;0,ABS($I139)/$H139&gt;Config!$B$46),"Lo recibido no coincide con la factura",IF(AND($J139="",$G139&gt;0),"Sin dato de Fudo para comparar","OK"))))))</f>
        <v/>
      </c>
      <c r="Q139" s="76">
        <f>IF($L139="","",ABS($L139)+ROW()/1000000)</f>
        <v/>
      </c>
      <c r="R139" s="76">
        <f>IF($O139="","",ABS($O139)+ROW()/1000000)</f>
        <v/>
      </c>
    </row>
    <row r="140">
      <c r="A140" s="43">
        <f>Insumos!$A140</f>
        <v/>
      </c>
      <c r="B140" s="44">
        <f>Insumos!$B140</f>
        <v/>
      </c>
      <c r="C140" s="45">
        <f>Insumos!$E140</f>
        <v/>
      </c>
      <c r="D140" s="41">
        <f>'1 Inv Inicial'!$G140</f>
        <v/>
      </c>
      <c r="E140" s="69">
        <f>SUMIFS('2 Ingresos'!$I$6:$I$255,'2 Ingresos'!$B$6:$B$255,$A140,'2 Ingresos'!$C$6:$C$255,$B140)</f>
        <v/>
      </c>
      <c r="F140" s="41">
        <f>'6 Inv Final'!$G140</f>
        <v/>
      </c>
      <c r="G140" s="70">
        <f>$D140+$E140-$F140</f>
        <v/>
      </c>
      <c r="H140" s="69">
        <f>SUMIFS('7 Facturas'!$F$6:$F$255,'7 Facturas'!$D$6:$D$255,$A140,'7 Facturas'!$E$6:$E$255,$B140)</f>
        <v/>
      </c>
      <c r="I140" s="69">
        <f>$E140-$H140</f>
        <v/>
      </c>
      <c r="J140" s="69">
        <f>IFERROR(INDEX('8 Fudo Stock'!$H$6:$H$205,MATCH($A140&amp;" | "&amp;$B140,'8 Fudo Stock'!$I$6:$I$205,0)),"")</f>
        <v/>
      </c>
      <c r="K140" s="69">
        <f>IF($J140="","",$G140-$J140)</f>
        <v/>
      </c>
      <c r="L140" s="71">
        <f>IF(OR($J140="",$J140=0),"",$K140/$J140)</f>
        <v/>
      </c>
      <c r="M140" s="72">
        <f>IF(Insumos!$H140="","",Insumos!$H140)</f>
        <v/>
      </c>
      <c r="N140" s="73">
        <f>IF($M140="","",$G140*$M140)</f>
        <v/>
      </c>
      <c r="O140" s="74">
        <f>IF(OR($M140="",$K140=""),"",$K140*$M140)</f>
        <v/>
      </c>
      <c r="P140" s="75">
        <f>IF(AND('1 Inv Inicial'!$E140="",'1 Inv Inicial'!$F140=""),"Falta inventario inicial",IF(AND('6 Inv Final'!$E140="",'6 Inv Final'!$F140=""),"Falta inventario final",IF($G140&lt;0,"Consumo negativo: entro mercaderia sin registrar",IF(AND($L140&lt;&gt;"",ABS($L140)&gt;Config!$B$46),"Desvio alto vs Fudo: investigar",IF(AND($H140&gt;0,ABS($I140)/$H140&gt;Config!$B$46),"Lo recibido no coincide con la factura",IF(AND($J140="",$G140&gt;0),"Sin dato de Fudo para comparar","OK"))))))</f>
        <v/>
      </c>
      <c r="Q140" s="76">
        <f>IF($L140="","",ABS($L140)+ROW()/1000000)</f>
        <v/>
      </c>
      <c r="R140" s="76">
        <f>IF($O140="","",ABS($O140)+ROW()/1000000)</f>
        <v/>
      </c>
    </row>
    <row r="141">
      <c r="A141" s="38">
        <f>Insumos!$A141</f>
        <v/>
      </c>
      <c r="B141" s="39">
        <f>Insumos!$B141</f>
        <v/>
      </c>
      <c r="C141" s="40">
        <f>Insumos!$E141</f>
        <v/>
      </c>
      <c r="D141" s="41">
        <f>'1 Inv Inicial'!$G141</f>
        <v/>
      </c>
      <c r="E141" s="69">
        <f>SUMIFS('2 Ingresos'!$I$6:$I$255,'2 Ingresos'!$B$6:$B$255,$A141,'2 Ingresos'!$C$6:$C$255,$B141)</f>
        <v/>
      </c>
      <c r="F141" s="41">
        <f>'6 Inv Final'!$G141</f>
        <v/>
      </c>
      <c r="G141" s="70">
        <f>$D141+$E141-$F141</f>
        <v/>
      </c>
      <c r="H141" s="69">
        <f>SUMIFS('7 Facturas'!$F$6:$F$255,'7 Facturas'!$D$6:$D$255,$A141,'7 Facturas'!$E$6:$E$255,$B141)</f>
        <v/>
      </c>
      <c r="I141" s="69">
        <f>$E141-$H141</f>
        <v/>
      </c>
      <c r="J141" s="69">
        <f>IFERROR(INDEX('8 Fudo Stock'!$H$6:$H$205,MATCH($A141&amp;" | "&amp;$B141,'8 Fudo Stock'!$I$6:$I$205,0)),"")</f>
        <v/>
      </c>
      <c r="K141" s="69">
        <f>IF($J141="","",$G141-$J141)</f>
        <v/>
      </c>
      <c r="L141" s="71">
        <f>IF(OR($J141="",$J141=0),"",$K141/$J141)</f>
        <v/>
      </c>
      <c r="M141" s="72">
        <f>IF(Insumos!$H141="","",Insumos!$H141)</f>
        <v/>
      </c>
      <c r="N141" s="73">
        <f>IF($M141="","",$G141*$M141)</f>
        <v/>
      </c>
      <c r="O141" s="74">
        <f>IF(OR($M141="",$K141=""),"",$K141*$M141)</f>
        <v/>
      </c>
      <c r="P141" s="75">
        <f>IF(AND('1 Inv Inicial'!$E141="",'1 Inv Inicial'!$F141=""),"Falta inventario inicial",IF(AND('6 Inv Final'!$E141="",'6 Inv Final'!$F141=""),"Falta inventario final",IF($G141&lt;0,"Consumo negativo: entro mercaderia sin registrar",IF(AND($L141&lt;&gt;"",ABS($L141)&gt;Config!$B$46),"Desvio alto vs Fudo: investigar",IF(AND($H141&gt;0,ABS($I141)/$H141&gt;Config!$B$46),"Lo recibido no coincide con la factura",IF(AND($J141="",$G141&gt;0),"Sin dato de Fudo para comparar","OK"))))))</f>
        <v/>
      </c>
      <c r="Q141" s="76">
        <f>IF($L141="","",ABS($L141)+ROW()/1000000)</f>
        <v/>
      </c>
      <c r="R141" s="76">
        <f>IF($O141="","",ABS($O141)+ROW()/1000000)</f>
        <v/>
      </c>
    </row>
    <row r="142">
      <c r="A142" s="43">
        <f>Insumos!$A142</f>
        <v/>
      </c>
      <c r="B142" s="44">
        <f>Insumos!$B142</f>
        <v/>
      </c>
      <c r="C142" s="45">
        <f>Insumos!$E142</f>
        <v/>
      </c>
      <c r="D142" s="41">
        <f>'1 Inv Inicial'!$G142</f>
        <v/>
      </c>
      <c r="E142" s="69">
        <f>SUMIFS('2 Ingresos'!$I$6:$I$255,'2 Ingresos'!$B$6:$B$255,$A142,'2 Ingresos'!$C$6:$C$255,$B142)</f>
        <v/>
      </c>
      <c r="F142" s="41">
        <f>'6 Inv Final'!$G142</f>
        <v/>
      </c>
      <c r="G142" s="70">
        <f>$D142+$E142-$F142</f>
        <v/>
      </c>
      <c r="H142" s="69">
        <f>SUMIFS('7 Facturas'!$F$6:$F$255,'7 Facturas'!$D$6:$D$255,$A142,'7 Facturas'!$E$6:$E$255,$B142)</f>
        <v/>
      </c>
      <c r="I142" s="69">
        <f>$E142-$H142</f>
        <v/>
      </c>
      <c r="J142" s="69">
        <f>IFERROR(INDEX('8 Fudo Stock'!$H$6:$H$205,MATCH($A142&amp;" | "&amp;$B142,'8 Fudo Stock'!$I$6:$I$205,0)),"")</f>
        <v/>
      </c>
      <c r="K142" s="69">
        <f>IF($J142="","",$G142-$J142)</f>
        <v/>
      </c>
      <c r="L142" s="71">
        <f>IF(OR($J142="",$J142=0),"",$K142/$J142)</f>
        <v/>
      </c>
      <c r="M142" s="72">
        <f>IF(Insumos!$H142="","",Insumos!$H142)</f>
        <v/>
      </c>
      <c r="N142" s="73">
        <f>IF($M142="","",$G142*$M142)</f>
        <v/>
      </c>
      <c r="O142" s="74">
        <f>IF(OR($M142="",$K142=""),"",$K142*$M142)</f>
        <v/>
      </c>
      <c r="P142" s="75">
        <f>IF(AND('1 Inv Inicial'!$E142="",'1 Inv Inicial'!$F142=""),"Falta inventario inicial",IF(AND('6 Inv Final'!$E142="",'6 Inv Final'!$F142=""),"Falta inventario final",IF($G142&lt;0,"Consumo negativo: entro mercaderia sin registrar",IF(AND($L142&lt;&gt;"",ABS($L142)&gt;Config!$B$46),"Desvio alto vs Fudo: investigar",IF(AND($H142&gt;0,ABS($I142)/$H142&gt;Config!$B$46),"Lo recibido no coincide con la factura",IF(AND($J142="",$G142&gt;0),"Sin dato de Fudo para comparar","OK"))))))</f>
        <v/>
      </c>
      <c r="Q142" s="76">
        <f>IF($L142="","",ABS($L142)+ROW()/1000000)</f>
        <v/>
      </c>
      <c r="R142" s="76">
        <f>IF($O142="","",ABS($O142)+ROW()/1000000)</f>
        <v/>
      </c>
    </row>
    <row r="143">
      <c r="A143" s="38">
        <f>Insumos!$A143</f>
        <v/>
      </c>
      <c r="B143" s="39">
        <f>Insumos!$B143</f>
        <v/>
      </c>
      <c r="C143" s="40">
        <f>Insumos!$E143</f>
        <v/>
      </c>
      <c r="D143" s="41">
        <f>'1 Inv Inicial'!$G143</f>
        <v/>
      </c>
      <c r="E143" s="69">
        <f>SUMIFS('2 Ingresos'!$I$6:$I$255,'2 Ingresos'!$B$6:$B$255,$A143,'2 Ingresos'!$C$6:$C$255,$B143)</f>
        <v/>
      </c>
      <c r="F143" s="41">
        <f>'6 Inv Final'!$G143</f>
        <v/>
      </c>
      <c r="G143" s="70">
        <f>$D143+$E143-$F143</f>
        <v/>
      </c>
      <c r="H143" s="69">
        <f>SUMIFS('7 Facturas'!$F$6:$F$255,'7 Facturas'!$D$6:$D$255,$A143,'7 Facturas'!$E$6:$E$255,$B143)</f>
        <v/>
      </c>
      <c r="I143" s="69">
        <f>$E143-$H143</f>
        <v/>
      </c>
      <c r="J143" s="69">
        <f>IFERROR(INDEX('8 Fudo Stock'!$H$6:$H$205,MATCH($A143&amp;" | "&amp;$B143,'8 Fudo Stock'!$I$6:$I$205,0)),"")</f>
        <v/>
      </c>
      <c r="K143" s="69">
        <f>IF($J143="","",$G143-$J143)</f>
        <v/>
      </c>
      <c r="L143" s="71">
        <f>IF(OR($J143="",$J143=0),"",$K143/$J143)</f>
        <v/>
      </c>
      <c r="M143" s="72">
        <f>IF(Insumos!$H143="","",Insumos!$H143)</f>
        <v/>
      </c>
      <c r="N143" s="73">
        <f>IF($M143="","",$G143*$M143)</f>
        <v/>
      </c>
      <c r="O143" s="74">
        <f>IF(OR($M143="",$K143=""),"",$K143*$M143)</f>
        <v/>
      </c>
      <c r="P143" s="75">
        <f>IF(AND('1 Inv Inicial'!$E143="",'1 Inv Inicial'!$F143=""),"Falta inventario inicial",IF(AND('6 Inv Final'!$E143="",'6 Inv Final'!$F143=""),"Falta inventario final",IF($G143&lt;0,"Consumo negativo: entro mercaderia sin registrar",IF(AND($L143&lt;&gt;"",ABS($L143)&gt;Config!$B$46),"Desvio alto vs Fudo: investigar",IF(AND($H143&gt;0,ABS($I143)/$H143&gt;Config!$B$46),"Lo recibido no coincide con la factura",IF(AND($J143="",$G143&gt;0),"Sin dato de Fudo para comparar","OK"))))))</f>
        <v/>
      </c>
      <c r="Q143" s="76">
        <f>IF($L143="","",ABS($L143)+ROW()/1000000)</f>
        <v/>
      </c>
      <c r="R143" s="76">
        <f>IF($O143="","",ABS($O143)+ROW()/1000000)</f>
        <v/>
      </c>
    </row>
    <row r="144">
      <c r="A144" s="43">
        <f>Insumos!$A144</f>
        <v/>
      </c>
      <c r="B144" s="44">
        <f>Insumos!$B144</f>
        <v/>
      </c>
      <c r="C144" s="45">
        <f>Insumos!$E144</f>
        <v/>
      </c>
      <c r="D144" s="41">
        <f>'1 Inv Inicial'!$G144</f>
        <v/>
      </c>
      <c r="E144" s="69">
        <f>SUMIFS('2 Ingresos'!$I$6:$I$255,'2 Ingresos'!$B$6:$B$255,$A144,'2 Ingresos'!$C$6:$C$255,$B144)</f>
        <v/>
      </c>
      <c r="F144" s="41">
        <f>'6 Inv Final'!$G144</f>
        <v/>
      </c>
      <c r="G144" s="70">
        <f>$D144+$E144-$F144</f>
        <v/>
      </c>
      <c r="H144" s="69">
        <f>SUMIFS('7 Facturas'!$F$6:$F$255,'7 Facturas'!$D$6:$D$255,$A144,'7 Facturas'!$E$6:$E$255,$B144)</f>
        <v/>
      </c>
      <c r="I144" s="69">
        <f>$E144-$H144</f>
        <v/>
      </c>
      <c r="J144" s="69">
        <f>IFERROR(INDEX('8 Fudo Stock'!$H$6:$H$205,MATCH($A144&amp;" | "&amp;$B144,'8 Fudo Stock'!$I$6:$I$205,0)),"")</f>
        <v/>
      </c>
      <c r="K144" s="69">
        <f>IF($J144="","",$G144-$J144)</f>
        <v/>
      </c>
      <c r="L144" s="71">
        <f>IF(OR($J144="",$J144=0),"",$K144/$J144)</f>
        <v/>
      </c>
      <c r="M144" s="72">
        <f>IF(Insumos!$H144="","",Insumos!$H144)</f>
        <v/>
      </c>
      <c r="N144" s="73">
        <f>IF($M144="","",$G144*$M144)</f>
        <v/>
      </c>
      <c r="O144" s="74">
        <f>IF(OR($M144="",$K144=""),"",$K144*$M144)</f>
        <v/>
      </c>
      <c r="P144" s="75">
        <f>IF(AND('1 Inv Inicial'!$E144="",'1 Inv Inicial'!$F144=""),"Falta inventario inicial",IF(AND('6 Inv Final'!$E144="",'6 Inv Final'!$F144=""),"Falta inventario final",IF($G144&lt;0,"Consumo negativo: entro mercaderia sin registrar",IF(AND($L144&lt;&gt;"",ABS($L144)&gt;Config!$B$46),"Desvio alto vs Fudo: investigar",IF(AND($H144&gt;0,ABS($I144)/$H144&gt;Config!$B$46),"Lo recibido no coincide con la factura",IF(AND($J144="",$G144&gt;0),"Sin dato de Fudo para comparar","OK"))))))</f>
        <v/>
      </c>
      <c r="Q144" s="76">
        <f>IF($L144="","",ABS($L144)+ROW()/1000000)</f>
        <v/>
      </c>
      <c r="R144" s="76">
        <f>IF($O144="","",ABS($O144)+ROW()/1000000)</f>
        <v/>
      </c>
    </row>
    <row r="145">
      <c r="A145" s="38">
        <f>Insumos!$A145</f>
        <v/>
      </c>
      <c r="B145" s="39">
        <f>Insumos!$B145</f>
        <v/>
      </c>
      <c r="C145" s="40">
        <f>Insumos!$E145</f>
        <v/>
      </c>
      <c r="D145" s="41">
        <f>'1 Inv Inicial'!$G145</f>
        <v/>
      </c>
      <c r="E145" s="69">
        <f>SUMIFS('2 Ingresos'!$I$6:$I$255,'2 Ingresos'!$B$6:$B$255,$A145,'2 Ingresos'!$C$6:$C$255,$B145)</f>
        <v/>
      </c>
      <c r="F145" s="41">
        <f>'6 Inv Final'!$G145</f>
        <v/>
      </c>
      <c r="G145" s="70">
        <f>$D145+$E145-$F145</f>
        <v/>
      </c>
      <c r="H145" s="69">
        <f>SUMIFS('7 Facturas'!$F$6:$F$255,'7 Facturas'!$D$6:$D$255,$A145,'7 Facturas'!$E$6:$E$255,$B145)</f>
        <v/>
      </c>
      <c r="I145" s="69">
        <f>$E145-$H145</f>
        <v/>
      </c>
      <c r="J145" s="69">
        <f>IFERROR(INDEX('8 Fudo Stock'!$H$6:$H$205,MATCH($A145&amp;" | "&amp;$B145,'8 Fudo Stock'!$I$6:$I$205,0)),"")</f>
        <v/>
      </c>
      <c r="K145" s="69">
        <f>IF($J145="","",$G145-$J145)</f>
        <v/>
      </c>
      <c r="L145" s="71">
        <f>IF(OR($J145="",$J145=0),"",$K145/$J145)</f>
        <v/>
      </c>
      <c r="M145" s="72">
        <f>IF(Insumos!$H145="","",Insumos!$H145)</f>
        <v/>
      </c>
      <c r="N145" s="73">
        <f>IF($M145="","",$G145*$M145)</f>
        <v/>
      </c>
      <c r="O145" s="74">
        <f>IF(OR($M145="",$K145=""),"",$K145*$M145)</f>
        <v/>
      </c>
      <c r="P145" s="75">
        <f>IF(AND('1 Inv Inicial'!$E145="",'1 Inv Inicial'!$F145=""),"Falta inventario inicial",IF(AND('6 Inv Final'!$E145="",'6 Inv Final'!$F145=""),"Falta inventario final",IF($G145&lt;0,"Consumo negativo: entro mercaderia sin registrar",IF(AND($L145&lt;&gt;"",ABS($L145)&gt;Config!$B$46),"Desvio alto vs Fudo: investigar",IF(AND($H145&gt;0,ABS($I145)/$H145&gt;Config!$B$46),"Lo recibido no coincide con la factura",IF(AND($J145="",$G145&gt;0),"Sin dato de Fudo para comparar","OK"))))))</f>
        <v/>
      </c>
      <c r="Q145" s="76">
        <f>IF($L145="","",ABS($L145)+ROW()/1000000)</f>
        <v/>
      </c>
      <c r="R145" s="76">
        <f>IF($O145="","",ABS($O145)+ROW()/1000000)</f>
        <v/>
      </c>
    </row>
    <row r="146">
      <c r="A146" s="43">
        <f>Insumos!$A146</f>
        <v/>
      </c>
      <c r="B146" s="44">
        <f>Insumos!$B146</f>
        <v/>
      </c>
      <c r="C146" s="45">
        <f>Insumos!$E146</f>
        <v/>
      </c>
      <c r="D146" s="41">
        <f>'1 Inv Inicial'!$G146</f>
        <v/>
      </c>
      <c r="E146" s="69">
        <f>SUMIFS('2 Ingresos'!$I$6:$I$255,'2 Ingresos'!$B$6:$B$255,$A146,'2 Ingresos'!$C$6:$C$255,$B146)</f>
        <v/>
      </c>
      <c r="F146" s="41">
        <f>'6 Inv Final'!$G146</f>
        <v/>
      </c>
      <c r="G146" s="70">
        <f>$D146+$E146-$F146</f>
        <v/>
      </c>
      <c r="H146" s="69">
        <f>SUMIFS('7 Facturas'!$F$6:$F$255,'7 Facturas'!$D$6:$D$255,$A146,'7 Facturas'!$E$6:$E$255,$B146)</f>
        <v/>
      </c>
      <c r="I146" s="69">
        <f>$E146-$H146</f>
        <v/>
      </c>
      <c r="J146" s="69">
        <f>IFERROR(INDEX('8 Fudo Stock'!$H$6:$H$205,MATCH($A146&amp;" | "&amp;$B146,'8 Fudo Stock'!$I$6:$I$205,0)),"")</f>
        <v/>
      </c>
      <c r="K146" s="69">
        <f>IF($J146="","",$G146-$J146)</f>
        <v/>
      </c>
      <c r="L146" s="71">
        <f>IF(OR($J146="",$J146=0),"",$K146/$J146)</f>
        <v/>
      </c>
      <c r="M146" s="72">
        <f>IF(Insumos!$H146="","",Insumos!$H146)</f>
        <v/>
      </c>
      <c r="N146" s="73">
        <f>IF($M146="","",$G146*$M146)</f>
        <v/>
      </c>
      <c r="O146" s="74">
        <f>IF(OR($M146="",$K146=""),"",$K146*$M146)</f>
        <v/>
      </c>
      <c r="P146" s="75">
        <f>IF(AND('1 Inv Inicial'!$E146="",'1 Inv Inicial'!$F146=""),"Falta inventario inicial",IF(AND('6 Inv Final'!$E146="",'6 Inv Final'!$F146=""),"Falta inventario final",IF($G146&lt;0,"Consumo negativo: entro mercaderia sin registrar",IF(AND($L146&lt;&gt;"",ABS($L146)&gt;Config!$B$46),"Desvio alto vs Fudo: investigar",IF(AND($H146&gt;0,ABS($I146)/$H146&gt;Config!$B$46),"Lo recibido no coincide con la factura",IF(AND($J146="",$G146&gt;0),"Sin dato de Fudo para comparar","OK"))))))</f>
        <v/>
      </c>
      <c r="Q146" s="76">
        <f>IF($L146="","",ABS($L146)+ROW()/1000000)</f>
        <v/>
      </c>
      <c r="R146" s="76">
        <f>IF($O146="","",ABS($O146)+ROW()/1000000)</f>
        <v/>
      </c>
    </row>
    <row r="147">
      <c r="A147" s="38">
        <f>Insumos!$A147</f>
        <v/>
      </c>
      <c r="B147" s="39">
        <f>Insumos!$B147</f>
        <v/>
      </c>
      <c r="C147" s="40">
        <f>Insumos!$E147</f>
        <v/>
      </c>
      <c r="D147" s="41">
        <f>'1 Inv Inicial'!$G147</f>
        <v/>
      </c>
      <c r="E147" s="69">
        <f>SUMIFS('2 Ingresos'!$I$6:$I$255,'2 Ingresos'!$B$6:$B$255,$A147,'2 Ingresos'!$C$6:$C$255,$B147)</f>
        <v/>
      </c>
      <c r="F147" s="41">
        <f>'6 Inv Final'!$G147</f>
        <v/>
      </c>
      <c r="G147" s="70">
        <f>$D147+$E147-$F147</f>
        <v/>
      </c>
      <c r="H147" s="69">
        <f>SUMIFS('7 Facturas'!$F$6:$F$255,'7 Facturas'!$D$6:$D$255,$A147,'7 Facturas'!$E$6:$E$255,$B147)</f>
        <v/>
      </c>
      <c r="I147" s="69">
        <f>$E147-$H147</f>
        <v/>
      </c>
      <c r="J147" s="69">
        <f>IFERROR(INDEX('8 Fudo Stock'!$H$6:$H$205,MATCH($A147&amp;" | "&amp;$B147,'8 Fudo Stock'!$I$6:$I$205,0)),"")</f>
        <v/>
      </c>
      <c r="K147" s="69">
        <f>IF($J147="","",$G147-$J147)</f>
        <v/>
      </c>
      <c r="L147" s="71">
        <f>IF(OR($J147="",$J147=0),"",$K147/$J147)</f>
        <v/>
      </c>
      <c r="M147" s="72">
        <f>IF(Insumos!$H147="","",Insumos!$H147)</f>
        <v/>
      </c>
      <c r="N147" s="73">
        <f>IF($M147="","",$G147*$M147)</f>
        <v/>
      </c>
      <c r="O147" s="74">
        <f>IF(OR($M147="",$K147=""),"",$K147*$M147)</f>
        <v/>
      </c>
      <c r="P147" s="75">
        <f>IF(AND('1 Inv Inicial'!$E147="",'1 Inv Inicial'!$F147=""),"Falta inventario inicial",IF(AND('6 Inv Final'!$E147="",'6 Inv Final'!$F147=""),"Falta inventario final",IF($G147&lt;0,"Consumo negativo: entro mercaderia sin registrar",IF(AND($L147&lt;&gt;"",ABS($L147)&gt;Config!$B$46),"Desvio alto vs Fudo: investigar",IF(AND($H147&gt;0,ABS($I147)/$H147&gt;Config!$B$46),"Lo recibido no coincide con la factura",IF(AND($J147="",$G147&gt;0),"Sin dato de Fudo para comparar","OK"))))))</f>
        <v/>
      </c>
      <c r="Q147" s="76">
        <f>IF($L147="","",ABS($L147)+ROW()/1000000)</f>
        <v/>
      </c>
      <c r="R147" s="76">
        <f>IF($O147="","",ABS($O147)+ROW()/1000000)</f>
        <v/>
      </c>
    </row>
    <row r="148">
      <c r="A148" s="43">
        <f>Insumos!$A148</f>
        <v/>
      </c>
      <c r="B148" s="44">
        <f>Insumos!$B148</f>
        <v/>
      </c>
      <c r="C148" s="45">
        <f>Insumos!$E148</f>
        <v/>
      </c>
      <c r="D148" s="41">
        <f>'1 Inv Inicial'!$G148</f>
        <v/>
      </c>
      <c r="E148" s="69">
        <f>SUMIFS('2 Ingresos'!$I$6:$I$255,'2 Ingresos'!$B$6:$B$255,$A148,'2 Ingresos'!$C$6:$C$255,$B148)</f>
        <v/>
      </c>
      <c r="F148" s="41">
        <f>'6 Inv Final'!$G148</f>
        <v/>
      </c>
      <c r="G148" s="70">
        <f>$D148+$E148-$F148</f>
        <v/>
      </c>
      <c r="H148" s="69">
        <f>SUMIFS('7 Facturas'!$F$6:$F$255,'7 Facturas'!$D$6:$D$255,$A148,'7 Facturas'!$E$6:$E$255,$B148)</f>
        <v/>
      </c>
      <c r="I148" s="69">
        <f>$E148-$H148</f>
        <v/>
      </c>
      <c r="J148" s="69">
        <f>IFERROR(INDEX('8 Fudo Stock'!$H$6:$H$205,MATCH($A148&amp;" | "&amp;$B148,'8 Fudo Stock'!$I$6:$I$205,0)),"")</f>
        <v/>
      </c>
      <c r="K148" s="69">
        <f>IF($J148="","",$G148-$J148)</f>
        <v/>
      </c>
      <c r="L148" s="71">
        <f>IF(OR($J148="",$J148=0),"",$K148/$J148)</f>
        <v/>
      </c>
      <c r="M148" s="72">
        <f>IF(Insumos!$H148="","",Insumos!$H148)</f>
        <v/>
      </c>
      <c r="N148" s="73">
        <f>IF($M148="","",$G148*$M148)</f>
        <v/>
      </c>
      <c r="O148" s="74">
        <f>IF(OR($M148="",$K148=""),"",$K148*$M148)</f>
        <v/>
      </c>
      <c r="P148" s="75">
        <f>IF(AND('1 Inv Inicial'!$E148="",'1 Inv Inicial'!$F148=""),"Falta inventario inicial",IF(AND('6 Inv Final'!$E148="",'6 Inv Final'!$F148=""),"Falta inventario final",IF($G148&lt;0,"Consumo negativo: entro mercaderia sin registrar",IF(AND($L148&lt;&gt;"",ABS($L148)&gt;Config!$B$46),"Desvio alto vs Fudo: investigar",IF(AND($H148&gt;0,ABS($I148)/$H148&gt;Config!$B$46),"Lo recibido no coincide con la factura",IF(AND($J148="",$G148&gt;0),"Sin dato de Fudo para comparar","OK"))))))</f>
        <v/>
      </c>
      <c r="Q148" s="76">
        <f>IF($L148="","",ABS($L148)+ROW()/1000000)</f>
        <v/>
      </c>
      <c r="R148" s="76">
        <f>IF($O148="","",ABS($O148)+ROW()/1000000)</f>
        <v/>
      </c>
    </row>
    <row r="149">
      <c r="A149" s="38">
        <f>Insumos!$A149</f>
        <v/>
      </c>
      <c r="B149" s="39">
        <f>Insumos!$B149</f>
        <v/>
      </c>
      <c r="C149" s="40">
        <f>Insumos!$E149</f>
        <v/>
      </c>
      <c r="D149" s="41">
        <f>'1 Inv Inicial'!$G149</f>
        <v/>
      </c>
      <c r="E149" s="69">
        <f>SUMIFS('2 Ingresos'!$I$6:$I$255,'2 Ingresos'!$B$6:$B$255,$A149,'2 Ingresos'!$C$6:$C$255,$B149)</f>
        <v/>
      </c>
      <c r="F149" s="41">
        <f>'6 Inv Final'!$G149</f>
        <v/>
      </c>
      <c r="G149" s="70">
        <f>$D149+$E149-$F149</f>
        <v/>
      </c>
      <c r="H149" s="69">
        <f>SUMIFS('7 Facturas'!$F$6:$F$255,'7 Facturas'!$D$6:$D$255,$A149,'7 Facturas'!$E$6:$E$255,$B149)</f>
        <v/>
      </c>
      <c r="I149" s="69">
        <f>$E149-$H149</f>
        <v/>
      </c>
      <c r="J149" s="69">
        <f>IFERROR(INDEX('8 Fudo Stock'!$H$6:$H$205,MATCH($A149&amp;" | "&amp;$B149,'8 Fudo Stock'!$I$6:$I$205,0)),"")</f>
        <v/>
      </c>
      <c r="K149" s="69">
        <f>IF($J149="","",$G149-$J149)</f>
        <v/>
      </c>
      <c r="L149" s="71">
        <f>IF(OR($J149="",$J149=0),"",$K149/$J149)</f>
        <v/>
      </c>
      <c r="M149" s="72">
        <f>IF(Insumos!$H149="","",Insumos!$H149)</f>
        <v/>
      </c>
      <c r="N149" s="73">
        <f>IF($M149="","",$G149*$M149)</f>
        <v/>
      </c>
      <c r="O149" s="74">
        <f>IF(OR($M149="",$K149=""),"",$K149*$M149)</f>
        <v/>
      </c>
      <c r="P149" s="75">
        <f>IF(AND('1 Inv Inicial'!$E149="",'1 Inv Inicial'!$F149=""),"Falta inventario inicial",IF(AND('6 Inv Final'!$E149="",'6 Inv Final'!$F149=""),"Falta inventario final",IF($G149&lt;0,"Consumo negativo: entro mercaderia sin registrar",IF(AND($L149&lt;&gt;"",ABS($L149)&gt;Config!$B$46),"Desvio alto vs Fudo: investigar",IF(AND($H149&gt;0,ABS($I149)/$H149&gt;Config!$B$46),"Lo recibido no coincide con la factura",IF(AND($J149="",$G149&gt;0),"Sin dato de Fudo para comparar","OK"))))))</f>
        <v/>
      </c>
      <c r="Q149" s="76">
        <f>IF($L149="","",ABS($L149)+ROW()/1000000)</f>
        <v/>
      </c>
      <c r="R149" s="76">
        <f>IF($O149="","",ABS($O149)+ROW()/1000000)</f>
        <v/>
      </c>
    </row>
    <row r="150">
      <c r="A150" s="43">
        <f>Insumos!$A150</f>
        <v/>
      </c>
      <c r="B150" s="44">
        <f>Insumos!$B150</f>
        <v/>
      </c>
      <c r="C150" s="45">
        <f>Insumos!$E150</f>
        <v/>
      </c>
      <c r="D150" s="41">
        <f>'1 Inv Inicial'!$G150</f>
        <v/>
      </c>
      <c r="E150" s="69">
        <f>SUMIFS('2 Ingresos'!$I$6:$I$255,'2 Ingresos'!$B$6:$B$255,$A150,'2 Ingresos'!$C$6:$C$255,$B150)</f>
        <v/>
      </c>
      <c r="F150" s="41">
        <f>'6 Inv Final'!$G150</f>
        <v/>
      </c>
      <c r="G150" s="70">
        <f>$D150+$E150-$F150</f>
        <v/>
      </c>
      <c r="H150" s="69">
        <f>SUMIFS('7 Facturas'!$F$6:$F$255,'7 Facturas'!$D$6:$D$255,$A150,'7 Facturas'!$E$6:$E$255,$B150)</f>
        <v/>
      </c>
      <c r="I150" s="69">
        <f>$E150-$H150</f>
        <v/>
      </c>
      <c r="J150" s="69">
        <f>IFERROR(INDEX('8 Fudo Stock'!$H$6:$H$205,MATCH($A150&amp;" | "&amp;$B150,'8 Fudo Stock'!$I$6:$I$205,0)),"")</f>
        <v/>
      </c>
      <c r="K150" s="69">
        <f>IF($J150="","",$G150-$J150)</f>
        <v/>
      </c>
      <c r="L150" s="71">
        <f>IF(OR($J150="",$J150=0),"",$K150/$J150)</f>
        <v/>
      </c>
      <c r="M150" s="72">
        <f>IF(Insumos!$H150="","",Insumos!$H150)</f>
        <v/>
      </c>
      <c r="N150" s="73">
        <f>IF($M150="","",$G150*$M150)</f>
        <v/>
      </c>
      <c r="O150" s="74">
        <f>IF(OR($M150="",$K150=""),"",$K150*$M150)</f>
        <v/>
      </c>
      <c r="P150" s="75">
        <f>IF(AND('1 Inv Inicial'!$E150="",'1 Inv Inicial'!$F150=""),"Falta inventario inicial",IF(AND('6 Inv Final'!$E150="",'6 Inv Final'!$F150=""),"Falta inventario final",IF($G150&lt;0,"Consumo negativo: entro mercaderia sin registrar",IF(AND($L150&lt;&gt;"",ABS($L150)&gt;Config!$B$46),"Desvio alto vs Fudo: investigar",IF(AND($H150&gt;0,ABS($I150)/$H150&gt;Config!$B$46),"Lo recibido no coincide con la factura",IF(AND($J150="",$G150&gt;0),"Sin dato de Fudo para comparar","OK"))))))</f>
        <v/>
      </c>
      <c r="Q150" s="76">
        <f>IF($L150="","",ABS($L150)+ROW()/1000000)</f>
        <v/>
      </c>
      <c r="R150" s="76">
        <f>IF($O150="","",ABS($O150)+ROW()/1000000)</f>
        <v/>
      </c>
    </row>
    <row r="151">
      <c r="A151" s="38">
        <f>Insumos!$A151</f>
        <v/>
      </c>
      <c r="B151" s="39">
        <f>Insumos!$B151</f>
        <v/>
      </c>
      <c r="C151" s="40">
        <f>Insumos!$E151</f>
        <v/>
      </c>
      <c r="D151" s="41">
        <f>'1 Inv Inicial'!$G151</f>
        <v/>
      </c>
      <c r="E151" s="69">
        <f>SUMIFS('2 Ingresos'!$I$6:$I$255,'2 Ingresos'!$B$6:$B$255,$A151,'2 Ingresos'!$C$6:$C$255,$B151)</f>
        <v/>
      </c>
      <c r="F151" s="41">
        <f>'6 Inv Final'!$G151</f>
        <v/>
      </c>
      <c r="G151" s="70">
        <f>$D151+$E151-$F151</f>
        <v/>
      </c>
      <c r="H151" s="69">
        <f>SUMIFS('7 Facturas'!$F$6:$F$255,'7 Facturas'!$D$6:$D$255,$A151,'7 Facturas'!$E$6:$E$255,$B151)</f>
        <v/>
      </c>
      <c r="I151" s="69">
        <f>$E151-$H151</f>
        <v/>
      </c>
      <c r="J151" s="69">
        <f>IFERROR(INDEX('8 Fudo Stock'!$H$6:$H$205,MATCH($A151&amp;" | "&amp;$B151,'8 Fudo Stock'!$I$6:$I$205,0)),"")</f>
        <v/>
      </c>
      <c r="K151" s="69">
        <f>IF($J151="","",$G151-$J151)</f>
        <v/>
      </c>
      <c r="L151" s="71">
        <f>IF(OR($J151="",$J151=0),"",$K151/$J151)</f>
        <v/>
      </c>
      <c r="M151" s="72">
        <f>IF(Insumos!$H151="","",Insumos!$H151)</f>
        <v/>
      </c>
      <c r="N151" s="73">
        <f>IF($M151="","",$G151*$M151)</f>
        <v/>
      </c>
      <c r="O151" s="74">
        <f>IF(OR($M151="",$K151=""),"",$K151*$M151)</f>
        <v/>
      </c>
      <c r="P151" s="75">
        <f>IF(AND('1 Inv Inicial'!$E151="",'1 Inv Inicial'!$F151=""),"Falta inventario inicial",IF(AND('6 Inv Final'!$E151="",'6 Inv Final'!$F151=""),"Falta inventario final",IF($G151&lt;0,"Consumo negativo: entro mercaderia sin registrar",IF(AND($L151&lt;&gt;"",ABS($L151)&gt;Config!$B$46),"Desvio alto vs Fudo: investigar",IF(AND($H151&gt;0,ABS($I151)/$H151&gt;Config!$B$46),"Lo recibido no coincide con la factura",IF(AND($J151="",$G151&gt;0),"Sin dato de Fudo para comparar","OK"))))))</f>
        <v/>
      </c>
      <c r="Q151" s="76">
        <f>IF($L151="","",ABS($L151)+ROW()/1000000)</f>
        <v/>
      </c>
      <c r="R151" s="76">
        <f>IF($O151="","",ABS($O151)+ROW()/1000000)</f>
        <v/>
      </c>
    </row>
    <row r="152">
      <c r="A152" s="43">
        <f>Insumos!$A152</f>
        <v/>
      </c>
      <c r="B152" s="44">
        <f>Insumos!$B152</f>
        <v/>
      </c>
      <c r="C152" s="45">
        <f>Insumos!$E152</f>
        <v/>
      </c>
      <c r="D152" s="41">
        <f>'1 Inv Inicial'!$G152</f>
        <v/>
      </c>
      <c r="E152" s="69">
        <f>SUMIFS('2 Ingresos'!$I$6:$I$255,'2 Ingresos'!$B$6:$B$255,$A152,'2 Ingresos'!$C$6:$C$255,$B152)</f>
        <v/>
      </c>
      <c r="F152" s="41">
        <f>'6 Inv Final'!$G152</f>
        <v/>
      </c>
      <c r="G152" s="70">
        <f>$D152+$E152-$F152</f>
        <v/>
      </c>
      <c r="H152" s="69">
        <f>SUMIFS('7 Facturas'!$F$6:$F$255,'7 Facturas'!$D$6:$D$255,$A152,'7 Facturas'!$E$6:$E$255,$B152)</f>
        <v/>
      </c>
      <c r="I152" s="69">
        <f>$E152-$H152</f>
        <v/>
      </c>
      <c r="J152" s="69">
        <f>IFERROR(INDEX('8 Fudo Stock'!$H$6:$H$205,MATCH($A152&amp;" | "&amp;$B152,'8 Fudo Stock'!$I$6:$I$205,0)),"")</f>
        <v/>
      </c>
      <c r="K152" s="69">
        <f>IF($J152="","",$G152-$J152)</f>
        <v/>
      </c>
      <c r="L152" s="71">
        <f>IF(OR($J152="",$J152=0),"",$K152/$J152)</f>
        <v/>
      </c>
      <c r="M152" s="72">
        <f>IF(Insumos!$H152="","",Insumos!$H152)</f>
        <v/>
      </c>
      <c r="N152" s="73">
        <f>IF($M152="","",$G152*$M152)</f>
        <v/>
      </c>
      <c r="O152" s="74">
        <f>IF(OR($M152="",$K152=""),"",$K152*$M152)</f>
        <v/>
      </c>
      <c r="P152" s="75">
        <f>IF(AND('1 Inv Inicial'!$E152="",'1 Inv Inicial'!$F152=""),"Falta inventario inicial",IF(AND('6 Inv Final'!$E152="",'6 Inv Final'!$F152=""),"Falta inventario final",IF($G152&lt;0,"Consumo negativo: entro mercaderia sin registrar",IF(AND($L152&lt;&gt;"",ABS($L152)&gt;Config!$B$46),"Desvio alto vs Fudo: investigar",IF(AND($H152&gt;0,ABS($I152)/$H152&gt;Config!$B$46),"Lo recibido no coincide con la factura",IF(AND($J152="",$G152&gt;0),"Sin dato de Fudo para comparar","OK"))))))</f>
        <v/>
      </c>
      <c r="Q152" s="76">
        <f>IF($L152="","",ABS($L152)+ROW()/1000000)</f>
        <v/>
      </c>
      <c r="R152" s="76">
        <f>IF($O152="","",ABS($O152)+ROW()/1000000)</f>
        <v/>
      </c>
    </row>
    <row r="153">
      <c r="A153" s="38">
        <f>Insumos!$A153</f>
        <v/>
      </c>
      <c r="B153" s="39">
        <f>Insumos!$B153</f>
        <v/>
      </c>
      <c r="C153" s="40">
        <f>Insumos!$E153</f>
        <v/>
      </c>
      <c r="D153" s="41">
        <f>'1 Inv Inicial'!$G153</f>
        <v/>
      </c>
      <c r="E153" s="69">
        <f>SUMIFS('2 Ingresos'!$I$6:$I$255,'2 Ingresos'!$B$6:$B$255,$A153,'2 Ingresos'!$C$6:$C$255,$B153)</f>
        <v/>
      </c>
      <c r="F153" s="41">
        <f>'6 Inv Final'!$G153</f>
        <v/>
      </c>
      <c r="G153" s="70">
        <f>$D153+$E153-$F153</f>
        <v/>
      </c>
      <c r="H153" s="69">
        <f>SUMIFS('7 Facturas'!$F$6:$F$255,'7 Facturas'!$D$6:$D$255,$A153,'7 Facturas'!$E$6:$E$255,$B153)</f>
        <v/>
      </c>
      <c r="I153" s="69">
        <f>$E153-$H153</f>
        <v/>
      </c>
      <c r="J153" s="69">
        <f>IFERROR(INDEX('8 Fudo Stock'!$H$6:$H$205,MATCH($A153&amp;" | "&amp;$B153,'8 Fudo Stock'!$I$6:$I$205,0)),"")</f>
        <v/>
      </c>
      <c r="K153" s="69">
        <f>IF($J153="","",$G153-$J153)</f>
        <v/>
      </c>
      <c r="L153" s="71">
        <f>IF(OR($J153="",$J153=0),"",$K153/$J153)</f>
        <v/>
      </c>
      <c r="M153" s="72">
        <f>IF(Insumos!$H153="","",Insumos!$H153)</f>
        <v/>
      </c>
      <c r="N153" s="73">
        <f>IF($M153="","",$G153*$M153)</f>
        <v/>
      </c>
      <c r="O153" s="74">
        <f>IF(OR($M153="",$K153=""),"",$K153*$M153)</f>
        <v/>
      </c>
      <c r="P153" s="75">
        <f>IF(AND('1 Inv Inicial'!$E153="",'1 Inv Inicial'!$F153=""),"Falta inventario inicial",IF(AND('6 Inv Final'!$E153="",'6 Inv Final'!$F153=""),"Falta inventario final",IF($G153&lt;0,"Consumo negativo: entro mercaderia sin registrar",IF(AND($L153&lt;&gt;"",ABS($L153)&gt;Config!$B$46),"Desvio alto vs Fudo: investigar",IF(AND($H153&gt;0,ABS($I153)/$H153&gt;Config!$B$46),"Lo recibido no coincide con la factura",IF(AND($J153="",$G153&gt;0),"Sin dato de Fudo para comparar","OK"))))))</f>
        <v/>
      </c>
      <c r="Q153" s="76">
        <f>IF($L153="","",ABS($L153)+ROW()/1000000)</f>
        <v/>
      </c>
      <c r="R153" s="76">
        <f>IF($O153="","",ABS($O153)+ROW()/1000000)</f>
        <v/>
      </c>
    </row>
    <row r="154">
      <c r="A154" s="43">
        <f>Insumos!$A154</f>
        <v/>
      </c>
      <c r="B154" s="44">
        <f>Insumos!$B154</f>
        <v/>
      </c>
      <c r="C154" s="45">
        <f>Insumos!$E154</f>
        <v/>
      </c>
      <c r="D154" s="41">
        <f>'1 Inv Inicial'!$G154</f>
        <v/>
      </c>
      <c r="E154" s="69">
        <f>SUMIFS('2 Ingresos'!$I$6:$I$255,'2 Ingresos'!$B$6:$B$255,$A154,'2 Ingresos'!$C$6:$C$255,$B154)</f>
        <v/>
      </c>
      <c r="F154" s="41">
        <f>'6 Inv Final'!$G154</f>
        <v/>
      </c>
      <c r="G154" s="70">
        <f>$D154+$E154-$F154</f>
        <v/>
      </c>
      <c r="H154" s="69">
        <f>SUMIFS('7 Facturas'!$F$6:$F$255,'7 Facturas'!$D$6:$D$255,$A154,'7 Facturas'!$E$6:$E$255,$B154)</f>
        <v/>
      </c>
      <c r="I154" s="69">
        <f>$E154-$H154</f>
        <v/>
      </c>
      <c r="J154" s="69">
        <f>IFERROR(INDEX('8 Fudo Stock'!$H$6:$H$205,MATCH($A154&amp;" | "&amp;$B154,'8 Fudo Stock'!$I$6:$I$205,0)),"")</f>
        <v/>
      </c>
      <c r="K154" s="69">
        <f>IF($J154="","",$G154-$J154)</f>
        <v/>
      </c>
      <c r="L154" s="71">
        <f>IF(OR($J154="",$J154=0),"",$K154/$J154)</f>
        <v/>
      </c>
      <c r="M154" s="72">
        <f>IF(Insumos!$H154="","",Insumos!$H154)</f>
        <v/>
      </c>
      <c r="N154" s="73">
        <f>IF($M154="","",$G154*$M154)</f>
        <v/>
      </c>
      <c r="O154" s="74">
        <f>IF(OR($M154="",$K154=""),"",$K154*$M154)</f>
        <v/>
      </c>
      <c r="P154" s="75">
        <f>IF(AND('1 Inv Inicial'!$E154="",'1 Inv Inicial'!$F154=""),"Falta inventario inicial",IF(AND('6 Inv Final'!$E154="",'6 Inv Final'!$F154=""),"Falta inventario final",IF($G154&lt;0,"Consumo negativo: entro mercaderia sin registrar",IF(AND($L154&lt;&gt;"",ABS($L154)&gt;Config!$B$46),"Desvio alto vs Fudo: investigar",IF(AND($H154&gt;0,ABS($I154)/$H154&gt;Config!$B$46),"Lo recibido no coincide con la factura",IF(AND($J154="",$G154&gt;0),"Sin dato de Fudo para comparar","OK"))))))</f>
        <v/>
      </c>
      <c r="Q154" s="76">
        <f>IF($L154="","",ABS($L154)+ROW()/1000000)</f>
        <v/>
      </c>
      <c r="R154" s="76">
        <f>IF($O154="","",ABS($O154)+ROW()/1000000)</f>
        <v/>
      </c>
    </row>
    <row r="155">
      <c r="A155" s="38">
        <f>Insumos!$A155</f>
        <v/>
      </c>
      <c r="B155" s="39">
        <f>Insumos!$B155</f>
        <v/>
      </c>
      <c r="C155" s="40">
        <f>Insumos!$E155</f>
        <v/>
      </c>
      <c r="D155" s="41">
        <f>'1 Inv Inicial'!$G155</f>
        <v/>
      </c>
      <c r="E155" s="69">
        <f>SUMIFS('2 Ingresos'!$I$6:$I$255,'2 Ingresos'!$B$6:$B$255,$A155,'2 Ingresos'!$C$6:$C$255,$B155)</f>
        <v/>
      </c>
      <c r="F155" s="41">
        <f>'6 Inv Final'!$G155</f>
        <v/>
      </c>
      <c r="G155" s="70">
        <f>$D155+$E155-$F155</f>
        <v/>
      </c>
      <c r="H155" s="69">
        <f>SUMIFS('7 Facturas'!$F$6:$F$255,'7 Facturas'!$D$6:$D$255,$A155,'7 Facturas'!$E$6:$E$255,$B155)</f>
        <v/>
      </c>
      <c r="I155" s="69">
        <f>$E155-$H155</f>
        <v/>
      </c>
      <c r="J155" s="69">
        <f>IFERROR(INDEX('8 Fudo Stock'!$H$6:$H$205,MATCH($A155&amp;" | "&amp;$B155,'8 Fudo Stock'!$I$6:$I$205,0)),"")</f>
        <v/>
      </c>
      <c r="K155" s="69">
        <f>IF($J155="","",$G155-$J155)</f>
        <v/>
      </c>
      <c r="L155" s="71">
        <f>IF(OR($J155="",$J155=0),"",$K155/$J155)</f>
        <v/>
      </c>
      <c r="M155" s="72">
        <f>IF(Insumos!$H155="","",Insumos!$H155)</f>
        <v/>
      </c>
      <c r="N155" s="73">
        <f>IF($M155="","",$G155*$M155)</f>
        <v/>
      </c>
      <c r="O155" s="74">
        <f>IF(OR($M155="",$K155=""),"",$K155*$M155)</f>
        <v/>
      </c>
      <c r="P155" s="75">
        <f>IF(AND('1 Inv Inicial'!$E155="",'1 Inv Inicial'!$F155=""),"Falta inventario inicial",IF(AND('6 Inv Final'!$E155="",'6 Inv Final'!$F155=""),"Falta inventario final",IF($G155&lt;0,"Consumo negativo: entro mercaderia sin registrar",IF(AND($L155&lt;&gt;"",ABS($L155)&gt;Config!$B$46),"Desvio alto vs Fudo: investigar",IF(AND($H155&gt;0,ABS($I155)/$H155&gt;Config!$B$46),"Lo recibido no coincide con la factura",IF(AND($J155="",$G155&gt;0),"Sin dato de Fudo para comparar","OK"))))))</f>
        <v/>
      </c>
      <c r="Q155" s="76">
        <f>IF($L155="","",ABS($L155)+ROW()/1000000)</f>
        <v/>
      </c>
      <c r="R155" s="76">
        <f>IF($O155="","",ABS($O155)+ROW()/1000000)</f>
        <v/>
      </c>
    </row>
    <row r="156">
      <c r="A156" s="43">
        <f>Insumos!$A156</f>
        <v/>
      </c>
      <c r="B156" s="44">
        <f>Insumos!$B156</f>
        <v/>
      </c>
      <c r="C156" s="45">
        <f>Insumos!$E156</f>
        <v/>
      </c>
      <c r="D156" s="41">
        <f>'1 Inv Inicial'!$G156</f>
        <v/>
      </c>
      <c r="E156" s="69">
        <f>SUMIFS('2 Ingresos'!$I$6:$I$255,'2 Ingresos'!$B$6:$B$255,$A156,'2 Ingresos'!$C$6:$C$255,$B156)</f>
        <v/>
      </c>
      <c r="F156" s="41">
        <f>'6 Inv Final'!$G156</f>
        <v/>
      </c>
      <c r="G156" s="70">
        <f>$D156+$E156-$F156</f>
        <v/>
      </c>
      <c r="H156" s="69">
        <f>SUMIFS('7 Facturas'!$F$6:$F$255,'7 Facturas'!$D$6:$D$255,$A156,'7 Facturas'!$E$6:$E$255,$B156)</f>
        <v/>
      </c>
      <c r="I156" s="69">
        <f>$E156-$H156</f>
        <v/>
      </c>
      <c r="J156" s="69">
        <f>IFERROR(INDEX('8 Fudo Stock'!$H$6:$H$205,MATCH($A156&amp;" | "&amp;$B156,'8 Fudo Stock'!$I$6:$I$205,0)),"")</f>
        <v/>
      </c>
      <c r="K156" s="69">
        <f>IF($J156="","",$G156-$J156)</f>
        <v/>
      </c>
      <c r="L156" s="71">
        <f>IF(OR($J156="",$J156=0),"",$K156/$J156)</f>
        <v/>
      </c>
      <c r="M156" s="72">
        <f>IF(Insumos!$H156="","",Insumos!$H156)</f>
        <v/>
      </c>
      <c r="N156" s="73">
        <f>IF($M156="","",$G156*$M156)</f>
        <v/>
      </c>
      <c r="O156" s="74">
        <f>IF(OR($M156="",$K156=""),"",$K156*$M156)</f>
        <v/>
      </c>
      <c r="P156" s="75">
        <f>IF(AND('1 Inv Inicial'!$E156="",'1 Inv Inicial'!$F156=""),"Falta inventario inicial",IF(AND('6 Inv Final'!$E156="",'6 Inv Final'!$F156=""),"Falta inventario final",IF($G156&lt;0,"Consumo negativo: entro mercaderia sin registrar",IF(AND($L156&lt;&gt;"",ABS($L156)&gt;Config!$B$46),"Desvio alto vs Fudo: investigar",IF(AND($H156&gt;0,ABS($I156)/$H156&gt;Config!$B$46),"Lo recibido no coincide con la factura",IF(AND($J156="",$G156&gt;0),"Sin dato de Fudo para comparar","OK"))))))</f>
        <v/>
      </c>
      <c r="Q156" s="76">
        <f>IF($L156="","",ABS($L156)+ROW()/1000000)</f>
        <v/>
      </c>
      <c r="R156" s="76">
        <f>IF($O156="","",ABS($O156)+ROW()/1000000)</f>
        <v/>
      </c>
    </row>
    <row r="157">
      <c r="A157" s="38">
        <f>Insumos!$A157</f>
        <v/>
      </c>
      <c r="B157" s="39">
        <f>Insumos!$B157</f>
        <v/>
      </c>
      <c r="C157" s="40">
        <f>Insumos!$E157</f>
        <v/>
      </c>
      <c r="D157" s="41">
        <f>'1 Inv Inicial'!$G157</f>
        <v/>
      </c>
      <c r="E157" s="69">
        <f>SUMIFS('2 Ingresos'!$I$6:$I$255,'2 Ingresos'!$B$6:$B$255,$A157,'2 Ingresos'!$C$6:$C$255,$B157)</f>
        <v/>
      </c>
      <c r="F157" s="41">
        <f>'6 Inv Final'!$G157</f>
        <v/>
      </c>
      <c r="G157" s="70">
        <f>$D157+$E157-$F157</f>
        <v/>
      </c>
      <c r="H157" s="69">
        <f>SUMIFS('7 Facturas'!$F$6:$F$255,'7 Facturas'!$D$6:$D$255,$A157,'7 Facturas'!$E$6:$E$255,$B157)</f>
        <v/>
      </c>
      <c r="I157" s="69">
        <f>$E157-$H157</f>
        <v/>
      </c>
      <c r="J157" s="69">
        <f>IFERROR(INDEX('8 Fudo Stock'!$H$6:$H$205,MATCH($A157&amp;" | "&amp;$B157,'8 Fudo Stock'!$I$6:$I$205,0)),"")</f>
        <v/>
      </c>
      <c r="K157" s="69">
        <f>IF($J157="","",$G157-$J157)</f>
        <v/>
      </c>
      <c r="L157" s="71">
        <f>IF(OR($J157="",$J157=0),"",$K157/$J157)</f>
        <v/>
      </c>
      <c r="M157" s="72">
        <f>IF(Insumos!$H157="","",Insumos!$H157)</f>
        <v/>
      </c>
      <c r="N157" s="73">
        <f>IF($M157="","",$G157*$M157)</f>
        <v/>
      </c>
      <c r="O157" s="74">
        <f>IF(OR($M157="",$K157=""),"",$K157*$M157)</f>
        <v/>
      </c>
      <c r="P157" s="75">
        <f>IF(AND('1 Inv Inicial'!$E157="",'1 Inv Inicial'!$F157=""),"Falta inventario inicial",IF(AND('6 Inv Final'!$E157="",'6 Inv Final'!$F157=""),"Falta inventario final",IF($G157&lt;0,"Consumo negativo: entro mercaderia sin registrar",IF(AND($L157&lt;&gt;"",ABS($L157)&gt;Config!$B$46),"Desvio alto vs Fudo: investigar",IF(AND($H157&gt;0,ABS($I157)/$H157&gt;Config!$B$46),"Lo recibido no coincide con la factura",IF(AND($J157="",$G157&gt;0),"Sin dato de Fudo para comparar","OK"))))))</f>
        <v/>
      </c>
      <c r="Q157" s="76">
        <f>IF($L157="","",ABS($L157)+ROW()/1000000)</f>
        <v/>
      </c>
      <c r="R157" s="76">
        <f>IF($O157="","",ABS($O157)+ROW()/1000000)</f>
        <v/>
      </c>
    </row>
    <row r="158">
      <c r="A158" s="43">
        <f>Insumos!$A158</f>
        <v/>
      </c>
      <c r="B158" s="44">
        <f>Insumos!$B158</f>
        <v/>
      </c>
      <c r="C158" s="45">
        <f>Insumos!$E158</f>
        <v/>
      </c>
      <c r="D158" s="41">
        <f>'1 Inv Inicial'!$G158</f>
        <v/>
      </c>
      <c r="E158" s="69">
        <f>SUMIFS('2 Ingresos'!$I$6:$I$255,'2 Ingresos'!$B$6:$B$255,$A158,'2 Ingresos'!$C$6:$C$255,$B158)</f>
        <v/>
      </c>
      <c r="F158" s="41">
        <f>'6 Inv Final'!$G158</f>
        <v/>
      </c>
      <c r="G158" s="70">
        <f>$D158+$E158-$F158</f>
        <v/>
      </c>
      <c r="H158" s="69">
        <f>SUMIFS('7 Facturas'!$F$6:$F$255,'7 Facturas'!$D$6:$D$255,$A158,'7 Facturas'!$E$6:$E$255,$B158)</f>
        <v/>
      </c>
      <c r="I158" s="69">
        <f>$E158-$H158</f>
        <v/>
      </c>
      <c r="J158" s="69">
        <f>IFERROR(INDEX('8 Fudo Stock'!$H$6:$H$205,MATCH($A158&amp;" | "&amp;$B158,'8 Fudo Stock'!$I$6:$I$205,0)),"")</f>
        <v/>
      </c>
      <c r="K158" s="69">
        <f>IF($J158="","",$G158-$J158)</f>
        <v/>
      </c>
      <c r="L158" s="71">
        <f>IF(OR($J158="",$J158=0),"",$K158/$J158)</f>
        <v/>
      </c>
      <c r="M158" s="72">
        <f>IF(Insumos!$H158="","",Insumos!$H158)</f>
        <v/>
      </c>
      <c r="N158" s="73">
        <f>IF($M158="","",$G158*$M158)</f>
        <v/>
      </c>
      <c r="O158" s="74">
        <f>IF(OR($M158="",$K158=""),"",$K158*$M158)</f>
        <v/>
      </c>
      <c r="P158" s="75">
        <f>IF(AND('1 Inv Inicial'!$E158="",'1 Inv Inicial'!$F158=""),"Falta inventario inicial",IF(AND('6 Inv Final'!$E158="",'6 Inv Final'!$F158=""),"Falta inventario final",IF($G158&lt;0,"Consumo negativo: entro mercaderia sin registrar",IF(AND($L158&lt;&gt;"",ABS($L158)&gt;Config!$B$46),"Desvio alto vs Fudo: investigar",IF(AND($H158&gt;0,ABS($I158)/$H158&gt;Config!$B$46),"Lo recibido no coincide con la factura",IF(AND($J158="",$G158&gt;0),"Sin dato de Fudo para comparar","OK"))))))</f>
        <v/>
      </c>
      <c r="Q158" s="76">
        <f>IF($L158="","",ABS($L158)+ROW()/1000000)</f>
        <v/>
      </c>
      <c r="R158" s="76">
        <f>IF($O158="","",ABS($O158)+ROW()/1000000)</f>
        <v/>
      </c>
    </row>
    <row r="159">
      <c r="A159" s="38">
        <f>Insumos!$A159</f>
        <v/>
      </c>
      <c r="B159" s="39">
        <f>Insumos!$B159</f>
        <v/>
      </c>
      <c r="C159" s="40">
        <f>Insumos!$E159</f>
        <v/>
      </c>
      <c r="D159" s="41">
        <f>'1 Inv Inicial'!$G159</f>
        <v/>
      </c>
      <c r="E159" s="69">
        <f>SUMIFS('2 Ingresos'!$I$6:$I$255,'2 Ingresos'!$B$6:$B$255,$A159,'2 Ingresos'!$C$6:$C$255,$B159)</f>
        <v/>
      </c>
      <c r="F159" s="41">
        <f>'6 Inv Final'!$G159</f>
        <v/>
      </c>
      <c r="G159" s="70">
        <f>$D159+$E159-$F159</f>
        <v/>
      </c>
      <c r="H159" s="69">
        <f>SUMIFS('7 Facturas'!$F$6:$F$255,'7 Facturas'!$D$6:$D$255,$A159,'7 Facturas'!$E$6:$E$255,$B159)</f>
        <v/>
      </c>
      <c r="I159" s="69">
        <f>$E159-$H159</f>
        <v/>
      </c>
      <c r="J159" s="69">
        <f>IFERROR(INDEX('8 Fudo Stock'!$H$6:$H$205,MATCH($A159&amp;" | "&amp;$B159,'8 Fudo Stock'!$I$6:$I$205,0)),"")</f>
        <v/>
      </c>
      <c r="K159" s="69">
        <f>IF($J159="","",$G159-$J159)</f>
        <v/>
      </c>
      <c r="L159" s="71">
        <f>IF(OR($J159="",$J159=0),"",$K159/$J159)</f>
        <v/>
      </c>
      <c r="M159" s="72">
        <f>IF(Insumos!$H159="","",Insumos!$H159)</f>
        <v/>
      </c>
      <c r="N159" s="73">
        <f>IF($M159="","",$G159*$M159)</f>
        <v/>
      </c>
      <c r="O159" s="74">
        <f>IF(OR($M159="",$K159=""),"",$K159*$M159)</f>
        <v/>
      </c>
      <c r="P159" s="75">
        <f>IF(AND('1 Inv Inicial'!$E159="",'1 Inv Inicial'!$F159=""),"Falta inventario inicial",IF(AND('6 Inv Final'!$E159="",'6 Inv Final'!$F159=""),"Falta inventario final",IF($G159&lt;0,"Consumo negativo: entro mercaderia sin registrar",IF(AND($L159&lt;&gt;"",ABS($L159)&gt;Config!$B$46),"Desvio alto vs Fudo: investigar",IF(AND($H159&gt;0,ABS($I159)/$H159&gt;Config!$B$46),"Lo recibido no coincide con la factura",IF(AND($J159="",$G159&gt;0),"Sin dato de Fudo para comparar","OK"))))))</f>
        <v/>
      </c>
      <c r="Q159" s="76">
        <f>IF($L159="","",ABS($L159)+ROW()/1000000)</f>
        <v/>
      </c>
      <c r="R159" s="76">
        <f>IF($O159="","",ABS($O159)+ROW()/1000000)</f>
        <v/>
      </c>
    </row>
    <row r="160">
      <c r="A160" s="43">
        <f>Insumos!$A160</f>
        <v/>
      </c>
      <c r="B160" s="44">
        <f>Insumos!$B160</f>
        <v/>
      </c>
      <c r="C160" s="45">
        <f>Insumos!$E160</f>
        <v/>
      </c>
      <c r="D160" s="41">
        <f>'1 Inv Inicial'!$G160</f>
        <v/>
      </c>
      <c r="E160" s="69">
        <f>SUMIFS('2 Ingresos'!$I$6:$I$255,'2 Ingresos'!$B$6:$B$255,$A160,'2 Ingresos'!$C$6:$C$255,$B160)</f>
        <v/>
      </c>
      <c r="F160" s="41">
        <f>'6 Inv Final'!$G160</f>
        <v/>
      </c>
      <c r="G160" s="70">
        <f>$D160+$E160-$F160</f>
        <v/>
      </c>
      <c r="H160" s="69">
        <f>SUMIFS('7 Facturas'!$F$6:$F$255,'7 Facturas'!$D$6:$D$255,$A160,'7 Facturas'!$E$6:$E$255,$B160)</f>
        <v/>
      </c>
      <c r="I160" s="69">
        <f>$E160-$H160</f>
        <v/>
      </c>
      <c r="J160" s="69">
        <f>IFERROR(INDEX('8 Fudo Stock'!$H$6:$H$205,MATCH($A160&amp;" | "&amp;$B160,'8 Fudo Stock'!$I$6:$I$205,0)),"")</f>
        <v/>
      </c>
      <c r="K160" s="69">
        <f>IF($J160="","",$G160-$J160)</f>
        <v/>
      </c>
      <c r="L160" s="71">
        <f>IF(OR($J160="",$J160=0),"",$K160/$J160)</f>
        <v/>
      </c>
      <c r="M160" s="72">
        <f>IF(Insumos!$H160="","",Insumos!$H160)</f>
        <v/>
      </c>
      <c r="N160" s="73">
        <f>IF($M160="","",$G160*$M160)</f>
        <v/>
      </c>
      <c r="O160" s="74">
        <f>IF(OR($M160="",$K160=""),"",$K160*$M160)</f>
        <v/>
      </c>
      <c r="P160" s="75">
        <f>IF(AND('1 Inv Inicial'!$E160="",'1 Inv Inicial'!$F160=""),"Falta inventario inicial",IF(AND('6 Inv Final'!$E160="",'6 Inv Final'!$F160=""),"Falta inventario final",IF($G160&lt;0,"Consumo negativo: entro mercaderia sin registrar",IF(AND($L160&lt;&gt;"",ABS($L160)&gt;Config!$B$46),"Desvio alto vs Fudo: investigar",IF(AND($H160&gt;0,ABS($I160)/$H160&gt;Config!$B$46),"Lo recibido no coincide con la factura",IF(AND($J160="",$G160&gt;0),"Sin dato de Fudo para comparar","OK"))))))</f>
        <v/>
      </c>
      <c r="Q160" s="76">
        <f>IF($L160="","",ABS($L160)+ROW()/1000000)</f>
        <v/>
      </c>
      <c r="R160" s="76">
        <f>IF($O160="","",ABS($O160)+ROW()/1000000)</f>
        <v/>
      </c>
    </row>
    <row r="161">
      <c r="A161" s="38">
        <f>Insumos!$A161</f>
        <v/>
      </c>
      <c r="B161" s="39">
        <f>Insumos!$B161</f>
        <v/>
      </c>
      <c r="C161" s="40">
        <f>Insumos!$E161</f>
        <v/>
      </c>
      <c r="D161" s="41">
        <f>'1 Inv Inicial'!$G161</f>
        <v/>
      </c>
      <c r="E161" s="69">
        <f>SUMIFS('2 Ingresos'!$I$6:$I$255,'2 Ingresos'!$B$6:$B$255,$A161,'2 Ingresos'!$C$6:$C$255,$B161)</f>
        <v/>
      </c>
      <c r="F161" s="41">
        <f>'6 Inv Final'!$G161</f>
        <v/>
      </c>
      <c r="G161" s="70">
        <f>$D161+$E161-$F161</f>
        <v/>
      </c>
      <c r="H161" s="69">
        <f>SUMIFS('7 Facturas'!$F$6:$F$255,'7 Facturas'!$D$6:$D$255,$A161,'7 Facturas'!$E$6:$E$255,$B161)</f>
        <v/>
      </c>
      <c r="I161" s="69">
        <f>$E161-$H161</f>
        <v/>
      </c>
      <c r="J161" s="69">
        <f>IFERROR(INDEX('8 Fudo Stock'!$H$6:$H$205,MATCH($A161&amp;" | "&amp;$B161,'8 Fudo Stock'!$I$6:$I$205,0)),"")</f>
        <v/>
      </c>
      <c r="K161" s="69">
        <f>IF($J161="","",$G161-$J161)</f>
        <v/>
      </c>
      <c r="L161" s="71">
        <f>IF(OR($J161="",$J161=0),"",$K161/$J161)</f>
        <v/>
      </c>
      <c r="M161" s="72">
        <f>IF(Insumos!$H161="","",Insumos!$H161)</f>
        <v/>
      </c>
      <c r="N161" s="73">
        <f>IF($M161="","",$G161*$M161)</f>
        <v/>
      </c>
      <c r="O161" s="74">
        <f>IF(OR($M161="",$K161=""),"",$K161*$M161)</f>
        <v/>
      </c>
      <c r="P161" s="75">
        <f>IF(AND('1 Inv Inicial'!$E161="",'1 Inv Inicial'!$F161=""),"Falta inventario inicial",IF(AND('6 Inv Final'!$E161="",'6 Inv Final'!$F161=""),"Falta inventario final",IF($G161&lt;0,"Consumo negativo: entro mercaderia sin registrar",IF(AND($L161&lt;&gt;"",ABS($L161)&gt;Config!$B$46),"Desvio alto vs Fudo: investigar",IF(AND($H161&gt;0,ABS($I161)/$H161&gt;Config!$B$46),"Lo recibido no coincide con la factura",IF(AND($J161="",$G161&gt;0),"Sin dato de Fudo para comparar","OK"))))))</f>
        <v/>
      </c>
      <c r="Q161" s="76">
        <f>IF($L161="","",ABS($L161)+ROW()/1000000)</f>
        <v/>
      </c>
      <c r="R161" s="76">
        <f>IF($O161="","",ABS($O161)+ROW()/1000000)</f>
        <v/>
      </c>
    </row>
    <row r="162">
      <c r="A162" s="43">
        <f>Insumos!$A162</f>
        <v/>
      </c>
      <c r="B162" s="44">
        <f>Insumos!$B162</f>
        <v/>
      </c>
      <c r="C162" s="45">
        <f>Insumos!$E162</f>
        <v/>
      </c>
      <c r="D162" s="41">
        <f>'1 Inv Inicial'!$G162</f>
        <v/>
      </c>
      <c r="E162" s="69">
        <f>SUMIFS('2 Ingresos'!$I$6:$I$255,'2 Ingresos'!$B$6:$B$255,$A162,'2 Ingresos'!$C$6:$C$255,$B162)</f>
        <v/>
      </c>
      <c r="F162" s="41">
        <f>'6 Inv Final'!$G162</f>
        <v/>
      </c>
      <c r="G162" s="70">
        <f>$D162+$E162-$F162</f>
        <v/>
      </c>
      <c r="H162" s="69">
        <f>SUMIFS('7 Facturas'!$F$6:$F$255,'7 Facturas'!$D$6:$D$255,$A162,'7 Facturas'!$E$6:$E$255,$B162)</f>
        <v/>
      </c>
      <c r="I162" s="69">
        <f>$E162-$H162</f>
        <v/>
      </c>
      <c r="J162" s="69">
        <f>IFERROR(INDEX('8 Fudo Stock'!$H$6:$H$205,MATCH($A162&amp;" | "&amp;$B162,'8 Fudo Stock'!$I$6:$I$205,0)),"")</f>
        <v/>
      </c>
      <c r="K162" s="69">
        <f>IF($J162="","",$G162-$J162)</f>
        <v/>
      </c>
      <c r="L162" s="71">
        <f>IF(OR($J162="",$J162=0),"",$K162/$J162)</f>
        <v/>
      </c>
      <c r="M162" s="72">
        <f>IF(Insumos!$H162="","",Insumos!$H162)</f>
        <v/>
      </c>
      <c r="N162" s="73">
        <f>IF($M162="","",$G162*$M162)</f>
        <v/>
      </c>
      <c r="O162" s="74">
        <f>IF(OR($M162="",$K162=""),"",$K162*$M162)</f>
        <v/>
      </c>
      <c r="P162" s="75">
        <f>IF(AND('1 Inv Inicial'!$E162="",'1 Inv Inicial'!$F162=""),"Falta inventario inicial",IF(AND('6 Inv Final'!$E162="",'6 Inv Final'!$F162=""),"Falta inventario final",IF($G162&lt;0,"Consumo negativo: entro mercaderia sin registrar",IF(AND($L162&lt;&gt;"",ABS($L162)&gt;Config!$B$46),"Desvio alto vs Fudo: investigar",IF(AND($H162&gt;0,ABS($I162)/$H162&gt;Config!$B$46),"Lo recibido no coincide con la factura",IF(AND($J162="",$G162&gt;0),"Sin dato de Fudo para comparar","OK"))))))</f>
        <v/>
      </c>
      <c r="Q162" s="76">
        <f>IF($L162="","",ABS($L162)+ROW()/1000000)</f>
        <v/>
      </c>
      <c r="R162" s="76">
        <f>IF($O162="","",ABS($O162)+ROW()/1000000)</f>
        <v/>
      </c>
    </row>
    <row r="163">
      <c r="A163" s="38">
        <f>Insumos!$A163</f>
        <v/>
      </c>
      <c r="B163" s="39">
        <f>Insumos!$B163</f>
        <v/>
      </c>
      <c r="C163" s="40">
        <f>Insumos!$E163</f>
        <v/>
      </c>
      <c r="D163" s="41">
        <f>'1 Inv Inicial'!$G163</f>
        <v/>
      </c>
      <c r="E163" s="69">
        <f>SUMIFS('2 Ingresos'!$I$6:$I$255,'2 Ingresos'!$B$6:$B$255,$A163,'2 Ingresos'!$C$6:$C$255,$B163)</f>
        <v/>
      </c>
      <c r="F163" s="41">
        <f>'6 Inv Final'!$G163</f>
        <v/>
      </c>
      <c r="G163" s="70">
        <f>$D163+$E163-$F163</f>
        <v/>
      </c>
      <c r="H163" s="69">
        <f>SUMIFS('7 Facturas'!$F$6:$F$255,'7 Facturas'!$D$6:$D$255,$A163,'7 Facturas'!$E$6:$E$255,$B163)</f>
        <v/>
      </c>
      <c r="I163" s="69">
        <f>$E163-$H163</f>
        <v/>
      </c>
      <c r="J163" s="69">
        <f>IFERROR(INDEX('8 Fudo Stock'!$H$6:$H$205,MATCH($A163&amp;" | "&amp;$B163,'8 Fudo Stock'!$I$6:$I$205,0)),"")</f>
        <v/>
      </c>
      <c r="K163" s="69">
        <f>IF($J163="","",$G163-$J163)</f>
        <v/>
      </c>
      <c r="L163" s="71">
        <f>IF(OR($J163="",$J163=0),"",$K163/$J163)</f>
        <v/>
      </c>
      <c r="M163" s="72">
        <f>IF(Insumos!$H163="","",Insumos!$H163)</f>
        <v/>
      </c>
      <c r="N163" s="73">
        <f>IF($M163="","",$G163*$M163)</f>
        <v/>
      </c>
      <c r="O163" s="74">
        <f>IF(OR($M163="",$K163=""),"",$K163*$M163)</f>
        <v/>
      </c>
      <c r="P163" s="75">
        <f>IF(AND('1 Inv Inicial'!$E163="",'1 Inv Inicial'!$F163=""),"Falta inventario inicial",IF(AND('6 Inv Final'!$E163="",'6 Inv Final'!$F163=""),"Falta inventario final",IF($G163&lt;0,"Consumo negativo: entro mercaderia sin registrar",IF(AND($L163&lt;&gt;"",ABS($L163)&gt;Config!$B$46),"Desvio alto vs Fudo: investigar",IF(AND($H163&gt;0,ABS($I163)/$H163&gt;Config!$B$46),"Lo recibido no coincide con la factura",IF(AND($J163="",$G163&gt;0),"Sin dato de Fudo para comparar","OK"))))))</f>
        <v/>
      </c>
      <c r="Q163" s="76">
        <f>IF($L163="","",ABS($L163)+ROW()/1000000)</f>
        <v/>
      </c>
      <c r="R163" s="76">
        <f>IF($O163="","",ABS($O163)+ROW()/1000000)</f>
        <v/>
      </c>
    </row>
    <row r="164">
      <c r="A164" s="77" t="inlineStr">
        <is>
          <t>TOTALES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67">
        <f>SUM(N$5:N$163)</f>
        <v/>
      </c>
      <c r="O164" s="67">
        <f>SUM(O$5:O$163)</f>
        <v/>
      </c>
      <c r="P164" s="78">
        <f>COUNTIF($P$5:$P$163,"OK")&amp;" de 159 insumos OK"</f>
        <v/>
      </c>
    </row>
  </sheetData>
  <autoFilter ref="A4:P163"/>
  <mergeCells count="3">
    <mergeCell ref="A1:P1"/>
    <mergeCell ref="A3:P3"/>
    <mergeCell ref="A2:P2"/>
  </mergeCells>
  <conditionalFormatting sqref="P5:P163">
    <cfRule type="cellIs" priority="1" operator="equal" dxfId="4">
      <formula>"OK"</formula>
    </cfRule>
    <cfRule type="expression" priority="2" dxfId="2">
      <formula>AND($P5&lt;&gt;"",$P5&lt;&gt;"OK")</formula>
    </cfRule>
  </conditionalFormatting>
  <conditionalFormatting sqref="L5:L163">
    <cfRule type="expression" priority="3" dxfId="3">
      <formula>AND($L5&lt;&gt;"",ABS($L5)&gt;Config!$B$46)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M2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3" customWidth="1" min="9" max="9"/>
    <col width="15" customWidth="1" min="10" max="10"/>
    <col width="10" customWidth="1" min="11" max="11"/>
    <col width="34" customWidth="1" min="12" max="12"/>
    <col hidden="1" width="8" customWidth="1" min="13" max="13"/>
  </cols>
  <sheetData>
    <row r="1" ht="30" customHeight="1">
      <c r="A1" s="1" t="inlineStr">
        <is>
          <t>ANALISIS B · CONCILIACION DE PRODUCTOS ELABORADOS</t>
        </is>
      </c>
    </row>
    <row r="2" ht="18" customHeight="1">
      <c r="A2" s="2" t="inlineStr">
        <is>
          <t>ELABORADO - VENDIDO (Fudo) - CONSUMO INTERNO (Fudo) - DESCARTE DECLARADO = DIFERENCIA SIN EXPLICAR.</t>
        </is>
      </c>
    </row>
    <row r="3" ht="18" customHeight="1">
      <c r="A3" s="3" t="inlineStr">
        <is>
          <t>OJO: no se lleva stock de producto terminado, asi que la diferencia incluye lo que quedo en exhibicion. Lea la TENDENCIA y los casos grandes, no el numero exacto.</t>
        </is>
      </c>
    </row>
    <row r="4" ht="38" customHeight="1">
      <c r="A4" s="6" t="inlineStr">
        <is>
          <t>AREA</t>
        </is>
      </c>
      <c r="B4" s="6" t="inlineStr">
        <is>
          <t>PRODUCTO</t>
        </is>
      </c>
      <c r="C4" s="6" t="inlineStr">
        <is>
          <t>UNID.</t>
        </is>
      </c>
      <c r="D4" s="6" t="inlineStr">
        <is>
          <t>ELABORADO
(planilla 4)</t>
        </is>
      </c>
      <c r="E4" s="6" t="inlineStr">
        <is>
          <t>VENDIDO
(Fudo)</t>
        </is>
      </c>
      <c r="F4" s="6" t="inlineStr">
        <is>
          <t>CONSUMO INTERNO
(Fudo)</t>
        </is>
      </c>
      <c r="G4" s="6" t="inlineStr">
        <is>
          <t>DESCARTE
(planilla 4)</t>
        </is>
      </c>
      <c r="H4" s="6" t="inlineStr">
        <is>
          <t>DESCARTE DETALLADO
(planilla 5)</t>
        </is>
      </c>
      <c r="I4" s="6" t="inlineStr">
        <is>
          <t>DESCARTE SIN
DETALLAR</t>
        </is>
      </c>
      <c r="J4" s="6" t="inlineStr">
        <is>
          <t>DIFERENCIA SIN
EXPLICAR</t>
        </is>
      </c>
      <c r="K4" s="6" t="inlineStr">
        <is>
          <t>% S/ELAB.</t>
        </is>
      </c>
      <c r="L4" s="6" t="inlineStr">
        <is>
          <t>ALERTA</t>
        </is>
      </c>
      <c r="M4" s="6" t="inlineStr">
        <is>
          <t>k</t>
        </is>
      </c>
    </row>
    <row r="6">
      <c r="A6" s="27" t="inlineStr">
        <is>
          <t>Panadería</t>
        </is>
      </c>
      <c r="B6" s="23">
        <f>IF('4 Prod Panaderia'!$A6="","",'4 Prod Panaderia'!$A6)</f>
        <v/>
      </c>
      <c r="C6" s="40">
        <f>IF('4 Prod Panaderia'!$B6="","",'4 Prod Panaderia'!$B6)</f>
        <v/>
      </c>
      <c r="D6" s="79">
        <f>'4 Prod Panaderia'!$Q6</f>
        <v/>
      </c>
      <c r="E6" s="80">
        <f>IF($B6="","",SUMIFS('8 Fudo Ventas'!$B$6:$B$305,'8 Fudo Ventas'!$D$6:$D$305,$B6,'8 Fudo Ventas'!$C$6:$C$305,$A6))</f>
        <v/>
      </c>
      <c r="F6" s="80">
        <f>IF($B6="","",SUMIFS('8 Fudo Consumos'!$D$6:$D$255,'8 Fudo Consumos'!$B$6:$B$255,$B6,'8 Fudo Consumos'!$C$6:$C$255,$A6))</f>
        <v/>
      </c>
      <c r="G6" s="79">
        <f>'4 Prod Panaderia'!$R6</f>
        <v/>
      </c>
      <c r="H6" s="80">
        <f>IF($B6="","",SUMIFS('5 Descartes'!$D$6:$D$205,'5 Descartes'!$C$6:$C$205,$B6,'5 Descartes'!$B$6:$B$205,$A6))</f>
        <v/>
      </c>
      <c r="I6" s="80">
        <f>IF($B6="","",$G6-$H6)</f>
        <v/>
      </c>
      <c r="J6" s="81">
        <f>IF($B6="","",$D6-$E6-$F6-$G6)</f>
        <v/>
      </c>
      <c r="K6" s="71">
        <f>IF(OR($B6="",$D6=0),"",$J6/$D6)</f>
        <v/>
      </c>
      <c r="L6" s="75">
        <f>IF($B6="","",IF($D6=0,"Sin produccion registrada",IF($E6=0,"Sin ventas mapeadas en Fudo",IF(AND($K6&lt;&gt;"",ABS($K6)&gt;Config!$B$48),IF($J6&gt;0,"Salida sin explicar: consumo no registrado o faltante","Se vendio mas de lo elaborado: revisar stock previo"),IF($I6&lt;&gt;0,"Hay descarte sin detallar en la planilla 5","OK")))))</f>
        <v/>
      </c>
      <c r="M6" s="76">
        <f>IF($K6="","",ABS($K6)+ROW()/1000000)</f>
        <v/>
      </c>
    </row>
    <row r="7">
      <c r="A7" s="31" t="inlineStr">
        <is>
          <t>Panadería</t>
        </is>
      </c>
      <c r="B7" s="82">
        <f>IF('4 Prod Panaderia'!$A7="","",'4 Prod Panaderia'!$A7)</f>
        <v/>
      </c>
      <c r="C7" s="45">
        <f>IF('4 Prod Panaderia'!$B7="","",'4 Prod Panaderia'!$B7)</f>
        <v/>
      </c>
      <c r="D7" s="79">
        <f>'4 Prod Panaderia'!$Q7</f>
        <v/>
      </c>
      <c r="E7" s="80">
        <f>IF($B7="","",SUMIFS('8 Fudo Ventas'!$B$6:$B$305,'8 Fudo Ventas'!$D$6:$D$305,$B7,'8 Fudo Ventas'!$C$6:$C$305,$A7))</f>
        <v/>
      </c>
      <c r="F7" s="80">
        <f>IF($B7="","",SUMIFS('8 Fudo Consumos'!$D$6:$D$255,'8 Fudo Consumos'!$B$6:$B$255,$B7,'8 Fudo Consumos'!$C$6:$C$255,$A7))</f>
        <v/>
      </c>
      <c r="G7" s="79">
        <f>'4 Prod Panaderia'!$R7</f>
        <v/>
      </c>
      <c r="H7" s="80">
        <f>IF($B7="","",SUMIFS('5 Descartes'!$D$6:$D$205,'5 Descartes'!$C$6:$C$205,$B7,'5 Descartes'!$B$6:$B$205,$A7))</f>
        <v/>
      </c>
      <c r="I7" s="80">
        <f>IF($B7="","",$G7-$H7)</f>
        <v/>
      </c>
      <c r="J7" s="81">
        <f>IF($B7="","",$D7-$E7-$F7-$G7)</f>
        <v/>
      </c>
      <c r="K7" s="71">
        <f>IF(OR($B7="",$D7=0),"",$J7/$D7)</f>
        <v/>
      </c>
      <c r="L7" s="75">
        <f>IF($B7="","",IF($D7=0,"Sin produccion registrada",IF($E7=0,"Sin ventas mapeadas en Fudo",IF(AND($K7&lt;&gt;"",ABS($K7)&gt;Config!$B$48),IF($J7&gt;0,"Salida sin explicar: consumo no registrado o faltante","Se vendio mas de lo elaborado: revisar stock previo"),IF($I7&lt;&gt;0,"Hay descarte sin detallar en la planilla 5","OK")))))</f>
        <v/>
      </c>
      <c r="M7" s="76">
        <f>IF($K7="","",ABS($K7)+ROW()/1000000)</f>
        <v/>
      </c>
    </row>
    <row r="8">
      <c r="A8" s="27" t="inlineStr">
        <is>
          <t>Panadería</t>
        </is>
      </c>
      <c r="B8" s="23">
        <f>IF('4 Prod Panaderia'!$A8="","",'4 Prod Panaderia'!$A8)</f>
        <v/>
      </c>
      <c r="C8" s="40">
        <f>IF('4 Prod Panaderia'!$B8="","",'4 Prod Panaderia'!$B8)</f>
        <v/>
      </c>
      <c r="D8" s="79">
        <f>'4 Prod Panaderia'!$Q8</f>
        <v/>
      </c>
      <c r="E8" s="80">
        <f>IF($B8="","",SUMIFS('8 Fudo Ventas'!$B$6:$B$305,'8 Fudo Ventas'!$D$6:$D$305,$B8,'8 Fudo Ventas'!$C$6:$C$305,$A8))</f>
        <v/>
      </c>
      <c r="F8" s="80">
        <f>IF($B8="","",SUMIFS('8 Fudo Consumos'!$D$6:$D$255,'8 Fudo Consumos'!$B$6:$B$255,$B8,'8 Fudo Consumos'!$C$6:$C$255,$A8))</f>
        <v/>
      </c>
      <c r="G8" s="79">
        <f>'4 Prod Panaderia'!$R8</f>
        <v/>
      </c>
      <c r="H8" s="80">
        <f>IF($B8="","",SUMIFS('5 Descartes'!$D$6:$D$205,'5 Descartes'!$C$6:$C$205,$B8,'5 Descartes'!$B$6:$B$205,$A8))</f>
        <v/>
      </c>
      <c r="I8" s="80">
        <f>IF($B8="","",$G8-$H8)</f>
        <v/>
      </c>
      <c r="J8" s="81">
        <f>IF($B8="","",$D8-$E8-$F8-$G8)</f>
        <v/>
      </c>
      <c r="K8" s="71">
        <f>IF(OR($B8="",$D8=0),"",$J8/$D8)</f>
        <v/>
      </c>
      <c r="L8" s="75">
        <f>IF($B8="","",IF($D8=0,"Sin produccion registrada",IF($E8=0,"Sin ventas mapeadas en Fudo",IF(AND($K8&lt;&gt;"",ABS($K8)&gt;Config!$B$48),IF($J8&gt;0,"Salida sin explicar: consumo no registrado o faltante","Se vendio mas de lo elaborado: revisar stock previo"),IF($I8&lt;&gt;0,"Hay descarte sin detallar en la planilla 5","OK")))))</f>
        <v/>
      </c>
      <c r="M8" s="76">
        <f>IF($K8="","",ABS($K8)+ROW()/1000000)</f>
        <v/>
      </c>
    </row>
    <row r="9">
      <c r="A9" s="31" t="inlineStr">
        <is>
          <t>Panadería</t>
        </is>
      </c>
      <c r="B9" s="82">
        <f>IF('4 Prod Panaderia'!$A9="","",'4 Prod Panaderia'!$A9)</f>
        <v/>
      </c>
      <c r="C9" s="45">
        <f>IF('4 Prod Panaderia'!$B9="","",'4 Prod Panaderia'!$B9)</f>
        <v/>
      </c>
      <c r="D9" s="79">
        <f>'4 Prod Panaderia'!$Q9</f>
        <v/>
      </c>
      <c r="E9" s="80">
        <f>IF($B9="","",SUMIFS('8 Fudo Ventas'!$B$6:$B$305,'8 Fudo Ventas'!$D$6:$D$305,$B9,'8 Fudo Ventas'!$C$6:$C$305,$A9))</f>
        <v/>
      </c>
      <c r="F9" s="80">
        <f>IF($B9="","",SUMIFS('8 Fudo Consumos'!$D$6:$D$255,'8 Fudo Consumos'!$B$6:$B$255,$B9,'8 Fudo Consumos'!$C$6:$C$255,$A9))</f>
        <v/>
      </c>
      <c r="G9" s="79">
        <f>'4 Prod Panaderia'!$R9</f>
        <v/>
      </c>
      <c r="H9" s="80">
        <f>IF($B9="","",SUMIFS('5 Descartes'!$D$6:$D$205,'5 Descartes'!$C$6:$C$205,$B9,'5 Descartes'!$B$6:$B$205,$A9))</f>
        <v/>
      </c>
      <c r="I9" s="80">
        <f>IF($B9="","",$G9-$H9)</f>
        <v/>
      </c>
      <c r="J9" s="81">
        <f>IF($B9="","",$D9-$E9-$F9-$G9)</f>
        <v/>
      </c>
      <c r="K9" s="71">
        <f>IF(OR($B9="",$D9=0),"",$J9/$D9)</f>
        <v/>
      </c>
      <c r="L9" s="75">
        <f>IF($B9="","",IF($D9=0,"Sin produccion registrada",IF($E9=0,"Sin ventas mapeadas en Fudo",IF(AND($K9&lt;&gt;"",ABS($K9)&gt;Config!$B$48),IF($J9&gt;0,"Salida sin explicar: consumo no registrado o faltante","Se vendio mas de lo elaborado: revisar stock previo"),IF($I9&lt;&gt;0,"Hay descarte sin detallar en la planilla 5","OK")))))</f>
        <v/>
      </c>
      <c r="M9" s="76">
        <f>IF($K9="","",ABS($K9)+ROW()/1000000)</f>
        <v/>
      </c>
    </row>
    <row r="10">
      <c r="A10" s="27" t="inlineStr">
        <is>
          <t>Panadería</t>
        </is>
      </c>
      <c r="B10" s="23">
        <f>IF('4 Prod Panaderia'!$A10="","",'4 Prod Panaderia'!$A10)</f>
        <v/>
      </c>
      <c r="C10" s="40">
        <f>IF('4 Prod Panaderia'!$B10="","",'4 Prod Panaderia'!$B10)</f>
        <v/>
      </c>
      <c r="D10" s="79">
        <f>'4 Prod Panaderia'!$Q10</f>
        <v/>
      </c>
      <c r="E10" s="80">
        <f>IF($B10="","",SUMIFS('8 Fudo Ventas'!$B$6:$B$305,'8 Fudo Ventas'!$D$6:$D$305,$B10,'8 Fudo Ventas'!$C$6:$C$305,$A10))</f>
        <v/>
      </c>
      <c r="F10" s="80">
        <f>IF($B10="","",SUMIFS('8 Fudo Consumos'!$D$6:$D$255,'8 Fudo Consumos'!$B$6:$B$255,$B10,'8 Fudo Consumos'!$C$6:$C$255,$A10))</f>
        <v/>
      </c>
      <c r="G10" s="79">
        <f>'4 Prod Panaderia'!$R10</f>
        <v/>
      </c>
      <c r="H10" s="80">
        <f>IF($B10="","",SUMIFS('5 Descartes'!$D$6:$D$205,'5 Descartes'!$C$6:$C$205,$B10,'5 Descartes'!$B$6:$B$205,$A10))</f>
        <v/>
      </c>
      <c r="I10" s="80">
        <f>IF($B10="","",$G10-$H10)</f>
        <v/>
      </c>
      <c r="J10" s="81">
        <f>IF($B10="","",$D10-$E10-$F10-$G10)</f>
        <v/>
      </c>
      <c r="K10" s="71">
        <f>IF(OR($B10="",$D10=0),"",$J10/$D10)</f>
        <v/>
      </c>
      <c r="L10" s="75">
        <f>IF($B10="","",IF($D10=0,"Sin produccion registrada",IF($E10=0,"Sin ventas mapeadas en Fudo",IF(AND($K10&lt;&gt;"",ABS($K10)&gt;Config!$B$48),IF($J10&gt;0,"Salida sin explicar: consumo no registrado o faltante","Se vendio mas de lo elaborado: revisar stock previo"),IF($I10&lt;&gt;0,"Hay descarte sin detallar en la planilla 5","OK")))))</f>
        <v/>
      </c>
      <c r="M10" s="76">
        <f>IF($K10="","",ABS($K10)+ROW()/1000000)</f>
        <v/>
      </c>
    </row>
    <row r="11">
      <c r="A11" s="31" t="inlineStr">
        <is>
          <t>Panadería</t>
        </is>
      </c>
      <c r="B11" s="82">
        <f>IF('4 Prod Panaderia'!$A11="","",'4 Prod Panaderia'!$A11)</f>
        <v/>
      </c>
      <c r="C11" s="45">
        <f>IF('4 Prod Panaderia'!$B11="","",'4 Prod Panaderia'!$B11)</f>
        <v/>
      </c>
      <c r="D11" s="79">
        <f>'4 Prod Panaderia'!$Q11</f>
        <v/>
      </c>
      <c r="E11" s="80">
        <f>IF($B11="","",SUMIFS('8 Fudo Ventas'!$B$6:$B$305,'8 Fudo Ventas'!$D$6:$D$305,$B11,'8 Fudo Ventas'!$C$6:$C$305,$A11))</f>
        <v/>
      </c>
      <c r="F11" s="80">
        <f>IF($B11="","",SUMIFS('8 Fudo Consumos'!$D$6:$D$255,'8 Fudo Consumos'!$B$6:$B$255,$B11,'8 Fudo Consumos'!$C$6:$C$255,$A11))</f>
        <v/>
      </c>
      <c r="G11" s="79">
        <f>'4 Prod Panaderia'!$R11</f>
        <v/>
      </c>
      <c r="H11" s="80">
        <f>IF($B11="","",SUMIFS('5 Descartes'!$D$6:$D$205,'5 Descartes'!$C$6:$C$205,$B11,'5 Descartes'!$B$6:$B$205,$A11))</f>
        <v/>
      </c>
      <c r="I11" s="80">
        <f>IF($B11="","",$G11-$H11)</f>
        <v/>
      </c>
      <c r="J11" s="81">
        <f>IF($B11="","",$D11-$E11-$F11-$G11)</f>
        <v/>
      </c>
      <c r="K11" s="71">
        <f>IF(OR($B11="",$D11=0),"",$J11/$D11)</f>
        <v/>
      </c>
      <c r="L11" s="75">
        <f>IF($B11="","",IF($D11=0,"Sin produccion registrada",IF($E11=0,"Sin ventas mapeadas en Fudo",IF(AND($K11&lt;&gt;"",ABS($K11)&gt;Config!$B$48),IF($J11&gt;0,"Salida sin explicar: consumo no registrado o faltante","Se vendio mas de lo elaborado: revisar stock previo"),IF($I11&lt;&gt;0,"Hay descarte sin detallar en la planilla 5","OK")))))</f>
        <v/>
      </c>
      <c r="M11" s="76">
        <f>IF($K11="","",ABS($K11)+ROW()/1000000)</f>
        <v/>
      </c>
    </row>
    <row r="12">
      <c r="A12" s="27" t="inlineStr">
        <is>
          <t>Panadería</t>
        </is>
      </c>
      <c r="B12" s="23">
        <f>IF('4 Prod Panaderia'!$A12="","",'4 Prod Panaderia'!$A12)</f>
        <v/>
      </c>
      <c r="C12" s="40">
        <f>IF('4 Prod Panaderia'!$B12="","",'4 Prod Panaderia'!$B12)</f>
        <v/>
      </c>
      <c r="D12" s="79">
        <f>'4 Prod Panaderia'!$Q12</f>
        <v/>
      </c>
      <c r="E12" s="80">
        <f>IF($B12="","",SUMIFS('8 Fudo Ventas'!$B$6:$B$305,'8 Fudo Ventas'!$D$6:$D$305,$B12,'8 Fudo Ventas'!$C$6:$C$305,$A12))</f>
        <v/>
      </c>
      <c r="F12" s="80">
        <f>IF($B12="","",SUMIFS('8 Fudo Consumos'!$D$6:$D$255,'8 Fudo Consumos'!$B$6:$B$255,$B12,'8 Fudo Consumos'!$C$6:$C$255,$A12))</f>
        <v/>
      </c>
      <c r="G12" s="79">
        <f>'4 Prod Panaderia'!$R12</f>
        <v/>
      </c>
      <c r="H12" s="80">
        <f>IF($B12="","",SUMIFS('5 Descartes'!$D$6:$D$205,'5 Descartes'!$C$6:$C$205,$B12,'5 Descartes'!$B$6:$B$205,$A12))</f>
        <v/>
      </c>
      <c r="I12" s="80">
        <f>IF($B12="","",$G12-$H12)</f>
        <v/>
      </c>
      <c r="J12" s="81">
        <f>IF($B12="","",$D12-$E12-$F12-$G12)</f>
        <v/>
      </c>
      <c r="K12" s="71">
        <f>IF(OR($B12="",$D12=0),"",$J12/$D12)</f>
        <v/>
      </c>
      <c r="L12" s="75">
        <f>IF($B12="","",IF($D12=0,"Sin produccion registrada",IF($E12=0,"Sin ventas mapeadas en Fudo",IF(AND($K12&lt;&gt;"",ABS($K12)&gt;Config!$B$48),IF($J12&gt;0,"Salida sin explicar: consumo no registrado o faltante","Se vendio mas de lo elaborado: revisar stock previo"),IF($I12&lt;&gt;0,"Hay descarte sin detallar en la planilla 5","OK")))))</f>
        <v/>
      </c>
      <c r="M12" s="76">
        <f>IF($K12="","",ABS($K12)+ROW()/1000000)</f>
        <v/>
      </c>
    </row>
    <row r="13">
      <c r="A13" s="31" t="inlineStr">
        <is>
          <t>Panadería</t>
        </is>
      </c>
      <c r="B13" s="82">
        <f>IF('4 Prod Panaderia'!$A13="","",'4 Prod Panaderia'!$A13)</f>
        <v/>
      </c>
      <c r="C13" s="45">
        <f>IF('4 Prod Panaderia'!$B13="","",'4 Prod Panaderia'!$B13)</f>
        <v/>
      </c>
      <c r="D13" s="79">
        <f>'4 Prod Panaderia'!$Q13</f>
        <v/>
      </c>
      <c r="E13" s="80">
        <f>IF($B13="","",SUMIFS('8 Fudo Ventas'!$B$6:$B$305,'8 Fudo Ventas'!$D$6:$D$305,$B13,'8 Fudo Ventas'!$C$6:$C$305,$A13))</f>
        <v/>
      </c>
      <c r="F13" s="80">
        <f>IF($B13="","",SUMIFS('8 Fudo Consumos'!$D$6:$D$255,'8 Fudo Consumos'!$B$6:$B$255,$B13,'8 Fudo Consumos'!$C$6:$C$255,$A13))</f>
        <v/>
      </c>
      <c r="G13" s="79">
        <f>'4 Prod Panaderia'!$R13</f>
        <v/>
      </c>
      <c r="H13" s="80">
        <f>IF($B13="","",SUMIFS('5 Descartes'!$D$6:$D$205,'5 Descartes'!$C$6:$C$205,$B13,'5 Descartes'!$B$6:$B$205,$A13))</f>
        <v/>
      </c>
      <c r="I13" s="80">
        <f>IF($B13="","",$G13-$H13)</f>
        <v/>
      </c>
      <c r="J13" s="81">
        <f>IF($B13="","",$D13-$E13-$F13-$G13)</f>
        <v/>
      </c>
      <c r="K13" s="71">
        <f>IF(OR($B13="",$D13=0),"",$J13/$D13)</f>
        <v/>
      </c>
      <c r="L13" s="75">
        <f>IF($B13="","",IF($D13=0,"Sin produccion registrada",IF($E13=0,"Sin ventas mapeadas en Fudo",IF(AND($K13&lt;&gt;"",ABS($K13)&gt;Config!$B$48),IF($J13&gt;0,"Salida sin explicar: consumo no registrado o faltante","Se vendio mas de lo elaborado: revisar stock previo"),IF($I13&lt;&gt;0,"Hay descarte sin detallar en la planilla 5","OK")))))</f>
        <v/>
      </c>
      <c r="M13" s="76">
        <f>IF($K13="","",ABS($K13)+ROW()/1000000)</f>
        <v/>
      </c>
    </row>
    <row r="14">
      <c r="A14" s="27" t="inlineStr">
        <is>
          <t>Panadería</t>
        </is>
      </c>
      <c r="B14" s="23">
        <f>IF('4 Prod Panaderia'!$A14="","",'4 Prod Panaderia'!$A14)</f>
        <v/>
      </c>
      <c r="C14" s="40">
        <f>IF('4 Prod Panaderia'!$B14="","",'4 Prod Panaderia'!$B14)</f>
        <v/>
      </c>
      <c r="D14" s="79">
        <f>'4 Prod Panaderia'!$Q14</f>
        <v/>
      </c>
      <c r="E14" s="80">
        <f>IF($B14="","",SUMIFS('8 Fudo Ventas'!$B$6:$B$305,'8 Fudo Ventas'!$D$6:$D$305,$B14,'8 Fudo Ventas'!$C$6:$C$305,$A14))</f>
        <v/>
      </c>
      <c r="F14" s="80">
        <f>IF($B14="","",SUMIFS('8 Fudo Consumos'!$D$6:$D$255,'8 Fudo Consumos'!$B$6:$B$255,$B14,'8 Fudo Consumos'!$C$6:$C$255,$A14))</f>
        <v/>
      </c>
      <c r="G14" s="79">
        <f>'4 Prod Panaderia'!$R14</f>
        <v/>
      </c>
      <c r="H14" s="80">
        <f>IF($B14="","",SUMIFS('5 Descartes'!$D$6:$D$205,'5 Descartes'!$C$6:$C$205,$B14,'5 Descartes'!$B$6:$B$205,$A14))</f>
        <v/>
      </c>
      <c r="I14" s="80">
        <f>IF($B14="","",$G14-$H14)</f>
        <v/>
      </c>
      <c r="J14" s="81">
        <f>IF($B14="","",$D14-$E14-$F14-$G14)</f>
        <v/>
      </c>
      <c r="K14" s="71">
        <f>IF(OR($B14="",$D14=0),"",$J14/$D14)</f>
        <v/>
      </c>
      <c r="L14" s="75">
        <f>IF($B14="","",IF($D14=0,"Sin produccion registrada",IF($E14=0,"Sin ventas mapeadas en Fudo",IF(AND($K14&lt;&gt;"",ABS($K14)&gt;Config!$B$48),IF($J14&gt;0,"Salida sin explicar: consumo no registrado o faltante","Se vendio mas de lo elaborado: revisar stock previo"),IF($I14&lt;&gt;0,"Hay descarte sin detallar en la planilla 5","OK")))))</f>
        <v/>
      </c>
      <c r="M14" s="76">
        <f>IF($K14="","",ABS($K14)+ROW()/1000000)</f>
        <v/>
      </c>
    </row>
    <row r="15">
      <c r="A15" s="31" t="inlineStr">
        <is>
          <t>Panadería</t>
        </is>
      </c>
      <c r="B15" s="82">
        <f>IF('4 Prod Panaderia'!$A15="","",'4 Prod Panaderia'!$A15)</f>
        <v/>
      </c>
      <c r="C15" s="45">
        <f>IF('4 Prod Panaderia'!$B15="","",'4 Prod Panaderia'!$B15)</f>
        <v/>
      </c>
      <c r="D15" s="79">
        <f>'4 Prod Panaderia'!$Q15</f>
        <v/>
      </c>
      <c r="E15" s="80">
        <f>IF($B15="","",SUMIFS('8 Fudo Ventas'!$B$6:$B$305,'8 Fudo Ventas'!$D$6:$D$305,$B15,'8 Fudo Ventas'!$C$6:$C$305,$A15))</f>
        <v/>
      </c>
      <c r="F15" s="80">
        <f>IF($B15="","",SUMIFS('8 Fudo Consumos'!$D$6:$D$255,'8 Fudo Consumos'!$B$6:$B$255,$B15,'8 Fudo Consumos'!$C$6:$C$255,$A15))</f>
        <v/>
      </c>
      <c r="G15" s="79">
        <f>'4 Prod Panaderia'!$R15</f>
        <v/>
      </c>
      <c r="H15" s="80">
        <f>IF($B15="","",SUMIFS('5 Descartes'!$D$6:$D$205,'5 Descartes'!$C$6:$C$205,$B15,'5 Descartes'!$B$6:$B$205,$A15))</f>
        <v/>
      </c>
      <c r="I15" s="80">
        <f>IF($B15="","",$G15-$H15)</f>
        <v/>
      </c>
      <c r="J15" s="81">
        <f>IF($B15="","",$D15-$E15-$F15-$G15)</f>
        <v/>
      </c>
      <c r="K15" s="71">
        <f>IF(OR($B15="",$D15=0),"",$J15/$D15)</f>
        <v/>
      </c>
      <c r="L15" s="75">
        <f>IF($B15="","",IF($D15=0,"Sin produccion registrada",IF($E15=0,"Sin ventas mapeadas en Fudo",IF(AND($K15&lt;&gt;"",ABS($K15)&gt;Config!$B$48),IF($J15&gt;0,"Salida sin explicar: consumo no registrado o faltante","Se vendio mas de lo elaborado: revisar stock previo"),IF($I15&lt;&gt;0,"Hay descarte sin detallar en la planilla 5","OK")))))</f>
        <v/>
      </c>
      <c r="M15" s="76">
        <f>IF($K15="","",ABS($K15)+ROW()/1000000)</f>
        <v/>
      </c>
    </row>
    <row r="16">
      <c r="A16" s="27" t="inlineStr">
        <is>
          <t>Panadería</t>
        </is>
      </c>
      <c r="B16" s="23">
        <f>IF('4 Prod Panaderia'!$A16="","",'4 Prod Panaderia'!$A16)</f>
        <v/>
      </c>
      <c r="C16" s="40">
        <f>IF('4 Prod Panaderia'!$B16="","",'4 Prod Panaderia'!$B16)</f>
        <v/>
      </c>
      <c r="D16" s="79">
        <f>'4 Prod Panaderia'!$Q16</f>
        <v/>
      </c>
      <c r="E16" s="80">
        <f>IF($B16="","",SUMIFS('8 Fudo Ventas'!$B$6:$B$305,'8 Fudo Ventas'!$D$6:$D$305,$B16,'8 Fudo Ventas'!$C$6:$C$305,$A16))</f>
        <v/>
      </c>
      <c r="F16" s="80">
        <f>IF($B16="","",SUMIFS('8 Fudo Consumos'!$D$6:$D$255,'8 Fudo Consumos'!$B$6:$B$255,$B16,'8 Fudo Consumos'!$C$6:$C$255,$A16))</f>
        <v/>
      </c>
      <c r="G16" s="79">
        <f>'4 Prod Panaderia'!$R16</f>
        <v/>
      </c>
      <c r="H16" s="80">
        <f>IF($B16="","",SUMIFS('5 Descartes'!$D$6:$D$205,'5 Descartes'!$C$6:$C$205,$B16,'5 Descartes'!$B$6:$B$205,$A16))</f>
        <v/>
      </c>
      <c r="I16" s="80">
        <f>IF($B16="","",$G16-$H16)</f>
        <v/>
      </c>
      <c r="J16" s="81">
        <f>IF($B16="","",$D16-$E16-$F16-$G16)</f>
        <v/>
      </c>
      <c r="K16" s="71">
        <f>IF(OR($B16="",$D16=0),"",$J16/$D16)</f>
        <v/>
      </c>
      <c r="L16" s="75">
        <f>IF($B16="","",IF($D16=0,"Sin produccion registrada",IF($E16=0,"Sin ventas mapeadas en Fudo",IF(AND($K16&lt;&gt;"",ABS($K16)&gt;Config!$B$48),IF($J16&gt;0,"Salida sin explicar: consumo no registrado o faltante","Se vendio mas de lo elaborado: revisar stock previo"),IF($I16&lt;&gt;0,"Hay descarte sin detallar en la planilla 5","OK")))))</f>
        <v/>
      </c>
      <c r="M16" s="76">
        <f>IF($K16="","",ABS($K16)+ROW()/1000000)</f>
        <v/>
      </c>
    </row>
    <row r="17">
      <c r="A17" s="31" t="inlineStr">
        <is>
          <t>Panadería</t>
        </is>
      </c>
      <c r="B17" s="82">
        <f>IF('4 Prod Panaderia'!$A17="","",'4 Prod Panaderia'!$A17)</f>
        <v/>
      </c>
      <c r="C17" s="45">
        <f>IF('4 Prod Panaderia'!$B17="","",'4 Prod Panaderia'!$B17)</f>
        <v/>
      </c>
      <c r="D17" s="79">
        <f>'4 Prod Panaderia'!$Q17</f>
        <v/>
      </c>
      <c r="E17" s="80">
        <f>IF($B17="","",SUMIFS('8 Fudo Ventas'!$B$6:$B$305,'8 Fudo Ventas'!$D$6:$D$305,$B17,'8 Fudo Ventas'!$C$6:$C$305,$A17))</f>
        <v/>
      </c>
      <c r="F17" s="80">
        <f>IF($B17="","",SUMIFS('8 Fudo Consumos'!$D$6:$D$255,'8 Fudo Consumos'!$B$6:$B$255,$B17,'8 Fudo Consumos'!$C$6:$C$255,$A17))</f>
        <v/>
      </c>
      <c r="G17" s="79">
        <f>'4 Prod Panaderia'!$R17</f>
        <v/>
      </c>
      <c r="H17" s="80">
        <f>IF($B17="","",SUMIFS('5 Descartes'!$D$6:$D$205,'5 Descartes'!$C$6:$C$205,$B17,'5 Descartes'!$B$6:$B$205,$A17))</f>
        <v/>
      </c>
      <c r="I17" s="80">
        <f>IF($B17="","",$G17-$H17)</f>
        <v/>
      </c>
      <c r="J17" s="81">
        <f>IF($B17="","",$D17-$E17-$F17-$G17)</f>
        <v/>
      </c>
      <c r="K17" s="71">
        <f>IF(OR($B17="",$D17=0),"",$J17/$D17)</f>
        <v/>
      </c>
      <c r="L17" s="75">
        <f>IF($B17="","",IF($D17=0,"Sin produccion registrada",IF($E17=0,"Sin ventas mapeadas en Fudo",IF(AND($K17&lt;&gt;"",ABS($K17)&gt;Config!$B$48),IF($J17&gt;0,"Salida sin explicar: consumo no registrado o faltante","Se vendio mas de lo elaborado: revisar stock previo"),IF($I17&lt;&gt;0,"Hay descarte sin detallar en la planilla 5","OK")))))</f>
        <v/>
      </c>
      <c r="M17" s="76">
        <f>IF($K17="","",ABS($K17)+ROW()/1000000)</f>
        <v/>
      </c>
    </row>
    <row r="18">
      <c r="A18" s="27" t="inlineStr">
        <is>
          <t>Panadería</t>
        </is>
      </c>
      <c r="B18" s="23">
        <f>IF('4 Prod Panaderia'!$A18="","",'4 Prod Panaderia'!$A18)</f>
        <v/>
      </c>
      <c r="C18" s="40">
        <f>IF('4 Prod Panaderia'!$B18="","",'4 Prod Panaderia'!$B18)</f>
        <v/>
      </c>
      <c r="D18" s="79">
        <f>'4 Prod Panaderia'!$Q18</f>
        <v/>
      </c>
      <c r="E18" s="80">
        <f>IF($B18="","",SUMIFS('8 Fudo Ventas'!$B$6:$B$305,'8 Fudo Ventas'!$D$6:$D$305,$B18,'8 Fudo Ventas'!$C$6:$C$305,$A18))</f>
        <v/>
      </c>
      <c r="F18" s="80">
        <f>IF($B18="","",SUMIFS('8 Fudo Consumos'!$D$6:$D$255,'8 Fudo Consumos'!$B$6:$B$255,$B18,'8 Fudo Consumos'!$C$6:$C$255,$A18))</f>
        <v/>
      </c>
      <c r="G18" s="79">
        <f>'4 Prod Panaderia'!$R18</f>
        <v/>
      </c>
      <c r="H18" s="80">
        <f>IF($B18="","",SUMIFS('5 Descartes'!$D$6:$D$205,'5 Descartes'!$C$6:$C$205,$B18,'5 Descartes'!$B$6:$B$205,$A18))</f>
        <v/>
      </c>
      <c r="I18" s="80">
        <f>IF($B18="","",$G18-$H18)</f>
        <v/>
      </c>
      <c r="J18" s="81">
        <f>IF($B18="","",$D18-$E18-$F18-$G18)</f>
        <v/>
      </c>
      <c r="K18" s="71">
        <f>IF(OR($B18="",$D18=0),"",$J18/$D18)</f>
        <v/>
      </c>
      <c r="L18" s="75">
        <f>IF($B18="","",IF($D18=0,"Sin produccion registrada",IF($E18=0,"Sin ventas mapeadas en Fudo",IF(AND($K18&lt;&gt;"",ABS($K18)&gt;Config!$B$48),IF($J18&gt;0,"Salida sin explicar: consumo no registrado o faltante","Se vendio mas de lo elaborado: revisar stock previo"),IF($I18&lt;&gt;0,"Hay descarte sin detallar en la planilla 5","OK")))))</f>
        <v/>
      </c>
      <c r="M18" s="76">
        <f>IF($K18="","",ABS($K18)+ROW()/1000000)</f>
        <v/>
      </c>
    </row>
    <row r="19">
      <c r="A19" s="31" t="inlineStr">
        <is>
          <t>Panadería</t>
        </is>
      </c>
      <c r="B19" s="82">
        <f>IF('4 Prod Panaderia'!$A19="","",'4 Prod Panaderia'!$A19)</f>
        <v/>
      </c>
      <c r="C19" s="45">
        <f>IF('4 Prod Panaderia'!$B19="","",'4 Prod Panaderia'!$B19)</f>
        <v/>
      </c>
      <c r="D19" s="79">
        <f>'4 Prod Panaderia'!$Q19</f>
        <v/>
      </c>
      <c r="E19" s="80">
        <f>IF($B19="","",SUMIFS('8 Fudo Ventas'!$B$6:$B$305,'8 Fudo Ventas'!$D$6:$D$305,$B19,'8 Fudo Ventas'!$C$6:$C$305,$A19))</f>
        <v/>
      </c>
      <c r="F19" s="80">
        <f>IF($B19="","",SUMIFS('8 Fudo Consumos'!$D$6:$D$255,'8 Fudo Consumos'!$B$6:$B$255,$B19,'8 Fudo Consumos'!$C$6:$C$255,$A19))</f>
        <v/>
      </c>
      <c r="G19" s="79">
        <f>'4 Prod Panaderia'!$R19</f>
        <v/>
      </c>
      <c r="H19" s="80">
        <f>IF($B19="","",SUMIFS('5 Descartes'!$D$6:$D$205,'5 Descartes'!$C$6:$C$205,$B19,'5 Descartes'!$B$6:$B$205,$A19))</f>
        <v/>
      </c>
      <c r="I19" s="80">
        <f>IF($B19="","",$G19-$H19)</f>
        <v/>
      </c>
      <c r="J19" s="81">
        <f>IF($B19="","",$D19-$E19-$F19-$G19)</f>
        <v/>
      </c>
      <c r="K19" s="71">
        <f>IF(OR($B19="",$D19=0),"",$J19/$D19)</f>
        <v/>
      </c>
      <c r="L19" s="75">
        <f>IF($B19="","",IF($D19=0,"Sin produccion registrada",IF($E19=0,"Sin ventas mapeadas en Fudo",IF(AND($K19&lt;&gt;"",ABS($K19)&gt;Config!$B$48),IF($J19&gt;0,"Salida sin explicar: consumo no registrado o faltante","Se vendio mas de lo elaborado: revisar stock previo"),IF($I19&lt;&gt;0,"Hay descarte sin detallar en la planilla 5","OK")))))</f>
        <v/>
      </c>
      <c r="M19" s="76">
        <f>IF($K19="","",ABS($K19)+ROW()/1000000)</f>
        <v/>
      </c>
    </row>
    <row r="20">
      <c r="A20" s="27" t="inlineStr">
        <is>
          <t>Panadería</t>
        </is>
      </c>
      <c r="B20" s="23">
        <f>IF('4 Prod Panaderia'!$A20="","",'4 Prod Panaderia'!$A20)</f>
        <v/>
      </c>
      <c r="C20" s="40">
        <f>IF('4 Prod Panaderia'!$B20="","",'4 Prod Panaderia'!$B20)</f>
        <v/>
      </c>
      <c r="D20" s="79">
        <f>'4 Prod Panaderia'!$Q20</f>
        <v/>
      </c>
      <c r="E20" s="80">
        <f>IF($B20="","",SUMIFS('8 Fudo Ventas'!$B$6:$B$305,'8 Fudo Ventas'!$D$6:$D$305,$B20,'8 Fudo Ventas'!$C$6:$C$305,$A20))</f>
        <v/>
      </c>
      <c r="F20" s="80">
        <f>IF($B20="","",SUMIFS('8 Fudo Consumos'!$D$6:$D$255,'8 Fudo Consumos'!$B$6:$B$255,$B20,'8 Fudo Consumos'!$C$6:$C$255,$A20))</f>
        <v/>
      </c>
      <c r="G20" s="79">
        <f>'4 Prod Panaderia'!$R20</f>
        <v/>
      </c>
      <c r="H20" s="80">
        <f>IF($B20="","",SUMIFS('5 Descartes'!$D$6:$D$205,'5 Descartes'!$C$6:$C$205,$B20,'5 Descartes'!$B$6:$B$205,$A20))</f>
        <v/>
      </c>
      <c r="I20" s="80">
        <f>IF($B20="","",$G20-$H20)</f>
        <v/>
      </c>
      <c r="J20" s="81">
        <f>IF($B20="","",$D20-$E20-$F20-$G20)</f>
        <v/>
      </c>
      <c r="K20" s="71">
        <f>IF(OR($B20="",$D20=0),"",$J20/$D20)</f>
        <v/>
      </c>
      <c r="L20" s="75">
        <f>IF($B20="","",IF($D20=0,"Sin produccion registrada",IF($E20=0,"Sin ventas mapeadas en Fudo",IF(AND($K20&lt;&gt;"",ABS($K20)&gt;Config!$B$48),IF($J20&gt;0,"Salida sin explicar: consumo no registrado o faltante","Se vendio mas de lo elaborado: revisar stock previo"),IF($I20&lt;&gt;0,"Hay descarte sin detallar en la planilla 5","OK")))))</f>
        <v/>
      </c>
      <c r="M20" s="76">
        <f>IF($K20="","",ABS($K20)+ROW()/1000000)</f>
        <v/>
      </c>
    </row>
    <row r="21">
      <c r="A21" s="31" t="inlineStr">
        <is>
          <t>Panadería</t>
        </is>
      </c>
      <c r="B21" s="82">
        <f>IF('4 Prod Panaderia'!$A21="","",'4 Prod Panaderia'!$A21)</f>
        <v/>
      </c>
      <c r="C21" s="45">
        <f>IF('4 Prod Panaderia'!$B21="","",'4 Prod Panaderia'!$B21)</f>
        <v/>
      </c>
      <c r="D21" s="79">
        <f>'4 Prod Panaderia'!$Q21</f>
        <v/>
      </c>
      <c r="E21" s="80">
        <f>IF($B21="","",SUMIFS('8 Fudo Ventas'!$B$6:$B$305,'8 Fudo Ventas'!$D$6:$D$305,$B21,'8 Fudo Ventas'!$C$6:$C$305,$A21))</f>
        <v/>
      </c>
      <c r="F21" s="80">
        <f>IF($B21="","",SUMIFS('8 Fudo Consumos'!$D$6:$D$255,'8 Fudo Consumos'!$B$6:$B$255,$B21,'8 Fudo Consumos'!$C$6:$C$255,$A21))</f>
        <v/>
      </c>
      <c r="G21" s="79">
        <f>'4 Prod Panaderia'!$R21</f>
        <v/>
      </c>
      <c r="H21" s="80">
        <f>IF($B21="","",SUMIFS('5 Descartes'!$D$6:$D$205,'5 Descartes'!$C$6:$C$205,$B21,'5 Descartes'!$B$6:$B$205,$A21))</f>
        <v/>
      </c>
      <c r="I21" s="80">
        <f>IF($B21="","",$G21-$H21)</f>
        <v/>
      </c>
      <c r="J21" s="81">
        <f>IF($B21="","",$D21-$E21-$F21-$G21)</f>
        <v/>
      </c>
      <c r="K21" s="71">
        <f>IF(OR($B21="",$D21=0),"",$J21/$D21)</f>
        <v/>
      </c>
      <c r="L21" s="75">
        <f>IF($B21="","",IF($D21=0,"Sin produccion registrada",IF($E21=0,"Sin ventas mapeadas en Fudo",IF(AND($K21&lt;&gt;"",ABS($K21)&gt;Config!$B$48),IF($J21&gt;0,"Salida sin explicar: consumo no registrado o faltante","Se vendio mas de lo elaborado: revisar stock previo"),IF($I21&lt;&gt;0,"Hay descarte sin detallar en la planilla 5","OK")))))</f>
        <v/>
      </c>
      <c r="M21" s="76">
        <f>IF($K21="","",ABS($K21)+ROW()/1000000)</f>
        <v/>
      </c>
    </row>
    <row r="22">
      <c r="A22" s="27" t="inlineStr">
        <is>
          <t>Panadería</t>
        </is>
      </c>
      <c r="B22" s="23">
        <f>IF('4 Prod Panaderia'!$A22="","",'4 Prod Panaderia'!$A22)</f>
        <v/>
      </c>
      <c r="C22" s="40">
        <f>IF('4 Prod Panaderia'!$B22="","",'4 Prod Panaderia'!$B22)</f>
        <v/>
      </c>
      <c r="D22" s="79">
        <f>'4 Prod Panaderia'!$Q22</f>
        <v/>
      </c>
      <c r="E22" s="80">
        <f>IF($B22="","",SUMIFS('8 Fudo Ventas'!$B$6:$B$305,'8 Fudo Ventas'!$D$6:$D$305,$B22,'8 Fudo Ventas'!$C$6:$C$305,$A22))</f>
        <v/>
      </c>
      <c r="F22" s="80">
        <f>IF($B22="","",SUMIFS('8 Fudo Consumos'!$D$6:$D$255,'8 Fudo Consumos'!$B$6:$B$255,$B22,'8 Fudo Consumos'!$C$6:$C$255,$A22))</f>
        <v/>
      </c>
      <c r="G22" s="79">
        <f>'4 Prod Panaderia'!$R22</f>
        <v/>
      </c>
      <c r="H22" s="80">
        <f>IF($B22="","",SUMIFS('5 Descartes'!$D$6:$D$205,'5 Descartes'!$C$6:$C$205,$B22,'5 Descartes'!$B$6:$B$205,$A22))</f>
        <v/>
      </c>
      <c r="I22" s="80">
        <f>IF($B22="","",$G22-$H22)</f>
        <v/>
      </c>
      <c r="J22" s="81">
        <f>IF($B22="","",$D22-$E22-$F22-$G22)</f>
        <v/>
      </c>
      <c r="K22" s="71">
        <f>IF(OR($B22="",$D22=0),"",$J22/$D22)</f>
        <v/>
      </c>
      <c r="L22" s="75">
        <f>IF($B22="","",IF($D22=0,"Sin produccion registrada",IF($E22=0,"Sin ventas mapeadas en Fudo",IF(AND($K22&lt;&gt;"",ABS($K22)&gt;Config!$B$48),IF($J22&gt;0,"Salida sin explicar: consumo no registrado o faltante","Se vendio mas de lo elaborado: revisar stock previo"),IF($I22&lt;&gt;0,"Hay descarte sin detallar en la planilla 5","OK")))))</f>
        <v/>
      </c>
      <c r="M22" s="76">
        <f>IF($K22="","",ABS($K22)+ROW()/1000000)</f>
        <v/>
      </c>
    </row>
    <row r="23">
      <c r="A23" s="31" t="inlineStr">
        <is>
          <t>Panadería</t>
        </is>
      </c>
      <c r="B23" s="82">
        <f>IF('4 Prod Panaderia'!$A23="","",'4 Prod Panaderia'!$A23)</f>
        <v/>
      </c>
      <c r="C23" s="45">
        <f>IF('4 Prod Panaderia'!$B23="","",'4 Prod Panaderia'!$B23)</f>
        <v/>
      </c>
      <c r="D23" s="79">
        <f>'4 Prod Panaderia'!$Q23</f>
        <v/>
      </c>
      <c r="E23" s="80">
        <f>IF($B23="","",SUMIFS('8 Fudo Ventas'!$B$6:$B$305,'8 Fudo Ventas'!$D$6:$D$305,$B23,'8 Fudo Ventas'!$C$6:$C$305,$A23))</f>
        <v/>
      </c>
      <c r="F23" s="80">
        <f>IF($B23="","",SUMIFS('8 Fudo Consumos'!$D$6:$D$255,'8 Fudo Consumos'!$B$6:$B$255,$B23,'8 Fudo Consumos'!$C$6:$C$255,$A23))</f>
        <v/>
      </c>
      <c r="G23" s="79">
        <f>'4 Prod Panaderia'!$R23</f>
        <v/>
      </c>
      <c r="H23" s="80">
        <f>IF($B23="","",SUMIFS('5 Descartes'!$D$6:$D$205,'5 Descartes'!$C$6:$C$205,$B23,'5 Descartes'!$B$6:$B$205,$A23))</f>
        <v/>
      </c>
      <c r="I23" s="80">
        <f>IF($B23="","",$G23-$H23)</f>
        <v/>
      </c>
      <c r="J23" s="81">
        <f>IF($B23="","",$D23-$E23-$F23-$G23)</f>
        <v/>
      </c>
      <c r="K23" s="71">
        <f>IF(OR($B23="",$D23=0),"",$J23/$D23)</f>
        <v/>
      </c>
      <c r="L23" s="75">
        <f>IF($B23="","",IF($D23=0,"Sin produccion registrada",IF($E23=0,"Sin ventas mapeadas en Fudo",IF(AND($K23&lt;&gt;"",ABS($K23)&gt;Config!$B$48),IF($J23&gt;0,"Salida sin explicar: consumo no registrado o faltante","Se vendio mas de lo elaborado: revisar stock previo"),IF($I23&lt;&gt;0,"Hay descarte sin detallar en la planilla 5","OK")))))</f>
        <v/>
      </c>
      <c r="M23" s="76">
        <f>IF($K23="","",ABS($K23)+ROW()/1000000)</f>
        <v/>
      </c>
    </row>
    <row r="24">
      <c r="A24" s="27" t="inlineStr">
        <is>
          <t>Panadería</t>
        </is>
      </c>
      <c r="B24" s="23">
        <f>IF('4 Prod Panaderia'!$A24="","",'4 Prod Panaderia'!$A24)</f>
        <v/>
      </c>
      <c r="C24" s="40">
        <f>IF('4 Prod Panaderia'!$B24="","",'4 Prod Panaderia'!$B24)</f>
        <v/>
      </c>
      <c r="D24" s="79">
        <f>'4 Prod Panaderia'!$Q24</f>
        <v/>
      </c>
      <c r="E24" s="80">
        <f>IF($B24="","",SUMIFS('8 Fudo Ventas'!$B$6:$B$305,'8 Fudo Ventas'!$D$6:$D$305,$B24,'8 Fudo Ventas'!$C$6:$C$305,$A24))</f>
        <v/>
      </c>
      <c r="F24" s="80">
        <f>IF($B24="","",SUMIFS('8 Fudo Consumos'!$D$6:$D$255,'8 Fudo Consumos'!$B$6:$B$255,$B24,'8 Fudo Consumos'!$C$6:$C$255,$A24))</f>
        <v/>
      </c>
      <c r="G24" s="79">
        <f>'4 Prod Panaderia'!$R24</f>
        <v/>
      </c>
      <c r="H24" s="80">
        <f>IF($B24="","",SUMIFS('5 Descartes'!$D$6:$D$205,'5 Descartes'!$C$6:$C$205,$B24,'5 Descartes'!$B$6:$B$205,$A24))</f>
        <v/>
      </c>
      <c r="I24" s="80">
        <f>IF($B24="","",$G24-$H24)</f>
        <v/>
      </c>
      <c r="J24" s="81">
        <f>IF($B24="","",$D24-$E24-$F24-$G24)</f>
        <v/>
      </c>
      <c r="K24" s="71">
        <f>IF(OR($B24="",$D24=0),"",$J24/$D24)</f>
        <v/>
      </c>
      <c r="L24" s="75">
        <f>IF($B24="","",IF($D24=0,"Sin produccion registrada",IF($E24=0,"Sin ventas mapeadas en Fudo",IF(AND($K24&lt;&gt;"",ABS($K24)&gt;Config!$B$48),IF($J24&gt;0,"Salida sin explicar: consumo no registrado o faltante","Se vendio mas de lo elaborado: revisar stock previo"),IF($I24&lt;&gt;0,"Hay descarte sin detallar en la planilla 5","OK")))))</f>
        <v/>
      </c>
      <c r="M24" s="76">
        <f>IF($K24="","",ABS($K24)+ROW()/1000000)</f>
        <v/>
      </c>
    </row>
    <row r="25">
      <c r="A25" s="31" t="inlineStr">
        <is>
          <t>Panadería</t>
        </is>
      </c>
      <c r="B25" s="82">
        <f>IF('4 Prod Panaderia'!$A25="","",'4 Prod Panaderia'!$A25)</f>
        <v/>
      </c>
      <c r="C25" s="45">
        <f>IF('4 Prod Panaderia'!$B25="","",'4 Prod Panaderia'!$B25)</f>
        <v/>
      </c>
      <c r="D25" s="79">
        <f>'4 Prod Panaderia'!$Q25</f>
        <v/>
      </c>
      <c r="E25" s="80">
        <f>IF($B25="","",SUMIFS('8 Fudo Ventas'!$B$6:$B$305,'8 Fudo Ventas'!$D$6:$D$305,$B25,'8 Fudo Ventas'!$C$6:$C$305,$A25))</f>
        <v/>
      </c>
      <c r="F25" s="80">
        <f>IF($B25="","",SUMIFS('8 Fudo Consumos'!$D$6:$D$255,'8 Fudo Consumos'!$B$6:$B$255,$B25,'8 Fudo Consumos'!$C$6:$C$255,$A25))</f>
        <v/>
      </c>
      <c r="G25" s="79">
        <f>'4 Prod Panaderia'!$R25</f>
        <v/>
      </c>
      <c r="H25" s="80">
        <f>IF($B25="","",SUMIFS('5 Descartes'!$D$6:$D$205,'5 Descartes'!$C$6:$C$205,$B25,'5 Descartes'!$B$6:$B$205,$A25))</f>
        <v/>
      </c>
      <c r="I25" s="80">
        <f>IF($B25="","",$G25-$H25)</f>
        <v/>
      </c>
      <c r="J25" s="81">
        <f>IF($B25="","",$D25-$E25-$F25-$G25)</f>
        <v/>
      </c>
      <c r="K25" s="71">
        <f>IF(OR($B25="",$D25=0),"",$J25/$D25)</f>
        <v/>
      </c>
      <c r="L25" s="75">
        <f>IF($B25="","",IF($D25=0,"Sin produccion registrada",IF($E25=0,"Sin ventas mapeadas en Fudo",IF(AND($K25&lt;&gt;"",ABS($K25)&gt;Config!$B$48),IF($J25&gt;0,"Salida sin explicar: consumo no registrado o faltante","Se vendio mas de lo elaborado: revisar stock previo"),IF($I25&lt;&gt;0,"Hay descarte sin detallar en la planilla 5","OK")))))</f>
        <v/>
      </c>
      <c r="M25" s="76">
        <f>IF($K25="","",ABS($K25)+ROW()/1000000)</f>
        <v/>
      </c>
    </row>
    <row r="26">
      <c r="A26" s="27" t="inlineStr">
        <is>
          <t>Panadería</t>
        </is>
      </c>
      <c r="B26" s="23">
        <f>IF('4 Prod Panaderia'!$A26="","",'4 Prod Panaderia'!$A26)</f>
        <v/>
      </c>
      <c r="C26" s="40">
        <f>IF('4 Prod Panaderia'!$B26="","",'4 Prod Panaderia'!$B26)</f>
        <v/>
      </c>
      <c r="D26" s="79">
        <f>'4 Prod Panaderia'!$Q26</f>
        <v/>
      </c>
      <c r="E26" s="80">
        <f>IF($B26="","",SUMIFS('8 Fudo Ventas'!$B$6:$B$305,'8 Fudo Ventas'!$D$6:$D$305,$B26,'8 Fudo Ventas'!$C$6:$C$305,$A26))</f>
        <v/>
      </c>
      <c r="F26" s="80">
        <f>IF($B26="","",SUMIFS('8 Fudo Consumos'!$D$6:$D$255,'8 Fudo Consumos'!$B$6:$B$255,$B26,'8 Fudo Consumos'!$C$6:$C$255,$A26))</f>
        <v/>
      </c>
      <c r="G26" s="79">
        <f>'4 Prod Panaderia'!$R26</f>
        <v/>
      </c>
      <c r="H26" s="80">
        <f>IF($B26="","",SUMIFS('5 Descartes'!$D$6:$D$205,'5 Descartes'!$C$6:$C$205,$B26,'5 Descartes'!$B$6:$B$205,$A26))</f>
        <v/>
      </c>
      <c r="I26" s="80">
        <f>IF($B26="","",$G26-$H26)</f>
        <v/>
      </c>
      <c r="J26" s="81">
        <f>IF($B26="","",$D26-$E26-$F26-$G26)</f>
        <v/>
      </c>
      <c r="K26" s="71">
        <f>IF(OR($B26="",$D26=0),"",$J26/$D26)</f>
        <v/>
      </c>
      <c r="L26" s="75">
        <f>IF($B26="","",IF($D26=0,"Sin produccion registrada",IF($E26=0,"Sin ventas mapeadas en Fudo",IF(AND($K26&lt;&gt;"",ABS($K26)&gt;Config!$B$48),IF($J26&gt;0,"Salida sin explicar: consumo no registrado o faltante","Se vendio mas de lo elaborado: revisar stock previo"),IF($I26&lt;&gt;0,"Hay descarte sin detallar en la planilla 5","OK")))))</f>
        <v/>
      </c>
      <c r="M26" s="76">
        <f>IF($K26="","",ABS($K26)+ROW()/1000000)</f>
        <v/>
      </c>
    </row>
    <row r="27">
      <c r="A27" s="31" t="inlineStr">
        <is>
          <t>Panadería</t>
        </is>
      </c>
      <c r="B27" s="82">
        <f>IF('4 Prod Panaderia'!$A27="","",'4 Prod Panaderia'!$A27)</f>
        <v/>
      </c>
      <c r="C27" s="45">
        <f>IF('4 Prod Panaderia'!$B27="","",'4 Prod Panaderia'!$B27)</f>
        <v/>
      </c>
      <c r="D27" s="79">
        <f>'4 Prod Panaderia'!$Q27</f>
        <v/>
      </c>
      <c r="E27" s="80">
        <f>IF($B27="","",SUMIFS('8 Fudo Ventas'!$B$6:$B$305,'8 Fudo Ventas'!$D$6:$D$305,$B27,'8 Fudo Ventas'!$C$6:$C$305,$A27))</f>
        <v/>
      </c>
      <c r="F27" s="80">
        <f>IF($B27="","",SUMIFS('8 Fudo Consumos'!$D$6:$D$255,'8 Fudo Consumos'!$B$6:$B$255,$B27,'8 Fudo Consumos'!$C$6:$C$255,$A27))</f>
        <v/>
      </c>
      <c r="G27" s="79">
        <f>'4 Prod Panaderia'!$R27</f>
        <v/>
      </c>
      <c r="H27" s="80">
        <f>IF($B27="","",SUMIFS('5 Descartes'!$D$6:$D$205,'5 Descartes'!$C$6:$C$205,$B27,'5 Descartes'!$B$6:$B$205,$A27))</f>
        <v/>
      </c>
      <c r="I27" s="80">
        <f>IF($B27="","",$G27-$H27)</f>
        <v/>
      </c>
      <c r="J27" s="81">
        <f>IF($B27="","",$D27-$E27-$F27-$G27)</f>
        <v/>
      </c>
      <c r="K27" s="71">
        <f>IF(OR($B27="",$D27=0),"",$J27/$D27)</f>
        <v/>
      </c>
      <c r="L27" s="75">
        <f>IF($B27="","",IF($D27=0,"Sin produccion registrada",IF($E27=0,"Sin ventas mapeadas en Fudo",IF(AND($K27&lt;&gt;"",ABS($K27)&gt;Config!$B$48),IF($J27&gt;0,"Salida sin explicar: consumo no registrado o faltante","Se vendio mas de lo elaborado: revisar stock previo"),IF($I27&lt;&gt;0,"Hay descarte sin detallar en la planilla 5","OK")))))</f>
        <v/>
      </c>
      <c r="M27" s="76">
        <f>IF($K27="","",ABS($K27)+ROW()/1000000)</f>
        <v/>
      </c>
    </row>
    <row r="28">
      <c r="A28" s="27" t="inlineStr">
        <is>
          <t>Panadería</t>
        </is>
      </c>
      <c r="B28" s="23">
        <f>IF('4 Prod Panaderia'!$A28="","",'4 Prod Panaderia'!$A28)</f>
        <v/>
      </c>
      <c r="C28" s="40">
        <f>IF('4 Prod Panaderia'!$B28="","",'4 Prod Panaderia'!$B28)</f>
        <v/>
      </c>
      <c r="D28" s="79">
        <f>'4 Prod Panaderia'!$Q28</f>
        <v/>
      </c>
      <c r="E28" s="80">
        <f>IF($B28="","",SUMIFS('8 Fudo Ventas'!$B$6:$B$305,'8 Fudo Ventas'!$D$6:$D$305,$B28,'8 Fudo Ventas'!$C$6:$C$305,$A28))</f>
        <v/>
      </c>
      <c r="F28" s="80">
        <f>IF($B28="","",SUMIFS('8 Fudo Consumos'!$D$6:$D$255,'8 Fudo Consumos'!$B$6:$B$255,$B28,'8 Fudo Consumos'!$C$6:$C$255,$A28))</f>
        <v/>
      </c>
      <c r="G28" s="79">
        <f>'4 Prod Panaderia'!$R28</f>
        <v/>
      </c>
      <c r="H28" s="80">
        <f>IF($B28="","",SUMIFS('5 Descartes'!$D$6:$D$205,'5 Descartes'!$C$6:$C$205,$B28,'5 Descartes'!$B$6:$B$205,$A28))</f>
        <v/>
      </c>
      <c r="I28" s="80">
        <f>IF($B28="","",$G28-$H28)</f>
        <v/>
      </c>
      <c r="J28" s="81">
        <f>IF($B28="","",$D28-$E28-$F28-$G28)</f>
        <v/>
      </c>
      <c r="K28" s="71">
        <f>IF(OR($B28="",$D28=0),"",$J28/$D28)</f>
        <v/>
      </c>
      <c r="L28" s="75">
        <f>IF($B28="","",IF($D28=0,"Sin produccion registrada",IF($E28=0,"Sin ventas mapeadas en Fudo",IF(AND($K28&lt;&gt;"",ABS($K28)&gt;Config!$B$48),IF($J28&gt;0,"Salida sin explicar: consumo no registrado o faltante","Se vendio mas de lo elaborado: revisar stock previo"),IF($I28&lt;&gt;0,"Hay descarte sin detallar en la planilla 5","OK")))))</f>
        <v/>
      </c>
      <c r="M28" s="76">
        <f>IF($K28="","",ABS($K28)+ROW()/1000000)</f>
        <v/>
      </c>
    </row>
    <row r="29">
      <c r="A29" s="31" t="inlineStr">
        <is>
          <t>Panadería</t>
        </is>
      </c>
      <c r="B29" s="82">
        <f>IF('4 Prod Panaderia'!$A29="","",'4 Prod Panaderia'!$A29)</f>
        <v/>
      </c>
      <c r="C29" s="45">
        <f>IF('4 Prod Panaderia'!$B29="","",'4 Prod Panaderia'!$B29)</f>
        <v/>
      </c>
      <c r="D29" s="79">
        <f>'4 Prod Panaderia'!$Q29</f>
        <v/>
      </c>
      <c r="E29" s="80">
        <f>IF($B29="","",SUMIFS('8 Fudo Ventas'!$B$6:$B$305,'8 Fudo Ventas'!$D$6:$D$305,$B29,'8 Fudo Ventas'!$C$6:$C$305,$A29))</f>
        <v/>
      </c>
      <c r="F29" s="80">
        <f>IF($B29="","",SUMIFS('8 Fudo Consumos'!$D$6:$D$255,'8 Fudo Consumos'!$B$6:$B$255,$B29,'8 Fudo Consumos'!$C$6:$C$255,$A29))</f>
        <v/>
      </c>
      <c r="G29" s="79">
        <f>'4 Prod Panaderia'!$R29</f>
        <v/>
      </c>
      <c r="H29" s="80">
        <f>IF($B29="","",SUMIFS('5 Descartes'!$D$6:$D$205,'5 Descartes'!$C$6:$C$205,$B29,'5 Descartes'!$B$6:$B$205,$A29))</f>
        <v/>
      </c>
      <c r="I29" s="80">
        <f>IF($B29="","",$G29-$H29)</f>
        <v/>
      </c>
      <c r="J29" s="81">
        <f>IF($B29="","",$D29-$E29-$F29-$G29)</f>
        <v/>
      </c>
      <c r="K29" s="71">
        <f>IF(OR($B29="",$D29=0),"",$J29/$D29)</f>
        <v/>
      </c>
      <c r="L29" s="75">
        <f>IF($B29="","",IF($D29=0,"Sin produccion registrada",IF($E29=0,"Sin ventas mapeadas en Fudo",IF(AND($K29&lt;&gt;"",ABS($K29)&gt;Config!$B$48),IF($J29&gt;0,"Salida sin explicar: consumo no registrado o faltante","Se vendio mas de lo elaborado: revisar stock previo"),IF($I29&lt;&gt;0,"Hay descarte sin detallar en la planilla 5","OK")))))</f>
        <v/>
      </c>
      <c r="M29" s="76">
        <f>IF($K29="","",ABS($K29)+ROW()/1000000)</f>
        <v/>
      </c>
    </row>
    <row r="30">
      <c r="A30" s="27" t="inlineStr">
        <is>
          <t>Panadería</t>
        </is>
      </c>
      <c r="B30" s="23">
        <f>IF('4 Prod Panaderia'!$A30="","",'4 Prod Panaderia'!$A30)</f>
        <v/>
      </c>
      <c r="C30" s="40">
        <f>IF('4 Prod Panaderia'!$B30="","",'4 Prod Panaderia'!$B30)</f>
        <v/>
      </c>
      <c r="D30" s="79">
        <f>'4 Prod Panaderia'!$Q30</f>
        <v/>
      </c>
      <c r="E30" s="80">
        <f>IF($B30="","",SUMIFS('8 Fudo Ventas'!$B$6:$B$305,'8 Fudo Ventas'!$D$6:$D$305,$B30,'8 Fudo Ventas'!$C$6:$C$305,$A30))</f>
        <v/>
      </c>
      <c r="F30" s="80">
        <f>IF($B30="","",SUMIFS('8 Fudo Consumos'!$D$6:$D$255,'8 Fudo Consumos'!$B$6:$B$255,$B30,'8 Fudo Consumos'!$C$6:$C$255,$A30))</f>
        <v/>
      </c>
      <c r="G30" s="79">
        <f>'4 Prod Panaderia'!$R30</f>
        <v/>
      </c>
      <c r="H30" s="80">
        <f>IF($B30="","",SUMIFS('5 Descartes'!$D$6:$D$205,'5 Descartes'!$C$6:$C$205,$B30,'5 Descartes'!$B$6:$B$205,$A30))</f>
        <v/>
      </c>
      <c r="I30" s="80">
        <f>IF($B30="","",$G30-$H30)</f>
        <v/>
      </c>
      <c r="J30" s="81">
        <f>IF($B30="","",$D30-$E30-$F30-$G30)</f>
        <v/>
      </c>
      <c r="K30" s="71">
        <f>IF(OR($B30="",$D30=0),"",$J30/$D30)</f>
        <v/>
      </c>
      <c r="L30" s="75">
        <f>IF($B30="","",IF($D30=0,"Sin produccion registrada",IF($E30=0,"Sin ventas mapeadas en Fudo",IF(AND($K30&lt;&gt;"",ABS($K30)&gt;Config!$B$48),IF($J30&gt;0,"Salida sin explicar: consumo no registrado o faltante","Se vendio mas de lo elaborado: revisar stock previo"),IF($I30&lt;&gt;0,"Hay descarte sin detallar en la planilla 5","OK")))))</f>
        <v/>
      </c>
      <c r="M30" s="76">
        <f>IF($K30="","",ABS($K30)+ROW()/1000000)</f>
        <v/>
      </c>
    </row>
    <row r="31">
      <c r="A31" s="31" t="inlineStr">
        <is>
          <t>Panadería</t>
        </is>
      </c>
      <c r="B31" s="82">
        <f>IF('4 Prod Panaderia'!$A31="","",'4 Prod Panaderia'!$A31)</f>
        <v/>
      </c>
      <c r="C31" s="45">
        <f>IF('4 Prod Panaderia'!$B31="","",'4 Prod Panaderia'!$B31)</f>
        <v/>
      </c>
      <c r="D31" s="79">
        <f>'4 Prod Panaderia'!$Q31</f>
        <v/>
      </c>
      <c r="E31" s="80">
        <f>IF($B31="","",SUMIFS('8 Fudo Ventas'!$B$6:$B$305,'8 Fudo Ventas'!$D$6:$D$305,$B31,'8 Fudo Ventas'!$C$6:$C$305,$A31))</f>
        <v/>
      </c>
      <c r="F31" s="80">
        <f>IF($B31="","",SUMIFS('8 Fudo Consumos'!$D$6:$D$255,'8 Fudo Consumos'!$B$6:$B$255,$B31,'8 Fudo Consumos'!$C$6:$C$255,$A31))</f>
        <v/>
      </c>
      <c r="G31" s="79">
        <f>'4 Prod Panaderia'!$R31</f>
        <v/>
      </c>
      <c r="H31" s="80">
        <f>IF($B31="","",SUMIFS('5 Descartes'!$D$6:$D$205,'5 Descartes'!$C$6:$C$205,$B31,'5 Descartes'!$B$6:$B$205,$A31))</f>
        <v/>
      </c>
      <c r="I31" s="80">
        <f>IF($B31="","",$G31-$H31)</f>
        <v/>
      </c>
      <c r="J31" s="81">
        <f>IF($B31="","",$D31-$E31-$F31-$G31)</f>
        <v/>
      </c>
      <c r="K31" s="71">
        <f>IF(OR($B31="",$D31=0),"",$J31/$D31)</f>
        <v/>
      </c>
      <c r="L31" s="75">
        <f>IF($B31="","",IF($D31=0,"Sin produccion registrada",IF($E31=0,"Sin ventas mapeadas en Fudo",IF(AND($K31&lt;&gt;"",ABS($K31)&gt;Config!$B$48),IF($J31&gt;0,"Salida sin explicar: consumo no registrado o faltante","Se vendio mas de lo elaborado: revisar stock previo"),IF($I31&lt;&gt;0,"Hay descarte sin detallar en la planilla 5","OK")))))</f>
        <v/>
      </c>
      <c r="M31" s="76">
        <f>IF($K31="","",ABS($K31)+ROW()/1000000)</f>
        <v/>
      </c>
    </row>
    <row r="32">
      <c r="A32" s="27" t="inlineStr">
        <is>
          <t>Panadería</t>
        </is>
      </c>
      <c r="B32" s="23">
        <f>IF('4 Prod Panaderia'!$A32="","",'4 Prod Panaderia'!$A32)</f>
        <v/>
      </c>
      <c r="C32" s="40">
        <f>IF('4 Prod Panaderia'!$B32="","",'4 Prod Panaderia'!$B32)</f>
        <v/>
      </c>
      <c r="D32" s="79">
        <f>'4 Prod Panaderia'!$Q32</f>
        <v/>
      </c>
      <c r="E32" s="80">
        <f>IF($B32="","",SUMIFS('8 Fudo Ventas'!$B$6:$B$305,'8 Fudo Ventas'!$D$6:$D$305,$B32,'8 Fudo Ventas'!$C$6:$C$305,$A32))</f>
        <v/>
      </c>
      <c r="F32" s="80">
        <f>IF($B32="","",SUMIFS('8 Fudo Consumos'!$D$6:$D$255,'8 Fudo Consumos'!$B$6:$B$255,$B32,'8 Fudo Consumos'!$C$6:$C$255,$A32))</f>
        <v/>
      </c>
      <c r="G32" s="79">
        <f>'4 Prod Panaderia'!$R32</f>
        <v/>
      </c>
      <c r="H32" s="80">
        <f>IF($B32="","",SUMIFS('5 Descartes'!$D$6:$D$205,'5 Descartes'!$C$6:$C$205,$B32,'5 Descartes'!$B$6:$B$205,$A32))</f>
        <v/>
      </c>
      <c r="I32" s="80">
        <f>IF($B32="","",$G32-$H32)</f>
        <v/>
      </c>
      <c r="J32" s="81">
        <f>IF($B32="","",$D32-$E32-$F32-$G32)</f>
        <v/>
      </c>
      <c r="K32" s="71">
        <f>IF(OR($B32="",$D32=0),"",$J32/$D32)</f>
        <v/>
      </c>
      <c r="L32" s="75">
        <f>IF($B32="","",IF($D32=0,"Sin produccion registrada",IF($E32=0,"Sin ventas mapeadas en Fudo",IF(AND($K32&lt;&gt;"",ABS($K32)&gt;Config!$B$48),IF($J32&gt;0,"Salida sin explicar: consumo no registrado o faltante","Se vendio mas de lo elaborado: revisar stock previo"),IF($I32&lt;&gt;0,"Hay descarte sin detallar en la planilla 5","OK")))))</f>
        <v/>
      </c>
      <c r="M32" s="76">
        <f>IF($K32="","",ABS($K32)+ROW()/1000000)</f>
        <v/>
      </c>
    </row>
    <row r="33">
      <c r="A33" s="31" t="inlineStr">
        <is>
          <t>Panadería</t>
        </is>
      </c>
      <c r="B33" s="82">
        <f>IF('4 Prod Panaderia'!$A33="","",'4 Prod Panaderia'!$A33)</f>
        <v/>
      </c>
      <c r="C33" s="45">
        <f>IF('4 Prod Panaderia'!$B33="","",'4 Prod Panaderia'!$B33)</f>
        <v/>
      </c>
      <c r="D33" s="79">
        <f>'4 Prod Panaderia'!$Q33</f>
        <v/>
      </c>
      <c r="E33" s="80">
        <f>IF($B33="","",SUMIFS('8 Fudo Ventas'!$B$6:$B$305,'8 Fudo Ventas'!$D$6:$D$305,$B33,'8 Fudo Ventas'!$C$6:$C$305,$A33))</f>
        <v/>
      </c>
      <c r="F33" s="80">
        <f>IF($B33="","",SUMIFS('8 Fudo Consumos'!$D$6:$D$255,'8 Fudo Consumos'!$B$6:$B$255,$B33,'8 Fudo Consumos'!$C$6:$C$255,$A33))</f>
        <v/>
      </c>
      <c r="G33" s="79">
        <f>'4 Prod Panaderia'!$R33</f>
        <v/>
      </c>
      <c r="H33" s="80">
        <f>IF($B33="","",SUMIFS('5 Descartes'!$D$6:$D$205,'5 Descartes'!$C$6:$C$205,$B33,'5 Descartes'!$B$6:$B$205,$A33))</f>
        <v/>
      </c>
      <c r="I33" s="80">
        <f>IF($B33="","",$G33-$H33)</f>
        <v/>
      </c>
      <c r="J33" s="81">
        <f>IF($B33="","",$D33-$E33-$F33-$G33)</f>
        <v/>
      </c>
      <c r="K33" s="71">
        <f>IF(OR($B33="",$D33=0),"",$J33/$D33)</f>
        <v/>
      </c>
      <c r="L33" s="75">
        <f>IF($B33="","",IF($D33=0,"Sin produccion registrada",IF($E33=0,"Sin ventas mapeadas en Fudo",IF(AND($K33&lt;&gt;"",ABS($K33)&gt;Config!$B$48),IF($J33&gt;0,"Salida sin explicar: consumo no registrado o faltante","Se vendio mas de lo elaborado: revisar stock previo"),IF($I33&lt;&gt;0,"Hay descarte sin detallar en la planilla 5","OK")))))</f>
        <v/>
      </c>
      <c r="M33" s="76">
        <f>IF($K33="","",ABS($K33)+ROW()/1000000)</f>
        <v/>
      </c>
    </row>
    <row r="34">
      <c r="A34" s="27" t="inlineStr">
        <is>
          <t>Panadería</t>
        </is>
      </c>
      <c r="B34" s="23">
        <f>IF('4 Prod Panaderia'!$A34="","",'4 Prod Panaderia'!$A34)</f>
        <v/>
      </c>
      <c r="C34" s="40">
        <f>IF('4 Prod Panaderia'!$B34="","",'4 Prod Panaderia'!$B34)</f>
        <v/>
      </c>
      <c r="D34" s="79">
        <f>'4 Prod Panaderia'!$Q34</f>
        <v/>
      </c>
      <c r="E34" s="80">
        <f>IF($B34="","",SUMIFS('8 Fudo Ventas'!$B$6:$B$305,'8 Fudo Ventas'!$D$6:$D$305,$B34,'8 Fudo Ventas'!$C$6:$C$305,$A34))</f>
        <v/>
      </c>
      <c r="F34" s="80">
        <f>IF($B34="","",SUMIFS('8 Fudo Consumos'!$D$6:$D$255,'8 Fudo Consumos'!$B$6:$B$255,$B34,'8 Fudo Consumos'!$C$6:$C$255,$A34))</f>
        <v/>
      </c>
      <c r="G34" s="79">
        <f>'4 Prod Panaderia'!$R34</f>
        <v/>
      </c>
      <c r="H34" s="80">
        <f>IF($B34="","",SUMIFS('5 Descartes'!$D$6:$D$205,'5 Descartes'!$C$6:$C$205,$B34,'5 Descartes'!$B$6:$B$205,$A34))</f>
        <v/>
      </c>
      <c r="I34" s="80">
        <f>IF($B34="","",$G34-$H34)</f>
        <v/>
      </c>
      <c r="J34" s="81">
        <f>IF($B34="","",$D34-$E34-$F34-$G34)</f>
        <v/>
      </c>
      <c r="K34" s="71">
        <f>IF(OR($B34="",$D34=0),"",$J34/$D34)</f>
        <v/>
      </c>
      <c r="L34" s="75">
        <f>IF($B34="","",IF($D34=0,"Sin produccion registrada",IF($E34=0,"Sin ventas mapeadas en Fudo",IF(AND($K34&lt;&gt;"",ABS($K34)&gt;Config!$B$48),IF($J34&gt;0,"Salida sin explicar: consumo no registrado o faltante","Se vendio mas de lo elaborado: revisar stock previo"),IF($I34&lt;&gt;0,"Hay descarte sin detallar en la planilla 5","OK")))))</f>
        <v/>
      </c>
      <c r="M34" s="76">
        <f>IF($K34="","",ABS($K34)+ROW()/1000000)</f>
        <v/>
      </c>
    </row>
    <row r="35">
      <c r="A35" s="31" t="inlineStr">
        <is>
          <t>Panadería</t>
        </is>
      </c>
      <c r="B35" s="82">
        <f>IF('4 Prod Panaderia'!$A35="","",'4 Prod Panaderia'!$A35)</f>
        <v/>
      </c>
      <c r="C35" s="45">
        <f>IF('4 Prod Panaderia'!$B35="","",'4 Prod Panaderia'!$B35)</f>
        <v/>
      </c>
      <c r="D35" s="79">
        <f>'4 Prod Panaderia'!$Q35</f>
        <v/>
      </c>
      <c r="E35" s="80">
        <f>IF($B35="","",SUMIFS('8 Fudo Ventas'!$B$6:$B$305,'8 Fudo Ventas'!$D$6:$D$305,$B35,'8 Fudo Ventas'!$C$6:$C$305,$A35))</f>
        <v/>
      </c>
      <c r="F35" s="80">
        <f>IF($B35="","",SUMIFS('8 Fudo Consumos'!$D$6:$D$255,'8 Fudo Consumos'!$B$6:$B$255,$B35,'8 Fudo Consumos'!$C$6:$C$255,$A35))</f>
        <v/>
      </c>
      <c r="G35" s="79">
        <f>'4 Prod Panaderia'!$R35</f>
        <v/>
      </c>
      <c r="H35" s="80">
        <f>IF($B35="","",SUMIFS('5 Descartes'!$D$6:$D$205,'5 Descartes'!$C$6:$C$205,$B35,'5 Descartes'!$B$6:$B$205,$A35))</f>
        <v/>
      </c>
      <c r="I35" s="80">
        <f>IF($B35="","",$G35-$H35)</f>
        <v/>
      </c>
      <c r="J35" s="81">
        <f>IF($B35="","",$D35-$E35-$F35-$G35)</f>
        <v/>
      </c>
      <c r="K35" s="71">
        <f>IF(OR($B35="",$D35=0),"",$J35/$D35)</f>
        <v/>
      </c>
      <c r="L35" s="75">
        <f>IF($B35="","",IF($D35=0,"Sin produccion registrada",IF($E35=0,"Sin ventas mapeadas en Fudo",IF(AND($K35&lt;&gt;"",ABS($K35)&gt;Config!$B$48),IF($J35&gt;0,"Salida sin explicar: consumo no registrado o faltante","Se vendio mas de lo elaborado: revisar stock previo"),IF($I35&lt;&gt;0,"Hay descarte sin detallar en la planilla 5","OK")))))</f>
        <v/>
      </c>
      <c r="M35" s="76">
        <f>IF($K35="","",ABS($K35)+ROW()/1000000)</f>
        <v/>
      </c>
    </row>
    <row r="36">
      <c r="A36" s="27" t="inlineStr">
        <is>
          <t>Panadería</t>
        </is>
      </c>
      <c r="B36" s="23">
        <f>IF('4 Prod Panaderia'!$A36="","",'4 Prod Panaderia'!$A36)</f>
        <v/>
      </c>
      <c r="C36" s="40">
        <f>IF('4 Prod Panaderia'!$B36="","",'4 Prod Panaderia'!$B36)</f>
        <v/>
      </c>
      <c r="D36" s="79">
        <f>'4 Prod Panaderia'!$Q36</f>
        <v/>
      </c>
      <c r="E36" s="80">
        <f>IF($B36="","",SUMIFS('8 Fudo Ventas'!$B$6:$B$305,'8 Fudo Ventas'!$D$6:$D$305,$B36,'8 Fudo Ventas'!$C$6:$C$305,$A36))</f>
        <v/>
      </c>
      <c r="F36" s="80">
        <f>IF($B36="","",SUMIFS('8 Fudo Consumos'!$D$6:$D$255,'8 Fudo Consumos'!$B$6:$B$255,$B36,'8 Fudo Consumos'!$C$6:$C$255,$A36))</f>
        <v/>
      </c>
      <c r="G36" s="79">
        <f>'4 Prod Panaderia'!$R36</f>
        <v/>
      </c>
      <c r="H36" s="80">
        <f>IF($B36="","",SUMIFS('5 Descartes'!$D$6:$D$205,'5 Descartes'!$C$6:$C$205,$B36,'5 Descartes'!$B$6:$B$205,$A36))</f>
        <v/>
      </c>
      <c r="I36" s="80">
        <f>IF($B36="","",$G36-$H36)</f>
        <v/>
      </c>
      <c r="J36" s="81">
        <f>IF($B36="","",$D36-$E36-$F36-$G36)</f>
        <v/>
      </c>
      <c r="K36" s="71">
        <f>IF(OR($B36="",$D36=0),"",$J36/$D36)</f>
        <v/>
      </c>
      <c r="L36" s="75">
        <f>IF($B36="","",IF($D36=0,"Sin produccion registrada",IF($E36=0,"Sin ventas mapeadas en Fudo",IF(AND($K36&lt;&gt;"",ABS($K36)&gt;Config!$B$48),IF($J36&gt;0,"Salida sin explicar: consumo no registrado o faltante","Se vendio mas de lo elaborado: revisar stock previo"),IF($I36&lt;&gt;0,"Hay descarte sin detallar en la planilla 5","OK")))))</f>
        <v/>
      </c>
      <c r="M36" s="76">
        <f>IF($K36="","",ABS($K36)+ROW()/1000000)</f>
        <v/>
      </c>
    </row>
    <row r="37">
      <c r="A37" s="31" t="inlineStr">
        <is>
          <t>Panadería</t>
        </is>
      </c>
      <c r="B37" s="82">
        <f>IF('4 Prod Panaderia'!$A37="","",'4 Prod Panaderia'!$A37)</f>
        <v/>
      </c>
      <c r="C37" s="45">
        <f>IF('4 Prod Panaderia'!$B37="","",'4 Prod Panaderia'!$B37)</f>
        <v/>
      </c>
      <c r="D37" s="79">
        <f>'4 Prod Panaderia'!$Q37</f>
        <v/>
      </c>
      <c r="E37" s="80">
        <f>IF($B37="","",SUMIFS('8 Fudo Ventas'!$B$6:$B$305,'8 Fudo Ventas'!$D$6:$D$305,$B37,'8 Fudo Ventas'!$C$6:$C$305,$A37))</f>
        <v/>
      </c>
      <c r="F37" s="80">
        <f>IF($B37="","",SUMIFS('8 Fudo Consumos'!$D$6:$D$255,'8 Fudo Consumos'!$B$6:$B$255,$B37,'8 Fudo Consumos'!$C$6:$C$255,$A37))</f>
        <v/>
      </c>
      <c r="G37" s="79">
        <f>'4 Prod Panaderia'!$R37</f>
        <v/>
      </c>
      <c r="H37" s="80">
        <f>IF($B37="","",SUMIFS('5 Descartes'!$D$6:$D$205,'5 Descartes'!$C$6:$C$205,$B37,'5 Descartes'!$B$6:$B$205,$A37))</f>
        <v/>
      </c>
      <c r="I37" s="80">
        <f>IF($B37="","",$G37-$H37)</f>
        <v/>
      </c>
      <c r="J37" s="81">
        <f>IF($B37="","",$D37-$E37-$F37-$G37)</f>
        <v/>
      </c>
      <c r="K37" s="71">
        <f>IF(OR($B37="",$D37=0),"",$J37/$D37)</f>
        <v/>
      </c>
      <c r="L37" s="75">
        <f>IF($B37="","",IF($D37=0,"Sin produccion registrada",IF($E37=0,"Sin ventas mapeadas en Fudo",IF(AND($K37&lt;&gt;"",ABS($K37)&gt;Config!$B$48),IF($J37&gt;0,"Salida sin explicar: consumo no registrado o faltante","Se vendio mas de lo elaborado: revisar stock previo"),IF($I37&lt;&gt;0,"Hay descarte sin detallar en la planilla 5","OK")))))</f>
        <v/>
      </c>
      <c r="M37" s="76">
        <f>IF($K37="","",ABS($K37)+ROW()/1000000)</f>
        <v/>
      </c>
    </row>
    <row r="38">
      <c r="A38" s="27" t="inlineStr">
        <is>
          <t>Panadería</t>
        </is>
      </c>
      <c r="B38" s="23">
        <f>IF('4 Prod Panaderia'!$A38="","",'4 Prod Panaderia'!$A38)</f>
        <v/>
      </c>
      <c r="C38" s="40">
        <f>IF('4 Prod Panaderia'!$B38="","",'4 Prod Panaderia'!$B38)</f>
        <v/>
      </c>
      <c r="D38" s="79">
        <f>'4 Prod Panaderia'!$Q38</f>
        <v/>
      </c>
      <c r="E38" s="80">
        <f>IF($B38="","",SUMIFS('8 Fudo Ventas'!$B$6:$B$305,'8 Fudo Ventas'!$D$6:$D$305,$B38,'8 Fudo Ventas'!$C$6:$C$305,$A38))</f>
        <v/>
      </c>
      <c r="F38" s="80">
        <f>IF($B38="","",SUMIFS('8 Fudo Consumos'!$D$6:$D$255,'8 Fudo Consumos'!$B$6:$B$255,$B38,'8 Fudo Consumos'!$C$6:$C$255,$A38))</f>
        <v/>
      </c>
      <c r="G38" s="79">
        <f>'4 Prod Panaderia'!$R38</f>
        <v/>
      </c>
      <c r="H38" s="80">
        <f>IF($B38="","",SUMIFS('5 Descartes'!$D$6:$D$205,'5 Descartes'!$C$6:$C$205,$B38,'5 Descartes'!$B$6:$B$205,$A38))</f>
        <v/>
      </c>
      <c r="I38" s="80">
        <f>IF($B38="","",$G38-$H38)</f>
        <v/>
      </c>
      <c r="J38" s="81">
        <f>IF($B38="","",$D38-$E38-$F38-$G38)</f>
        <v/>
      </c>
      <c r="K38" s="71">
        <f>IF(OR($B38="",$D38=0),"",$J38/$D38)</f>
        <v/>
      </c>
      <c r="L38" s="75">
        <f>IF($B38="","",IF($D38=0,"Sin produccion registrada",IF($E38=0,"Sin ventas mapeadas en Fudo",IF(AND($K38&lt;&gt;"",ABS($K38)&gt;Config!$B$48),IF($J38&gt;0,"Salida sin explicar: consumo no registrado o faltante","Se vendio mas de lo elaborado: revisar stock previo"),IF($I38&lt;&gt;0,"Hay descarte sin detallar en la planilla 5","OK")))))</f>
        <v/>
      </c>
      <c r="M38" s="76">
        <f>IF($K38="","",ABS($K38)+ROW()/1000000)</f>
        <v/>
      </c>
    </row>
    <row r="39">
      <c r="A39" s="31" t="inlineStr">
        <is>
          <t>Panadería</t>
        </is>
      </c>
      <c r="B39" s="82">
        <f>IF('4 Prod Panaderia'!$A39="","",'4 Prod Panaderia'!$A39)</f>
        <v/>
      </c>
      <c r="C39" s="45">
        <f>IF('4 Prod Panaderia'!$B39="","",'4 Prod Panaderia'!$B39)</f>
        <v/>
      </c>
      <c r="D39" s="79">
        <f>'4 Prod Panaderia'!$Q39</f>
        <v/>
      </c>
      <c r="E39" s="80">
        <f>IF($B39="","",SUMIFS('8 Fudo Ventas'!$B$6:$B$305,'8 Fudo Ventas'!$D$6:$D$305,$B39,'8 Fudo Ventas'!$C$6:$C$305,$A39))</f>
        <v/>
      </c>
      <c r="F39" s="80">
        <f>IF($B39="","",SUMIFS('8 Fudo Consumos'!$D$6:$D$255,'8 Fudo Consumos'!$B$6:$B$255,$B39,'8 Fudo Consumos'!$C$6:$C$255,$A39))</f>
        <v/>
      </c>
      <c r="G39" s="79">
        <f>'4 Prod Panaderia'!$R39</f>
        <v/>
      </c>
      <c r="H39" s="80">
        <f>IF($B39="","",SUMIFS('5 Descartes'!$D$6:$D$205,'5 Descartes'!$C$6:$C$205,$B39,'5 Descartes'!$B$6:$B$205,$A39))</f>
        <v/>
      </c>
      <c r="I39" s="80">
        <f>IF($B39="","",$G39-$H39)</f>
        <v/>
      </c>
      <c r="J39" s="81">
        <f>IF($B39="","",$D39-$E39-$F39-$G39)</f>
        <v/>
      </c>
      <c r="K39" s="71">
        <f>IF(OR($B39="",$D39=0),"",$J39/$D39)</f>
        <v/>
      </c>
      <c r="L39" s="75">
        <f>IF($B39="","",IF($D39=0,"Sin produccion registrada",IF($E39=0,"Sin ventas mapeadas en Fudo",IF(AND($K39&lt;&gt;"",ABS($K39)&gt;Config!$B$48),IF($J39&gt;0,"Salida sin explicar: consumo no registrado o faltante","Se vendio mas de lo elaborado: revisar stock previo"),IF($I39&lt;&gt;0,"Hay descarte sin detallar en la planilla 5","OK")))))</f>
        <v/>
      </c>
      <c r="M39" s="76">
        <f>IF($K39="","",ABS($K39)+ROW()/1000000)</f>
        <v/>
      </c>
    </row>
    <row r="40">
      <c r="A40" s="27" t="inlineStr">
        <is>
          <t>Panadería</t>
        </is>
      </c>
      <c r="B40" s="23">
        <f>IF('4 Prod Panaderia'!$A40="","",'4 Prod Panaderia'!$A40)</f>
        <v/>
      </c>
      <c r="C40" s="40">
        <f>IF('4 Prod Panaderia'!$B40="","",'4 Prod Panaderia'!$B40)</f>
        <v/>
      </c>
      <c r="D40" s="79">
        <f>'4 Prod Panaderia'!$Q40</f>
        <v/>
      </c>
      <c r="E40" s="80">
        <f>IF($B40="","",SUMIFS('8 Fudo Ventas'!$B$6:$B$305,'8 Fudo Ventas'!$D$6:$D$305,$B40,'8 Fudo Ventas'!$C$6:$C$305,$A40))</f>
        <v/>
      </c>
      <c r="F40" s="80">
        <f>IF($B40="","",SUMIFS('8 Fudo Consumos'!$D$6:$D$255,'8 Fudo Consumos'!$B$6:$B$255,$B40,'8 Fudo Consumos'!$C$6:$C$255,$A40))</f>
        <v/>
      </c>
      <c r="G40" s="79">
        <f>'4 Prod Panaderia'!$R40</f>
        <v/>
      </c>
      <c r="H40" s="80">
        <f>IF($B40="","",SUMIFS('5 Descartes'!$D$6:$D$205,'5 Descartes'!$C$6:$C$205,$B40,'5 Descartes'!$B$6:$B$205,$A40))</f>
        <v/>
      </c>
      <c r="I40" s="80">
        <f>IF($B40="","",$G40-$H40)</f>
        <v/>
      </c>
      <c r="J40" s="81">
        <f>IF($B40="","",$D40-$E40-$F40-$G40)</f>
        <v/>
      </c>
      <c r="K40" s="71">
        <f>IF(OR($B40="",$D40=0),"",$J40/$D40)</f>
        <v/>
      </c>
      <c r="L40" s="75">
        <f>IF($B40="","",IF($D40=0,"Sin produccion registrada",IF($E40=0,"Sin ventas mapeadas en Fudo",IF(AND($K40&lt;&gt;"",ABS($K40)&gt;Config!$B$48),IF($J40&gt;0,"Salida sin explicar: consumo no registrado o faltante","Se vendio mas de lo elaborado: revisar stock previo"),IF($I40&lt;&gt;0,"Hay descarte sin detallar en la planilla 5","OK")))))</f>
        <v/>
      </c>
      <c r="M40" s="76">
        <f>IF($K40="","",ABS($K40)+ROW()/1000000)</f>
        <v/>
      </c>
    </row>
    <row r="41">
      <c r="A41" s="31" t="inlineStr">
        <is>
          <t>Panadería</t>
        </is>
      </c>
      <c r="B41" s="82">
        <f>IF('4 Prod Panaderia'!$A41="","",'4 Prod Panaderia'!$A41)</f>
        <v/>
      </c>
      <c r="C41" s="45">
        <f>IF('4 Prod Panaderia'!$B41="","",'4 Prod Panaderia'!$B41)</f>
        <v/>
      </c>
      <c r="D41" s="79">
        <f>'4 Prod Panaderia'!$Q41</f>
        <v/>
      </c>
      <c r="E41" s="80">
        <f>IF($B41="","",SUMIFS('8 Fudo Ventas'!$B$6:$B$305,'8 Fudo Ventas'!$D$6:$D$305,$B41,'8 Fudo Ventas'!$C$6:$C$305,$A41))</f>
        <v/>
      </c>
      <c r="F41" s="80">
        <f>IF($B41="","",SUMIFS('8 Fudo Consumos'!$D$6:$D$255,'8 Fudo Consumos'!$B$6:$B$255,$B41,'8 Fudo Consumos'!$C$6:$C$255,$A41))</f>
        <v/>
      </c>
      <c r="G41" s="79">
        <f>'4 Prod Panaderia'!$R41</f>
        <v/>
      </c>
      <c r="H41" s="80">
        <f>IF($B41="","",SUMIFS('5 Descartes'!$D$6:$D$205,'5 Descartes'!$C$6:$C$205,$B41,'5 Descartes'!$B$6:$B$205,$A41))</f>
        <v/>
      </c>
      <c r="I41" s="80">
        <f>IF($B41="","",$G41-$H41)</f>
        <v/>
      </c>
      <c r="J41" s="81">
        <f>IF($B41="","",$D41-$E41-$F41-$G41)</f>
        <v/>
      </c>
      <c r="K41" s="71">
        <f>IF(OR($B41="",$D41=0),"",$J41/$D41)</f>
        <v/>
      </c>
      <c r="L41" s="75">
        <f>IF($B41="","",IF($D41=0,"Sin produccion registrada",IF($E41=0,"Sin ventas mapeadas en Fudo",IF(AND($K41&lt;&gt;"",ABS($K41)&gt;Config!$B$48),IF($J41&gt;0,"Salida sin explicar: consumo no registrado o faltante","Se vendio mas de lo elaborado: revisar stock previo"),IF($I41&lt;&gt;0,"Hay descarte sin detallar en la planilla 5","OK")))))</f>
        <v/>
      </c>
      <c r="M41" s="76">
        <f>IF($K41="","",ABS($K41)+ROW()/1000000)</f>
        <v/>
      </c>
    </row>
    <row r="42">
      <c r="A42" s="27" t="inlineStr">
        <is>
          <t>Panadería</t>
        </is>
      </c>
      <c r="B42" s="23">
        <f>IF('4 Prod Panaderia'!$A42="","",'4 Prod Panaderia'!$A42)</f>
        <v/>
      </c>
      <c r="C42" s="40">
        <f>IF('4 Prod Panaderia'!$B42="","",'4 Prod Panaderia'!$B42)</f>
        <v/>
      </c>
      <c r="D42" s="79">
        <f>'4 Prod Panaderia'!$Q42</f>
        <v/>
      </c>
      <c r="E42" s="80">
        <f>IF($B42="","",SUMIFS('8 Fudo Ventas'!$B$6:$B$305,'8 Fudo Ventas'!$D$6:$D$305,$B42,'8 Fudo Ventas'!$C$6:$C$305,$A42))</f>
        <v/>
      </c>
      <c r="F42" s="80">
        <f>IF($B42="","",SUMIFS('8 Fudo Consumos'!$D$6:$D$255,'8 Fudo Consumos'!$B$6:$B$255,$B42,'8 Fudo Consumos'!$C$6:$C$255,$A42))</f>
        <v/>
      </c>
      <c r="G42" s="79">
        <f>'4 Prod Panaderia'!$R42</f>
        <v/>
      </c>
      <c r="H42" s="80">
        <f>IF($B42="","",SUMIFS('5 Descartes'!$D$6:$D$205,'5 Descartes'!$C$6:$C$205,$B42,'5 Descartes'!$B$6:$B$205,$A42))</f>
        <v/>
      </c>
      <c r="I42" s="80">
        <f>IF($B42="","",$G42-$H42)</f>
        <v/>
      </c>
      <c r="J42" s="81">
        <f>IF($B42="","",$D42-$E42-$F42-$G42)</f>
        <v/>
      </c>
      <c r="K42" s="71">
        <f>IF(OR($B42="",$D42=0),"",$J42/$D42)</f>
        <v/>
      </c>
      <c r="L42" s="75">
        <f>IF($B42="","",IF($D42=0,"Sin produccion registrada",IF($E42=0,"Sin ventas mapeadas en Fudo",IF(AND($K42&lt;&gt;"",ABS($K42)&gt;Config!$B$48),IF($J42&gt;0,"Salida sin explicar: consumo no registrado o faltante","Se vendio mas de lo elaborado: revisar stock previo"),IF($I42&lt;&gt;0,"Hay descarte sin detallar en la planilla 5","OK")))))</f>
        <v/>
      </c>
      <c r="M42" s="76">
        <f>IF($K42="","",ABS($K42)+ROW()/1000000)</f>
        <v/>
      </c>
    </row>
    <row r="43">
      <c r="A43" s="31" t="inlineStr">
        <is>
          <t>Panadería</t>
        </is>
      </c>
      <c r="B43" s="82">
        <f>IF('4 Prod Panaderia'!$A43="","",'4 Prod Panaderia'!$A43)</f>
        <v/>
      </c>
      <c r="C43" s="45">
        <f>IF('4 Prod Panaderia'!$B43="","",'4 Prod Panaderia'!$B43)</f>
        <v/>
      </c>
      <c r="D43" s="79">
        <f>'4 Prod Panaderia'!$Q43</f>
        <v/>
      </c>
      <c r="E43" s="80">
        <f>IF($B43="","",SUMIFS('8 Fudo Ventas'!$B$6:$B$305,'8 Fudo Ventas'!$D$6:$D$305,$B43,'8 Fudo Ventas'!$C$6:$C$305,$A43))</f>
        <v/>
      </c>
      <c r="F43" s="80">
        <f>IF($B43="","",SUMIFS('8 Fudo Consumos'!$D$6:$D$255,'8 Fudo Consumos'!$B$6:$B$255,$B43,'8 Fudo Consumos'!$C$6:$C$255,$A43))</f>
        <v/>
      </c>
      <c r="G43" s="79">
        <f>'4 Prod Panaderia'!$R43</f>
        <v/>
      </c>
      <c r="H43" s="80">
        <f>IF($B43="","",SUMIFS('5 Descartes'!$D$6:$D$205,'5 Descartes'!$C$6:$C$205,$B43,'5 Descartes'!$B$6:$B$205,$A43))</f>
        <v/>
      </c>
      <c r="I43" s="80">
        <f>IF($B43="","",$G43-$H43)</f>
        <v/>
      </c>
      <c r="J43" s="81">
        <f>IF($B43="","",$D43-$E43-$F43-$G43)</f>
        <v/>
      </c>
      <c r="K43" s="71">
        <f>IF(OR($B43="",$D43=0),"",$J43/$D43)</f>
        <v/>
      </c>
      <c r="L43" s="75">
        <f>IF($B43="","",IF($D43=0,"Sin produccion registrada",IF($E43=0,"Sin ventas mapeadas en Fudo",IF(AND($K43&lt;&gt;"",ABS($K43)&gt;Config!$B$48),IF($J43&gt;0,"Salida sin explicar: consumo no registrado o faltante","Se vendio mas de lo elaborado: revisar stock previo"),IF($I43&lt;&gt;0,"Hay descarte sin detallar en la planilla 5","OK")))))</f>
        <v/>
      </c>
      <c r="M43" s="76">
        <f>IF($K43="","",ABS($K43)+ROW()/1000000)</f>
        <v/>
      </c>
    </row>
    <row r="44">
      <c r="A44" s="27" t="inlineStr">
        <is>
          <t>Panadería</t>
        </is>
      </c>
      <c r="B44" s="23">
        <f>IF('4 Prod Panaderia'!$A44="","",'4 Prod Panaderia'!$A44)</f>
        <v/>
      </c>
      <c r="C44" s="40">
        <f>IF('4 Prod Panaderia'!$B44="","",'4 Prod Panaderia'!$B44)</f>
        <v/>
      </c>
      <c r="D44" s="79">
        <f>'4 Prod Panaderia'!$Q44</f>
        <v/>
      </c>
      <c r="E44" s="80">
        <f>IF($B44="","",SUMIFS('8 Fudo Ventas'!$B$6:$B$305,'8 Fudo Ventas'!$D$6:$D$305,$B44,'8 Fudo Ventas'!$C$6:$C$305,$A44))</f>
        <v/>
      </c>
      <c r="F44" s="80">
        <f>IF($B44="","",SUMIFS('8 Fudo Consumos'!$D$6:$D$255,'8 Fudo Consumos'!$B$6:$B$255,$B44,'8 Fudo Consumos'!$C$6:$C$255,$A44))</f>
        <v/>
      </c>
      <c r="G44" s="79">
        <f>'4 Prod Panaderia'!$R44</f>
        <v/>
      </c>
      <c r="H44" s="80">
        <f>IF($B44="","",SUMIFS('5 Descartes'!$D$6:$D$205,'5 Descartes'!$C$6:$C$205,$B44,'5 Descartes'!$B$6:$B$205,$A44))</f>
        <v/>
      </c>
      <c r="I44" s="80">
        <f>IF($B44="","",$G44-$H44)</f>
        <v/>
      </c>
      <c r="J44" s="81">
        <f>IF($B44="","",$D44-$E44-$F44-$G44)</f>
        <v/>
      </c>
      <c r="K44" s="71">
        <f>IF(OR($B44="",$D44=0),"",$J44/$D44)</f>
        <v/>
      </c>
      <c r="L44" s="75">
        <f>IF($B44="","",IF($D44=0,"Sin produccion registrada",IF($E44=0,"Sin ventas mapeadas en Fudo",IF(AND($K44&lt;&gt;"",ABS($K44)&gt;Config!$B$48),IF($J44&gt;0,"Salida sin explicar: consumo no registrado o faltante","Se vendio mas de lo elaborado: revisar stock previo"),IF($I44&lt;&gt;0,"Hay descarte sin detallar en la planilla 5","OK")))))</f>
        <v/>
      </c>
      <c r="M44" s="76">
        <f>IF($K44="","",ABS($K44)+ROW()/1000000)</f>
        <v/>
      </c>
    </row>
    <row r="45">
      <c r="A45" s="31" t="inlineStr">
        <is>
          <t>Panadería</t>
        </is>
      </c>
      <c r="B45" s="82">
        <f>IF('4 Prod Panaderia'!$A45="","",'4 Prod Panaderia'!$A45)</f>
        <v/>
      </c>
      <c r="C45" s="45">
        <f>IF('4 Prod Panaderia'!$B45="","",'4 Prod Panaderia'!$B45)</f>
        <v/>
      </c>
      <c r="D45" s="79">
        <f>'4 Prod Panaderia'!$Q45</f>
        <v/>
      </c>
      <c r="E45" s="80">
        <f>IF($B45="","",SUMIFS('8 Fudo Ventas'!$B$6:$B$305,'8 Fudo Ventas'!$D$6:$D$305,$B45,'8 Fudo Ventas'!$C$6:$C$305,$A45))</f>
        <v/>
      </c>
      <c r="F45" s="80">
        <f>IF($B45="","",SUMIFS('8 Fudo Consumos'!$D$6:$D$255,'8 Fudo Consumos'!$B$6:$B$255,$B45,'8 Fudo Consumos'!$C$6:$C$255,$A45))</f>
        <v/>
      </c>
      <c r="G45" s="79">
        <f>'4 Prod Panaderia'!$R45</f>
        <v/>
      </c>
      <c r="H45" s="80">
        <f>IF($B45="","",SUMIFS('5 Descartes'!$D$6:$D$205,'5 Descartes'!$C$6:$C$205,$B45,'5 Descartes'!$B$6:$B$205,$A45))</f>
        <v/>
      </c>
      <c r="I45" s="80">
        <f>IF($B45="","",$G45-$H45)</f>
        <v/>
      </c>
      <c r="J45" s="81">
        <f>IF($B45="","",$D45-$E45-$F45-$G45)</f>
        <v/>
      </c>
      <c r="K45" s="71">
        <f>IF(OR($B45="",$D45=0),"",$J45/$D45)</f>
        <v/>
      </c>
      <c r="L45" s="75">
        <f>IF($B45="","",IF($D45=0,"Sin produccion registrada",IF($E45=0,"Sin ventas mapeadas en Fudo",IF(AND($K45&lt;&gt;"",ABS($K45)&gt;Config!$B$48),IF($J45&gt;0,"Salida sin explicar: consumo no registrado o faltante","Se vendio mas de lo elaborado: revisar stock previo"),IF($I45&lt;&gt;0,"Hay descarte sin detallar en la planilla 5","OK")))))</f>
        <v/>
      </c>
      <c r="M45" s="76">
        <f>IF($K45="","",ABS($K45)+ROW()/1000000)</f>
        <v/>
      </c>
    </row>
    <row r="46">
      <c r="A46" s="27" t="inlineStr">
        <is>
          <t>Panadería</t>
        </is>
      </c>
      <c r="B46" s="23">
        <f>IF('4 Prod Panaderia'!$A46="","",'4 Prod Panaderia'!$A46)</f>
        <v/>
      </c>
      <c r="C46" s="40">
        <f>IF('4 Prod Panaderia'!$B46="","",'4 Prod Panaderia'!$B46)</f>
        <v/>
      </c>
      <c r="D46" s="79">
        <f>'4 Prod Panaderia'!$Q46</f>
        <v/>
      </c>
      <c r="E46" s="80">
        <f>IF($B46="","",SUMIFS('8 Fudo Ventas'!$B$6:$B$305,'8 Fudo Ventas'!$D$6:$D$305,$B46,'8 Fudo Ventas'!$C$6:$C$305,$A46))</f>
        <v/>
      </c>
      <c r="F46" s="80">
        <f>IF($B46="","",SUMIFS('8 Fudo Consumos'!$D$6:$D$255,'8 Fudo Consumos'!$B$6:$B$255,$B46,'8 Fudo Consumos'!$C$6:$C$255,$A46))</f>
        <v/>
      </c>
      <c r="G46" s="79">
        <f>'4 Prod Panaderia'!$R46</f>
        <v/>
      </c>
      <c r="H46" s="80">
        <f>IF($B46="","",SUMIFS('5 Descartes'!$D$6:$D$205,'5 Descartes'!$C$6:$C$205,$B46,'5 Descartes'!$B$6:$B$205,$A46))</f>
        <v/>
      </c>
      <c r="I46" s="80">
        <f>IF($B46="","",$G46-$H46)</f>
        <v/>
      </c>
      <c r="J46" s="81">
        <f>IF($B46="","",$D46-$E46-$F46-$G46)</f>
        <v/>
      </c>
      <c r="K46" s="71">
        <f>IF(OR($B46="",$D46=0),"",$J46/$D46)</f>
        <v/>
      </c>
      <c r="L46" s="75">
        <f>IF($B46="","",IF($D46=0,"Sin produccion registrada",IF($E46=0,"Sin ventas mapeadas en Fudo",IF(AND($K46&lt;&gt;"",ABS($K46)&gt;Config!$B$48),IF($J46&gt;0,"Salida sin explicar: consumo no registrado o faltante","Se vendio mas de lo elaborado: revisar stock previo"),IF($I46&lt;&gt;0,"Hay descarte sin detallar en la planilla 5","OK")))))</f>
        <v/>
      </c>
      <c r="M46" s="76">
        <f>IF($K46="","",ABS($K46)+ROW()/1000000)</f>
        <v/>
      </c>
    </row>
    <row r="47">
      <c r="A47" s="31" t="inlineStr">
        <is>
          <t>Panadería</t>
        </is>
      </c>
      <c r="B47" s="82">
        <f>IF('4 Prod Panaderia'!$A47="","",'4 Prod Panaderia'!$A47)</f>
        <v/>
      </c>
      <c r="C47" s="45">
        <f>IF('4 Prod Panaderia'!$B47="","",'4 Prod Panaderia'!$B47)</f>
        <v/>
      </c>
      <c r="D47" s="79">
        <f>'4 Prod Panaderia'!$Q47</f>
        <v/>
      </c>
      <c r="E47" s="80">
        <f>IF($B47="","",SUMIFS('8 Fudo Ventas'!$B$6:$B$305,'8 Fudo Ventas'!$D$6:$D$305,$B47,'8 Fudo Ventas'!$C$6:$C$305,$A47))</f>
        <v/>
      </c>
      <c r="F47" s="80">
        <f>IF($B47="","",SUMIFS('8 Fudo Consumos'!$D$6:$D$255,'8 Fudo Consumos'!$B$6:$B$255,$B47,'8 Fudo Consumos'!$C$6:$C$255,$A47))</f>
        <v/>
      </c>
      <c r="G47" s="79">
        <f>'4 Prod Panaderia'!$R47</f>
        <v/>
      </c>
      <c r="H47" s="80">
        <f>IF($B47="","",SUMIFS('5 Descartes'!$D$6:$D$205,'5 Descartes'!$C$6:$C$205,$B47,'5 Descartes'!$B$6:$B$205,$A47))</f>
        <v/>
      </c>
      <c r="I47" s="80">
        <f>IF($B47="","",$G47-$H47)</f>
        <v/>
      </c>
      <c r="J47" s="81">
        <f>IF($B47="","",$D47-$E47-$F47-$G47)</f>
        <v/>
      </c>
      <c r="K47" s="71">
        <f>IF(OR($B47="",$D47=0),"",$J47/$D47)</f>
        <v/>
      </c>
      <c r="L47" s="75">
        <f>IF($B47="","",IF($D47=0,"Sin produccion registrada",IF($E47=0,"Sin ventas mapeadas en Fudo",IF(AND($K47&lt;&gt;"",ABS($K47)&gt;Config!$B$48),IF($J47&gt;0,"Salida sin explicar: consumo no registrado o faltante","Se vendio mas de lo elaborado: revisar stock previo"),IF($I47&lt;&gt;0,"Hay descarte sin detallar en la planilla 5","OK")))))</f>
        <v/>
      </c>
      <c r="M47" s="76">
        <f>IF($K47="","",ABS($K47)+ROW()/1000000)</f>
        <v/>
      </c>
    </row>
    <row r="48">
      <c r="A48" s="27" t="inlineStr">
        <is>
          <t>Panadería</t>
        </is>
      </c>
      <c r="B48" s="23">
        <f>IF('4 Prod Panaderia'!$A48="","",'4 Prod Panaderia'!$A48)</f>
        <v/>
      </c>
      <c r="C48" s="40">
        <f>IF('4 Prod Panaderia'!$B48="","",'4 Prod Panaderia'!$B48)</f>
        <v/>
      </c>
      <c r="D48" s="79">
        <f>'4 Prod Panaderia'!$Q48</f>
        <v/>
      </c>
      <c r="E48" s="80">
        <f>IF($B48="","",SUMIFS('8 Fudo Ventas'!$B$6:$B$305,'8 Fudo Ventas'!$D$6:$D$305,$B48,'8 Fudo Ventas'!$C$6:$C$305,$A48))</f>
        <v/>
      </c>
      <c r="F48" s="80">
        <f>IF($B48="","",SUMIFS('8 Fudo Consumos'!$D$6:$D$255,'8 Fudo Consumos'!$B$6:$B$255,$B48,'8 Fudo Consumos'!$C$6:$C$255,$A48))</f>
        <v/>
      </c>
      <c r="G48" s="79">
        <f>'4 Prod Panaderia'!$R48</f>
        <v/>
      </c>
      <c r="H48" s="80">
        <f>IF($B48="","",SUMIFS('5 Descartes'!$D$6:$D$205,'5 Descartes'!$C$6:$C$205,$B48,'5 Descartes'!$B$6:$B$205,$A48))</f>
        <v/>
      </c>
      <c r="I48" s="80">
        <f>IF($B48="","",$G48-$H48)</f>
        <v/>
      </c>
      <c r="J48" s="81">
        <f>IF($B48="","",$D48-$E48-$F48-$G48)</f>
        <v/>
      </c>
      <c r="K48" s="71">
        <f>IF(OR($B48="",$D48=0),"",$J48/$D48)</f>
        <v/>
      </c>
      <c r="L48" s="75">
        <f>IF($B48="","",IF($D48=0,"Sin produccion registrada",IF($E48=0,"Sin ventas mapeadas en Fudo",IF(AND($K48&lt;&gt;"",ABS($K48)&gt;Config!$B$48),IF($J48&gt;0,"Salida sin explicar: consumo no registrado o faltante","Se vendio mas de lo elaborado: revisar stock previo"),IF($I48&lt;&gt;0,"Hay descarte sin detallar en la planilla 5","OK")))))</f>
        <v/>
      </c>
      <c r="M48" s="76">
        <f>IF($K48="","",ABS($K48)+ROW()/1000000)</f>
        <v/>
      </c>
    </row>
    <row r="49">
      <c r="A49" s="31" t="inlineStr">
        <is>
          <t>Panadería</t>
        </is>
      </c>
      <c r="B49" s="82">
        <f>IF('4 Prod Panaderia'!$A49="","",'4 Prod Panaderia'!$A49)</f>
        <v/>
      </c>
      <c r="C49" s="45">
        <f>IF('4 Prod Panaderia'!$B49="","",'4 Prod Panaderia'!$B49)</f>
        <v/>
      </c>
      <c r="D49" s="79">
        <f>'4 Prod Panaderia'!$Q49</f>
        <v/>
      </c>
      <c r="E49" s="80">
        <f>IF($B49="","",SUMIFS('8 Fudo Ventas'!$B$6:$B$305,'8 Fudo Ventas'!$D$6:$D$305,$B49,'8 Fudo Ventas'!$C$6:$C$305,$A49))</f>
        <v/>
      </c>
      <c r="F49" s="80">
        <f>IF($B49="","",SUMIFS('8 Fudo Consumos'!$D$6:$D$255,'8 Fudo Consumos'!$B$6:$B$255,$B49,'8 Fudo Consumos'!$C$6:$C$255,$A49))</f>
        <v/>
      </c>
      <c r="G49" s="79">
        <f>'4 Prod Panaderia'!$R49</f>
        <v/>
      </c>
      <c r="H49" s="80">
        <f>IF($B49="","",SUMIFS('5 Descartes'!$D$6:$D$205,'5 Descartes'!$C$6:$C$205,$B49,'5 Descartes'!$B$6:$B$205,$A49))</f>
        <v/>
      </c>
      <c r="I49" s="80">
        <f>IF($B49="","",$G49-$H49)</f>
        <v/>
      </c>
      <c r="J49" s="81">
        <f>IF($B49="","",$D49-$E49-$F49-$G49)</f>
        <v/>
      </c>
      <c r="K49" s="71">
        <f>IF(OR($B49="",$D49=0),"",$J49/$D49)</f>
        <v/>
      </c>
      <c r="L49" s="75">
        <f>IF($B49="","",IF($D49=0,"Sin produccion registrada",IF($E49=0,"Sin ventas mapeadas en Fudo",IF(AND($K49&lt;&gt;"",ABS($K49)&gt;Config!$B$48),IF($J49&gt;0,"Salida sin explicar: consumo no registrado o faltante","Se vendio mas de lo elaborado: revisar stock previo"),IF($I49&lt;&gt;0,"Hay descarte sin detallar en la planilla 5","OK")))))</f>
        <v/>
      </c>
      <c r="M49" s="76">
        <f>IF($K49="","",ABS($K49)+ROW()/1000000)</f>
        <v/>
      </c>
    </row>
    <row r="50">
      <c r="A50" s="27" t="inlineStr">
        <is>
          <t>Panadería</t>
        </is>
      </c>
      <c r="B50" s="23">
        <f>IF('4 Prod Panaderia'!$A50="","",'4 Prod Panaderia'!$A50)</f>
        <v/>
      </c>
      <c r="C50" s="40">
        <f>IF('4 Prod Panaderia'!$B50="","",'4 Prod Panaderia'!$B50)</f>
        <v/>
      </c>
      <c r="D50" s="79">
        <f>'4 Prod Panaderia'!$Q50</f>
        <v/>
      </c>
      <c r="E50" s="80">
        <f>IF($B50="","",SUMIFS('8 Fudo Ventas'!$B$6:$B$305,'8 Fudo Ventas'!$D$6:$D$305,$B50,'8 Fudo Ventas'!$C$6:$C$305,$A50))</f>
        <v/>
      </c>
      <c r="F50" s="80">
        <f>IF($B50="","",SUMIFS('8 Fudo Consumos'!$D$6:$D$255,'8 Fudo Consumos'!$B$6:$B$255,$B50,'8 Fudo Consumos'!$C$6:$C$255,$A50))</f>
        <v/>
      </c>
      <c r="G50" s="79">
        <f>'4 Prod Panaderia'!$R50</f>
        <v/>
      </c>
      <c r="H50" s="80">
        <f>IF($B50="","",SUMIFS('5 Descartes'!$D$6:$D$205,'5 Descartes'!$C$6:$C$205,$B50,'5 Descartes'!$B$6:$B$205,$A50))</f>
        <v/>
      </c>
      <c r="I50" s="80">
        <f>IF($B50="","",$G50-$H50)</f>
        <v/>
      </c>
      <c r="J50" s="81">
        <f>IF($B50="","",$D50-$E50-$F50-$G50)</f>
        <v/>
      </c>
      <c r="K50" s="71">
        <f>IF(OR($B50="",$D50=0),"",$J50/$D50)</f>
        <v/>
      </c>
      <c r="L50" s="75">
        <f>IF($B50="","",IF($D50=0,"Sin produccion registrada",IF($E50=0,"Sin ventas mapeadas en Fudo",IF(AND($K50&lt;&gt;"",ABS($K50)&gt;Config!$B$48),IF($J50&gt;0,"Salida sin explicar: consumo no registrado o faltante","Se vendio mas de lo elaborado: revisar stock previo"),IF($I50&lt;&gt;0,"Hay descarte sin detallar en la planilla 5","OK")))))</f>
        <v/>
      </c>
      <c r="M50" s="76">
        <f>IF($K50="","",ABS($K50)+ROW()/1000000)</f>
        <v/>
      </c>
    </row>
    <row r="51">
      <c r="A51" s="31" t="inlineStr">
        <is>
          <t>Panadería</t>
        </is>
      </c>
      <c r="B51" s="82">
        <f>IF('4 Prod Panaderia'!$A51="","",'4 Prod Panaderia'!$A51)</f>
        <v/>
      </c>
      <c r="C51" s="45">
        <f>IF('4 Prod Panaderia'!$B51="","",'4 Prod Panaderia'!$B51)</f>
        <v/>
      </c>
      <c r="D51" s="79">
        <f>'4 Prod Panaderia'!$Q51</f>
        <v/>
      </c>
      <c r="E51" s="80">
        <f>IF($B51="","",SUMIFS('8 Fudo Ventas'!$B$6:$B$305,'8 Fudo Ventas'!$D$6:$D$305,$B51,'8 Fudo Ventas'!$C$6:$C$305,$A51))</f>
        <v/>
      </c>
      <c r="F51" s="80">
        <f>IF($B51="","",SUMIFS('8 Fudo Consumos'!$D$6:$D$255,'8 Fudo Consumos'!$B$6:$B$255,$B51,'8 Fudo Consumos'!$C$6:$C$255,$A51))</f>
        <v/>
      </c>
      <c r="G51" s="79">
        <f>'4 Prod Panaderia'!$R51</f>
        <v/>
      </c>
      <c r="H51" s="80">
        <f>IF($B51="","",SUMIFS('5 Descartes'!$D$6:$D$205,'5 Descartes'!$C$6:$C$205,$B51,'5 Descartes'!$B$6:$B$205,$A51))</f>
        <v/>
      </c>
      <c r="I51" s="80">
        <f>IF($B51="","",$G51-$H51)</f>
        <v/>
      </c>
      <c r="J51" s="81">
        <f>IF($B51="","",$D51-$E51-$F51-$G51)</f>
        <v/>
      </c>
      <c r="K51" s="71">
        <f>IF(OR($B51="",$D51=0),"",$J51/$D51)</f>
        <v/>
      </c>
      <c r="L51" s="75">
        <f>IF($B51="","",IF($D51=0,"Sin produccion registrada",IF($E51=0,"Sin ventas mapeadas en Fudo",IF(AND($K51&lt;&gt;"",ABS($K51)&gt;Config!$B$48),IF($J51&gt;0,"Salida sin explicar: consumo no registrado o faltante","Se vendio mas de lo elaborado: revisar stock previo"),IF($I51&lt;&gt;0,"Hay descarte sin detallar en la planilla 5","OK")))))</f>
        <v/>
      </c>
      <c r="M51" s="76">
        <f>IF($K51="","",ABS($K51)+ROW()/1000000)</f>
        <v/>
      </c>
    </row>
    <row r="52">
      <c r="A52" s="27" t="inlineStr">
        <is>
          <t>Panadería</t>
        </is>
      </c>
      <c r="B52" s="23">
        <f>IF('4 Prod Panaderia'!$A52="","",'4 Prod Panaderia'!$A52)</f>
        <v/>
      </c>
      <c r="C52" s="40">
        <f>IF('4 Prod Panaderia'!$B52="","",'4 Prod Panaderia'!$B52)</f>
        <v/>
      </c>
      <c r="D52" s="79">
        <f>'4 Prod Panaderia'!$Q52</f>
        <v/>
      </c>
      <c r="E52" s="80">
        <f>IF($B52="","",SUMIFS('8 Fudo Ventas'!$B$6:$B$305,'8 Fudo Ventas'!$D$6:$D$305,$B52,'8 Fudo Ventas'!$C$6:$C$305,$A52))</f>
        <v/>
      </c>
      <c r="F52" s="80">
        <f>IF($B52="","",SUMIFS('8 Fudo Consumos'!$D$6:$D$255,'8 Fudo Consumos'!$B$6:$B$255,$B52,'8 Fudo Consumos'!$C$6:$C$255,$A52))</f>
        <v/>
      </c>
      <c r="G52" s="79">
        <f>'4 Prod Panaderia'!$R52</f>
        <v/>
      </c>
      <c r="H52" s="80">
        <f>IF($B52="","",SUMIFS('5 Descartes'!$D$6:$D$205,'5 Descartes'!$C$6:$C$205,$B52,'5 Descartes'!$B$6:$B$205,$A52))</f>
        <v/>
      </c>
      <c r="I52" s="80">
        <f>IF($B52="","",$G52-$H52)</f>
        <v/>
      </c>
      <c r="J52" s="81">
        <f>IF($B52="","",$D52-$E52-$F52-$G52)</f>
        <v/>
      </c>
      <c r="K52" s="71">
        <f>IF(OR($B52="",$D52=0),"",$J52/$D52)</f>
        <v/>
      </c>
      <c r="L52" s="75">
        <f>IF($B52="","",IF($D52=0,"Sin produccion registrada",IF($E52=0,"Sin ventas mapeadas en Fudo",IF(AND($K52&lt;&gt;"",ABS($K52)&gt;Config!$B$48),IF($J52&gt;0,"Salida sin explicar: consumo no registrado o faltante","Se vendio mas de lo elaborado: revisar stock previo"),IF($I52&lt;&gt;0,"Hay descarte sin detallar en la planilla 5","OK")))))</f>
        <v/>
      </c>
      <c r="M52" s="76">
        <f>IF($K52="","",ABS($K52)+ROW()/1000000)</f>
        <v/>
      </c>
    </row>
    <row r="53">
      <c r="A53" s="31" t="inlineStr">
        <is>
          <t>Panadería</t>
        </is>
      </c>
      <c r="B53" s="82">
        <f>IF('4 Prod Panaderia'!$A53="","",'4 Prod Panaderia'!$A53)</f>
        <v/>
      </c>
      <c r="C53" s="45">
        <f>IF('4 Prod Panaderia'!$B53="","",'4 Prod Panaderia'!$B53)</f>
        <v/>
      </c>
      <c r="D53" s="79">
        <f>'4 Prod Panaderia'!$Q53</f>
        <v/>
      </c>
      <c r="E53" s="80">
        <f>IF($B53="","",SUMIFS('8 Fudo Ventas'!$B$6:$B$305,'8 Fudo Ventas'!$D$6:$D$305,$B53,'8 Fudo Ventas'!$C$6:$C$305,$A53))</f>
        <v/>
      </c>
      <c r="F53" s="80">
        <f>IF($B53="","",SUMIFS('8 Fudo Consumos'!$D$6:$D$255,'8 Fudo Consumos'!$B$6:$B$255,$B53,'8 Fudo Consumos'!$C$6:$C$255,$A53))</f>
        <v/>
      </c>
      <c r="G53" s="79">
        <f>'4 Prod Panaderia'!$R53</f>
        <v/>
      </c>
      <c r="H53" s="80">
        <f>IF($B53="","",SUMIFS('5 Descartes'!$D$6:$D$205,'5 Descartes'!$C$6:$C$205,$B53,'5 Descartes'!$B$6:$B$205,$A53))</f>
        <v/>
      </c>
      <c r="I53" s="80">
        <f>IF($B53="","",$G53-$H53)</f>
        <v/>
      </c>
      <c r="J53" s="81">
        <f>IF($B53="","",$D53-$E53-$F53-$G53)</f>
        <v/>
      </c>
      <c r="K53" s="71">
        <f>IF(OR($B53="",$D53=0),"",$J53/$D53)</f>
        <v/>
      </c>
      <c r="L53" s="75">
        <f>IF($B53="","",IF($D53=0,"Sin produccion registrada",IF($E53=0,"Sin ventas mapeadas en Fudo",IF(AND($K53&lt;&gt;"",ABS($K53)&gt;Config!$B$48),IF($J53&gt;0,"Salida sin explicar: consumo no registrado o faltante","Se vendio mas de lo elaborado: revisar stock previo"),IF($I53&lt;&gt;0,"Hay descarte sin detallar en la planilla 5","OK")))))</f>
        <v/>
      </c>
      <c r="M53" s="76">
        <f>IF($K53="","",ABS($K53)+ROW()/1000000)</f>
        <v/>
      </c>
    </row>
    <row r="54">
      <c r="A54" s="27" t="inlineStr">
        <is>
          <t>Panadería</t>
        </is>
      </c>
      <c r="B54" s="23">
        <f>IF('4 Prod Panaderia'!$A54="","",'4 Prod Panaderia'!$A54)</f>
        <v/>
      </c>
      <c r="C54" s="40">
        <f>IF('4 Prod Panaderia'!$B54="","",'4 Prod Panaderia'!$B54)</f>
        <v/>
      </c>
      <c r="D54" s="79">
        <f>'4 Prod Panaderia'!$Q54</f>
        <v/>
      </c>
      <c r="E54" s="80">
        <f>IF($B54="","",SUMIFS('8 Fudo Ventas'!$B$6:$B$305,'8 Fudo Ventas'!$D$6:$D$305,$B54,'8 Fudo Ventas'!$C$6:$C$305,$A54))</f>
        <v/>
      </c>
      <c r="F54" s="80">
        <f>IF($B54="","",SUMIFS('8 Fudo Consumos'!$D$6:$D$255,'8 Fudo Consumos'!$B$6:$B$255,$B54,'8 Fudo Consumos'!$C$6:$C$255,$A54))</f>
        <v/>
      </c>
      <c r="G54" s="79">
        <f>'4 Prod Panaderia'!$R54</f>
        <v/>
      </c>
      <c r="H54" s="80">
        <f>IF($B54="","",SUMIFS('5 Descartes'!$D$6:$D$205,'5 Descartes'!$C$6:$C$205,$B54,'5 Descartes'!$B$6:$B$205,$A54))</f>
        <v/>
      </c>
      <c r="I54" s="80">
        <f>IF($B54="","",$G54-$H54)</f>
        <v/>
      </c>
      <c r="J54" s="81">
        <f>IF($B54="","",$D54-$E54-$F54-$G54)</f>
        <v/>
      </c>
      <c r="K54" s="71">
        <f>IF(OR($B54="",$D54=0),"",$J54/$D54)</f>
        <v/>
      </c>
      <c r="L54" s="75">
        <f>IF($B54="","",IF($D54=0,"Sin produccion registrada",IF($E54=0,"Sin ventas mapeadas en Fudo",IF(AND($K54&lt;&gt;"",ABS($K54)&gt;Config!$B$48),IF($J54&gt;0,"Salida sin explicar: consumo no registrado o faltante","Se vendio mas de lo elaborado: revisar stock previo"),IF($I54&lt;&gt;0,"Hay descarte sin detallar en la planilla 5","OK")))))</f>
        <v/>
      </c>
      <c r="M54" s="76">
        <f>IF($K54="","",ABS($K54)+ROW()/1000000)</f>
        <v/>
      </c>
    </row>
    <row r="55">
      <c r="A55" s="31" t="inlineStr">
        <is>
          <t>Panadería</t>
        </is>
      </c>
      <c r="B55" s="82">
        <f>IF('4 Prod Panaderia'!$A55="","",'4 Prod Panaderia'!$A55)</f>
        <v/>
      </c>
      <c r="C55" s="45">
        <f>IF('4 Prod Panaderia'!$B55="","",'4 Prod Panaderia'!$B55)</f>
        <v/>
      </c>
      <c r="D55" s="79">
        <f>'4 Prod Panaderia'!$Q55</f>
        <v/>
      </c>
      <c r="E55" s="80">
        <f>IF($B55="","",SUMIFS('8 Fudo Ventas'!$B$6:$B$305,'8 Fudo Ventas'!$D$6:$D$305,$B55,'8 Fudo Ventas'!$C$6:$C$305,$A55))</f>
        <v/>
      </c>
      <c r="F55" s="80">
        <f>IF($B55="","",SUMIFS('8 Fudo Consumos'!$D$6:$D$255,'8 Fudo Consumos'!$B$6:$B$255,$B55,'8 Fudo Consumos'!$C$6:$C$255,$A55))</f>
        <v/>
      </c>
      <c r="G55" s="79">
        <f>'4 Prod Panaderia'!$R55</f>
        <v/>
      </c>
      <c r="H55" s="80">
        <f>IF($B55="","",SUMIFS('5 Descartes'!$D$6:$D$205,'5 Descartes'!$C$6:$C$205,$B55,'5 Descartes'!$B$6:$B$205,$A55))</f>
        <v/>
      </c>
      <c r="I55" s="80">
        <f>IF($B55="","",$G55-$H55)</f>
        <v/>
      </c>
      <c r="J55" s="81">
        <f>IF($B55="","",$D55-$E55-$F55-$G55)</f>
        <v/>
      </c>
      <c r="K55" s="71">
        <f>IF(OR($B55="",$D55=0),"",$J55/$D55)</f>
        <v/>
      </c>
      <c r="L55" s="75">
        <f>IF($B55="","",IF($D55=0,"Sin produccion registrada",IF($E55=0,"Sin ventas mapeadas en Fudo",IF(AND($K55&lt;&gt;"",ABS($K55)&gt;Config!$B$48),IF($J55&gt;0,"Salida sin explicar: consumo no registrado o faltante","Se vendio mas de lo elaborado: revisar stock previo"),IF($I55&lt;&gt;0,"Hay descarte sin detallar en la planilla 5","OK")))))</f>
        <v/>
      </c>
      <c r="M55" s="76">
        <f>IF($K55="","",ABS($K55)+ROW()/1000000)</f>
        <v/>
      </c>
    </row>
    <row r="56">
      <c r="A56" s="27" t="inlineStr">
        <is>
          <t>Pastelería</t>
        </is>
      </c>
      <c r="B56" s="23">
        <f>IF('4 Prod Pasteleria'!$A6="","",'4 Prod Pasteleria'!$A6)</f>
        <v/>
      </c>
      <c r="C56" s="40">
        <f>IF('4 Prod Pasteleria'!$B6="","",'4 Prod Pasteleria'!$B6)</f>
        <v/>
      </c>
      <c r="D56" s="79">
        <f>'4 Prod Pasteleria'!$Q6</f>
        <v/>
      </c>
      <c r="E56" s="80">
        <f>IF($B56="","",SUMIFS('8 Fudo Ventas'!$B$6:$B$305,'8 Fudo Ventas'!$D$6:$D$305,$B56,'8 Fudo Ventas'!$C$6:$C$305,$A56))</f>
        <v/>
      </c>
      <c r="F56" s="80">
        <f>IF($B56="","",SUMIFS('8 Fudo Consumos'!$D$6:$D$255,'8 Fudo Consumos'!$B$6:$B$255,$B56,'8 Fudo Consumos'!$C$6:$C$255,$A56))</f>
        <v/>
      </c>
      <c r="G56" s="79">
        <f>'4 Prod Pasteleria'!$R6</f>
        <v/>
      </c>
      <c r="H56" s="80">
        <f>IF($B56="","",SUMIFS('5 Descartes'!$D$6:$D$205,'5 Descartes'!$C$6:$C$205,$B56,'5 Descartes'!$B$6:$B$205,$A56))</f>
        <v/>
      </c>
      <c r="I56" s="80">
        <f>IF($B56="","",$G56-$H56)</f>
        <v/>
      </c>
      <c r="J56" s="81">
        <f>IF($B56="","",$D56-$E56-$F56-$G56)</f>
        <v/>
      </c>
      <c r="K56" s="71">
        <f>IF(OR($B56="",$D56=0),"",$J56/$D56)</f>
        <v/>
      </c>
      <c r="L56" s="75">
        <f>IF($B56="","",IF($D56=0,"Sin produccion registrada",IF($E56=0,"Sin ventas mapeadas en Fudo",IF(AND($K56&lt;&gt;"",ABS($K56)&gt;Config!$B$48),IF($J56&gt;0,"Salida sin explicar: consumo no registrado o faltante","Se vendio mas de lo elaborado: revisar stock previo"),IF($I56&lt;&gt;0,"Hay descarte sin detallar en la planilla 5","OK")))))</f>
        <v/>
      </c>
      <c r="M56" s="76">
        <f>IF($K56="","",ABS($K56)+ROW()/1000000)</f>
        <v/>
      </c>
    </row>
    <row r="57">
      <c r="A57" s="31" t="inlineStr">
        <is>
          <t>Pastelería</t>
        </is>
      </c>
      <c r="B57" s="82">
        <f>IF('4 Prod Pasteleria'!$A7="","",'4 Prod Pasteleria'!$A7)</f>
        <v/>
      </c>
      <c r="C57" s="45">
        <f>IF('4 Prod Pasteleria'!$B7="","",'4 Prod Pasteleria'!$B7)</f>
        <v/>
      </c>
      <c r="D57" s="79">
        <f>'4 Prod Pasteleria'!$Q7</f>
        <v/>
      </c>
      <c r="E57" s="80">
        <f>IF($B57="","",SUMIFS('8 Fudo Ventas'!$B$6:$B$305,'8 Fudo Ventas'!$D$6:$D$305,$B57,'8 Fudo Ventas'!$C$6:$C$305,$A57))</f>
        <v/>
      </c>
      <c r="F57" s="80">
        <f>IF($B57="","",SUMIFS('8 Fudo Consumos'!$D$6:$D$255,'8 Fudo Consumos'!$B$6:$B$255,$B57,'8 Fudo Consumos'!$C$6:$C$255,$A57))</f>
        <v/>
      </c>
      <c r="G57" s="79">
        <f>'4 Prod Pasteleria'!$R7</f>
        <v/>
      </c>
      <c r="H57" s="80">
        <f>IF($B57="","",SUMIFS('5 Descartes'!$D$6:$D$205,'5 Descartes'!$C$6:$C$205,$B57,'5 Descartes'!$B$6:$B$205,$A57))</f>
        <v/>
      </c>
      <c r="I57" s="80">
        <f>IF($B57="","",$G57-$H57)</f>
        <v/>
      </c>
      <c r="J57" s="81">
        <f>IF($B57="","",$D57-$E57-$F57-$G57)</f>
        <v/>
      </c>
      <c r="K57" s="71">
        <f>IF(OR($B57="",$D57=0),"",$J57/$D57)</f>
        <v/>
      </c>
      <c r="L57" s="75">
        <f>IF($B57="","",IF($D57=0,"Sin produccion registrada",IF($E57=0,"Sin ventas mapeadas en Fudo",IF(AND($K57&lt;&gt;"",ABS($K57)&gt;Config!$B$48),IF($J57&gt;0,"Salida sin explicar: consumo no registrado o faltante","Se vendio mas de lo elaborado: revisar stock previo"),IF($I57&lt;&gt;0,"Hay descarte sin detallar en la planilla 5","OK")))))</f>
        <v/>
      </c>
      <c r="M57" s="76">
        <f>IF($K57="","",ABS($K57)+ROW()/1000000)</f>
        <v/>
      </c>
    </row>
    <row r="58">
      <c r="A58" s="27" t="inlineStr">
        <is>
          <t>Pastelería</t>
        </is>
      </c>
      <c r="B58" s="23">
        <f>IF('4 Prod Pasteleria'!$A8="","",'4 Prod Pasteleria'!$A8)</f>
        <v/>
      </c>
      <c r="C58" s="40">
        <f>IF('4 Prod Pasteleria'!$B8="","",'4 Prod Pasteleria'!$B8)</f>
        <v/>
      </c>
      <c r="D58" s="79">
        <f>'4 Prod Pasteleria'!$Q8</f>
        <v/>
      </c>
      <c r="E58" s="80">
        <f>IF($B58="","",SUMIFS('8 Fudo Ventas'!$B$6:$B$305,'8 Fudo Ventas'!$D$6:$D$305,$B58,'8 Fudo Ventas'!$C$6:$C$305,$A58))</f>
        <v/>
      </c>
      <c r="F58" s="80">
        <f>IF($B58="","",SUMIFS('8 Fudo Consumos'!$D$6:$D$255,'8 Fudo Consumos'!$B$6:$B$255,$B58,'8 Fudo Consumos'!$C$6:$C$255,$A58))</f>
        <v/>
      </c>
      <c r="G58" s="79">
        <f>'4 Prod Pasteleria'!$R8</f>
        <v/>
      </c>
      <c r="H58" s="80">
        <f>IF($B58="","",SUMIFS('5 Descartes'!$D$6:$D$205,'5 Descartes'!$C$6:$C$205,$B58,'5 Descartes'!$B$6:$B$205,$A58))</f>
        <v/>
      </c>
      <c r="I58" s="80">
        <f>IF($B58="","",$G58-$H58)</f>
        <v/>
      </c>
      <c r="J58" s="81">
        <f>IF($B58="","",$D58-$E58-$F58-$G58)</f>
        <v/>
      </c>
      <c r="K58" s="71">
        <f>IF(OR($B58="",$D58=0),"",$J58/$D58)</f>
        <v/>
      </c>
      <c r="L58" s="75">
        <f>IF($B58="","",IF($D58=0,"Sin produccion registrada",IF($E58=0,"Sin ventas mapeadas en Fudo",IF(AND($K58&lt;&gt;"",ABS($K58)&gt;Config!$B$48),IF($J58&gt;0,"Salida sin explicar: consumo no registrado o faltante","Se vendio mas de lo elaborado: revisar stock previo"),IF($I58&lt;&gt;0,"Hay descarte sin detallar en la planilla 5","OK")))))</f>
        <v/>
      </c>
      <c r="M58" s="76">
        <f>IF($K58="","",ABS($K58)+ROW()/1000000)</f>
        <v/>
      </c>
    </row>
    <row r="59">
      <c r="A59" s="31" t="inlineStr">
        <is>
          <t>Pastelería</t>
        </is>
      </c>
      <c r="B59" s="82">
        <f>IF('4 Prod Pasteleria'!$A9="","",'4 Prod Pasteleria'!$A9)</f>
        <v/>
      </c>
      <c r="C59" s="45">
        <f>IF('4 Prod Pasteleria'!$B9="","",'4 Prod Pasteleria'!$B9)</f>
        <v/>
      </c>
      <c r="D59" s="79">
        <f>'4 Prod Pasteleria'!$Q9</f>
        <v/>
      </c>
      <c r="E59" s="80">
        <f>IF($B59="","",SUMIFS('8 Fudo Ventas'!$B$6:$B$305,'8 Fudo Ventas'!$D$6:$D$305,$B59,'8 Fudo Ventas'!$C$6:$C$305,$A59))</f>
        <v/>
      </c>
      <c r="F59" s="80">
        <f>IF($B59="","",SUMIFS('8 Fudo Consumos'!$D$6:$D$255,'8 Fudo Consumos'!$B$6:$B$255,$B59,'8 Fudo Consumos'!$C$6:$C$255,$A59))</f>
        <v/>
      </c>
      <c r="G59" s="79">
        <f>'4 Prod Pasteleria'!$R9</f>
        <v/>
      </c>
      <c r="H59" s="80">
        <f>IF($B59="","",SUMIFS('5 Descartes'!$D$6:$D$205,'5 Descartes'!$C$6:$C$205,$B59,'5 Descartes'!$B$6:$B$205,$A59))</f>
        <v/>
      </c>
      <c r="I59" s="80">
        <f>IF($B59="","",$G59-$H59)</f>
        <v/>
      </c>
      <c r="J59" s="81">
        <f>IF($B59="","",$D59-$E59-$F59-$G59)</f>
        <v/>
      </c>
      <c r="K59" s="71">
        <f>IF(OR($B59="",$D59=0),"",$J59/$D59)</f>
        <v/>
      </c>
      <c r="L59" s="75">
        <f>IF($B59="","",IF($D59=0,"Sin produccion registrada",IF($E59=0,"Sin ventas mapeadas en Fudo",IF(AND($K59&lt;&gt;"",ABS($K59)&gt;Config!$B$48),IF($J59&gt;0,"Salida sin explicar: consumo no registrado o faltante","Se vendio mas de lo elaborado: revisar stock previo"),IF($I59&lt;&gt;0,"Hay descarte sin detallar en la planilla 5","OK")))))</f>
        <v/>
      </c>
      <c r="M59" s="76">
        <f>IF($K59="","",ABS($K59)+ROW()/1000000)</f>
        <v/>
      </c>
    </row>
    <row r="60">
      <c r="A60" s="27" t="inlineStr">
        <is>
          <t>Pastelería</t>
        </is>
      </c>
      <c r="B60" s="23">
        <f>IF('4 Prod Pasteleria'!$A10="","",'4 Prod Pasteleria'!$A10)</f>
        <v/>
      </c>
      <c r="C60" s="40">
        <f>IF('4 Prod Pasteleria'!$B10="","",'4 Prod Pasteleria'!$B10)</f>
        <v/>
      </c>
      <c r="D60" s="79">
        <f>'4 Prod Pasteleria'!$Q10</f>
        <v/>
      </c>
      <c r="E60" s="80">
        <f>IF($B60="","",SUMIFS('8 Fudo Ventas'!$B$6:$B$305,'8 Fudo Ventas'!$D$6:$D$305,$B60,'8 Fudo Ventas'!$C$6:$C$305,$A60))</f>
        <v/>
      </c>
      <c r="F60" s="80">
        <f>IF($B60="","",SUMIFS('8 Fudo Consumos'!$D$6:$D$255,'8 Fudo Consumos'!$B$6:$B$255,$B60,'8 Fudo Consumos'!$C$6:$C$255,$A60))</f>
        <v/>
      </c>
      <c r="G60" s="79">
        <f>'4 Prod Pasteleria'!$R10</f>
        <v/>
      </c>
      <c r="H60" s="80">
        <f>IF($B60="","",SUMIFS('5 Descartes'!$D$6:$D$205,'5 Descartes'!$C$6:$C$205,$B60,'5 Descartes'!$B$6:$B$205,$A60))</f>
        <v/>
      </c>
      <c r="I60" s="80">
        <f>IF($B60="","",$G60-$H60)</f>
        <v/>
      </c>
      <c r="J60" s="81">
        <f>IF($B60="","",$D60-$E60-$F60-$G60)</f>
        <v/>
      </c>
      <c r="K60" s="71">
        <f>IF(OR($B60="",$D60=0),"",$J60/$D60)</f>
        <v/>
      </c>
      <c r="L60" s="75">
        <f>IF($B60="","",IF($D60=0,"Sin produccion registrada",IF($E60=0,"Sin ventas mapeadas en Fudo",IF(AND($K60&lt;&gt;"",ABS($K60)&gt;Config!$B$48),IF($J60&gt;0,"Salida sin explicar: consumo no registrado o faltante","Se vendio mas de lo elaborado: revisar stock previo"),IF($I60&lt;&gt;0,"Hay descarte sin detallar en la planilla 5","OK")))))</f>
        <v/>
      </c>
      <c r="M60" s="76">
        <f>IF($K60="","",ABS($K60)+ROW()/1000000)</f>
        <v/>
      </c>
    </row>
    <row r="61">
      <c r="A61" s="31" t="inlineStr">
        <is>
          <t>Pastelería</t>
        </is>
      </c>
      <c r="B61" s="82">
        <f>IF('4 Prod Pasteleria'!$A11="","",'4 Prod Pasteleria'!$A11)</f>
        <v/>
      </c>
      <c r="C61" s="45">
        <f>IF('4 Prod Pasteleria'!$B11="","",'4 Prod Pasteleria'!$B11)</f>
        <v/>
      </c>
      <c r="D61" s="79">
        <f>'4 Prod Pasteleria'!$Q11</f>
        <v/>
      </c>
      <c r="E61" s="80">
        <f>IF($B61="","",SUMIFS('8 Fudo Ventas'!$B$6:$B$305,'8 Fudo Ventas'!$D$6:$D$305,$B61,'8 Fudo Ventas'!$C$6:$C$305,$A61))</f>
        <v/>
      </c>
      <c r="F61" s="80">
        <f>IF($B61="","",SUMIFS('8 Fudo Consumos'!$D$6:$D$255,'8 Fudo Consumos'!$B$6:$B$255,$B61,'8 Fudo Consumos'!$C$6:$C$255,$A61))</f>
        <v/>
      </c>
      <c r="G61" s="79">
        <f>'4 Prod Pasteleria'!$R11</f>
        <v/>
      </c>
      <c r="H61" s="80">
        <f>IF($B61="","",SUMIFS('5 Descartes'!$D$6:$D$205,'5 Descartes'!$C$6:$C$205,$B61,'5 Descartes'!$B$6:$B$205,$A61))</f>
        <v/>
      </c>
      <c r="I61" s="80">
        <f>IF($B61="","",$G61-$H61)</f>
        <v/>
      </c>
      <c r="J61" s="81">
        <f>IF($B61="","",$D61-$E61-$F61-$G61)</f>
        <v/>
      </c>
      <c r="K61" s="71">
        <f>IF(OR($B61="",$D61=0),"",$J61/$D61)</f>
        <v/>
      </c>
      <c r="L61" s="75">
        <f>IF($B61="","",IF($D61=0,"Sin produccion registrada",IF($E61=0,"Sin ventas mapeadas en Fudo",IF(AND($K61&lt;&gt;"",ABS($K61)&gt;Config!$B$48),IF($J61&gt;0,"Salida sin explicar: consumo no registrado o faltante","Se vendio mas de lo elaborado: revisar stock previo"),IF($I61&lt;&gt;0,"Hay descarte sin detallar en la planilla 5","OK")))))</f>
        <v/>
      </c>
      <c r="M61" s="76">
        <f>IF($K61="","",ABS($K61)+ROW()/1000000)</f>
        <v/>
      </c>
    </row>
    <row r="62">
      <c r="A62" s="27" t="inlineStr">
        <is>
          <t>Pastelería</t>
        </is>
      </c>
      <c r="B62" s="23">
        <f>IF('4 Prod Pasteleria'!$A12="","",'4 Prod Pasteleria'!$A12)</f>
        <v/>
      </c>
      <c r="C62" s="40">
        <f>IF('4 Prod Pasteleria'!$B12="","",'4 Prod Pasteleria'!$B12)</f>
        <v/>
      </c>
      <c r="D62" s="79">
        <f>'4 Prod Pasteleria'!$Q12</f>
        <v/>
      </c>
      <c r="E62" s="80">
        <f>IF($B62="","",SUMIFS('8 Fudo Ventas'!$B$6:$B$305,'8 Fudo Ventas'!$D$6:$D$305,$B62,'8 Fudo Ventas'!$C$6:$C$305,$A62))</f>
        <v/>
      </c>
      <c r="F62" s="80">
        <f>IF($B62="","",SUMIFS('8 Fudo Consumos'!$D$6:$D$255,'8 Fudo Consumos'!$B$6:$B$255,$B62,'8 Fudo Consumos'!$C$6:$C$255,$A62))</f>
        <v/>
      </c>
      <c r="G62" s="79">
        <f>'4 Prod Pasteleria'!$R12</f>
        <v/>
      </c>
      <c r="H62" s="80">
        <f>IF($B62="","",SUMIFS('5 Descartes'!$D$6:$D$205,'5 Descartes'!$C$6:$C$205,$B62,'5 Descartes'!$B$6:$B$205,$A62))</f>
        <v/>
      </c>
      <c r="I62" s="80">
        <f>IF($B62="","",$G62-$H62)</f>
        <v/>
      </c>
      <c r="J62" s="81">
        <f>IF($B62="","",$D62-$E62-$F62-$G62)</f>
        <v/>
      </c>
      <c r="K62" s="71">
        <f>IF(OR($B62="",$D62=0),"",$J62/$D62)</f>
        <v/>
      </c>
      <c r="L62" s="75">
        <f>IF($B62="","",IF($D62=0,"Sin produccion registrada",IF($E62=0,"Sin ventas mapeadas en Fudo",IF(AND($K62&lt;&gt;"",ABS($K62)&gt;Config!$B$48),IF($J62&gt;0,"Salida sin explicar: consumo no registrado o faltante","Se vendio mas de lo elaborado: revisar stock previo"),IF($I62&lt;&gt;0,"Hay descarte sin detallar en la planilla 5","OK")))))</f>
        <v/>
      </c>
      <c r="M62" s="76">
        <f>IF($K62="","",ABS($K62)+ROW()/1000000)</f>
        <v/>
      </c>
    </row>
    <row r="63">
      <c r="A63" s="31" t="inlineStr">
        <is>
          <t>Pastelería</t>
        </is>
      </c>
      <c r="B63" s="82">
        <f>IF('4 Prod Pasteleria'!$A13="","",'4 Prod Pasteleria'!$A13)</f>
        <v/>
      </c>
      <c r="C63" s="45">
        <f>IF('4 Prod Pasteleria'!$B13="","",'4 Prod Pasteleria'!$B13)</f>
        <v/>
      </c>
      <c r="D63" s="79">
        <f>'4 Prod Pasteleria'!$Q13</f>
        <v/>
      </c>
      <c r="E63" s="80">
        <f>IF($B63="","",SUMIFS('8 Fudo Ventas'!$B$6:$B$305,'8 Fudo Ventas'!$D$6:$D$305,$B63,'8 Fudo Ventas'!$C$6:$C$305,$A63))</f>
        <v/>
      </c>
      <c r="F63" s="80">
        <f>IF($B63="","",SUMIFS('8 Fudo Consumos'!$D$6:$D$255,'8 Fudo Consumos'!$B$6:$B$255,$B63,'8 Fudo Consumos'!$C$6:$C$255,$A63))</f>
        <v/>
      </c>
      <c r="G63" s="79">
        <f>'4 Prod Pasteleria'!$R13</f>
        <v/>
      </c>
      <c r="H63" s="80">
        <f>IF($B63="","",SUMIFS('5 Descartes'!$D$6:$D$205,'5 Descartes'!$C$6:$C$205,$B63,'5 Descartes'!$B$6:$B$205,$A63))</f>
        <v/>
      </c>
      <c r="I63" s="80">
        <f>IF($B63="","",$G63-$H63)</f>
        <v/>
      </c>
      <c r="J63" s="81">
        <f>IF($B63="","",$D63-$E63-$F63-$G63)</f>
        <v/>
      </c>
      <c r="K63" s="71">
        <f>IF(OR($B63="",$D63=0),"",$J63/$D63)</f>
        <v/>
      </c>
      <c r="L63" s="75">
        <f>IF($B63="","",IF($D63=0,"Sin produccion registrada",IF($E63=0,"Sin ventas mapeadas en Fudo",IF(AND($K63&lt;&gt;"",ABS($K63)&gt;Config!$B$48),IF($J63&gt;0,"Salida sin explicar: consumo no registrado o faltante","Se vendio mas de lo elaborado: revisar stock previo"),IF($I63&lt;&gt;0,"Hay descarte sin detallar en la planilla 5","OK")))))</f>
        <v/>
      </c>
      <c r="M63" s="76">
        <f>IF($K63="","",ABS($K63)+ROW()/1000000)</f>
        <v/>
      </c>
    </row>
    <row r="64">
      <c r="A64" s="27" t="inlineStr">
        <is>
          <t>Pastelería</t>
        </is>
      </c>
      <c r="B64" s="23">
        <f>IF('4 Prod Pasteleria'!$A14="","",'4 Prod Pasteleria'!$A14)</f>
        <v/>
      </c>
      <c r="C64" s="40">
        <f>IF('4 Prod Pasteleria'!$B14="","",'4 Prod Pasteleria'!$B14)</f>
        <v/>
      </c>
      <c r="D64" s="79">
        <f>'4 Prod Pasteleria'!$Q14</f>
        <v/>
      </c>
      <c r="E64" s="80">
        <f>IF($B64="","",SUMIFS('8 Fudo Ventas'!$B$6:$B$305,'8 Fudo Ventas'!$D$6:$D$305,$B64,'8 Fudo Ventas'!$C$6:$C$305,$A64))</f>
        <v/>
      </c>
      <c r="F64" s="80">
        <f>IF($B64="","",SUMIFS('8 Fudo Consumos'!$D$6:$D$255,'8 Fudo Consumos'!$B$6:$B$255,$B64,'8 Fudo Consumos'!$C$6:$C$255,$A64))</f>
        <v/>
      </c>
      <c r="G64" s="79">
        <f>'4 Prod Pasteleria'!$R14</f>
        <v/>
      </c>
      <c r="H64" s="80">
        <f>IF($B64="","",SUMIFS('5 Descartes'!$D$6:$D$205,'5 Descartes'!$C$6:$C$205,$B64,'5 Descartes'!$B$6:$B$205,$A64))</f>
        <v/>
      </c>
      <c r="I64" s="80">
        <f>IF($B64="","",$G64-$H64)</f>
        <v/>
      </c>
      <c r="J64" s="81">
        <f>IF($B64="","",$D64-$E64-$F64-$G64)</f>
        <v/>
      </c>
      <c r="K64" s="71">
        <f>IF(OR($B64="",$D64=0),"",$J64/$D64)</f>
        <v/>
      </c>
      <c r="L64" s="75">
        <f>IF($B64="","",IF($D64=0,"Sin produccion registrada",IF($E64=0,"Sin ventas mapeadas en Fudo",IF(AND($K64&lt;&gt;"",ABS($K64)&gt;Config!$B$48),IF($J64&gt;0,"Salida sin explicar: consumo no registrado o faltante","Se vendio mas de lo elaborado: revisar stock previo"),IF($I64&lt;&gt;0,"Hay descarte sin detallar en la planilla 5","OK")))))</f>
        <v/>
      </c>
      <c r="M64" s="76">
        <f>IF($K64="","",ABS($K64)+ROW()/1000000)</f>
        <v/>
      </c>
    </row>
    <row r="65">
      <c r="A65" s="31" t="inlineStr">
        <is>
          <t>Pastelería</t>
        </is>
      </c>
      <c r="B65" s="82">
        <f>IF('4 Prod Pasteleria'!$A15="","",'4 Prod Pasteleria'!$A15)</f>
        <v/>
      </c>
      <c r="C65" s="45">
        <f>IF('4 Prod Pasteleria'!$B15="","",'4 Prod Pasteleria'!$B15)</f>
        <v/>
      </c>
      <c r="D65" s="79">
        <f>'4 Prod Pasteleria'!$Q15</f>
        <v/>
      </c>
      <c r="E65" s="80">
        <f>IF($B65="","",SUMIFS('8 Fudo Ventas'!$B$6:$B$305,'8 Fudo Ventas'!$D$6:$D$305,$B65,'8 Fudo Ventas'!$C$6:$C$305,$A65))</f>
        <v/>
      </c>
      <c r="F65" s="80">
        <f>IF($B65="","",SUMIFS('8 Fudo Consumos'!$D$6:$D$255,'8 Fudo Consumos'!$B$6:$B$255,$B65,'8 Fudo Consumos'!$C$6:$C$255,$A65))</f>
        <v/>
      </c>
      <c r="G65" s="79">
        <f>'4 Prod Pasteleria'!$R15</f>
        <v/>
      </c>
      <c r="H65" s="80">
        <f>IF($B65="","",SUMIFS('5 Descartes'!$D$6:$D$205,'5 Descartes'!$C$6:$C$205,$B65,'5 Descartes'!$B$6:$B$205,$A65))</f>
        <v/>
      </c>
      <c r="I65" s="80">
        <f>IF($B65="","",$G65-$H65)</f>
        <v/>
      </c>
      <c r="J65" s="81">
        <f>IF($B65="","",$D65-$E65-$F65-$G65)</f>
        <v/>
      </c>
      <c r="K65" s="71">
        <f>IF(OR($B65="",$D65=0),"",$J65/$D65)</f>
        <v/>
      </c>
      <c r="L65" s="75">
        <f>IF($B65="","",IF($D65=0,"Sin produccion registrada",IF($E65=0,"Sin ventas mapeadas en Fudo",IF(AND($K65&lt;&gt;"",ABS($K65)&gt;Config!$B$48),IF($J65&gt;0,"Salida sin explicar: consumo no registrado o faltante","Se vendio mas de lo elaborado: revisar stock previo"),IF($I65&lt;&gt;0,"Hay descarte sin detallar en la planilla 5","OK")))))</f>
        <v/>
      </c>
      <c r="M65" s="76">
        <f>IF($K65="","",ABS($K65)+ROW()/1000000)</f>
        <v/>
      </c>
    </row>
    <row r="66">
      <c r="A66" s="27" t="inlineStr">
        <is>
          <t>Pastelería</t>
        </is>
      </c>
      <c r="B66" s="23">
        <f>IF('4 Prod Pasteleria'!$A16="","",'4 Prod Pasteleria'!$A16)</f>
        <v/>
      </c>
      <c r="C66" s="40">
        <f>IF('4 Prod Pasteleria'!$B16="","",'4 Prod Pasteleria'!$B16)</f>
        <v/>
      </c>
      <c r="D66" s="79">
        <f>'4 Prod Pasteleria'!$Q16</f>
        <v/>
      </c>
      <c r="E66" s="80">
        <f>IF($B66="","",SUMIFS('8 Fudo Ventas'!$B$6:$B$305,'8 Fudo Ventas'!$D$6:$D$305,$B66,'8 Fudo Ventas'!$C$6:$C$305,$A66))</f>
        <v/>
      </c>
      <c r="F66" s="80">
        <f>IF($B66="","",SUMIFS('8 Fudo Consumos'!$D$6:$D$255,'8 Fudo Consumos'!$B$6:$B$255,$B66,'8 Fudo Consumos'!$C$6:$C$255,$A66))</f>
        <v/>
      </c>
      <c r="G66" s="79">
        <f>'4 Prod Pasteleria'!$R16</f>
        <v/>
      </c>
      <c r="H66" s="80">
        <f>IF($B66="","",SUMIFS('5 Descartes'!$D$6:$D$205,'5 Descartes'!$C$6:$C$205,$B66,'5 Descartes'!$B$6:$B$205,$A66))</f>
        <v/>
      </c>
      <c r="I66" s="80">
        <f>IF($B66="","",$G66-$H66)</f>
        <v/>
      </c>
      <c r="J66" s="81">
        <f>IF($B66="","",$D66-$E66-$F66-$G66)</f>
        <v/>
      </c>
      <c r="K66" s="71">
        <f>IF(OR($B66="",$D66=0),"",$J66/$D66)</f>
        <v/>
      </c>
      <c r="L66" s="75">
        <f>IF($B66="","",IF($D66=0,"Sin produccion registrada",IF($E66=0,"Sin ventas mapeadas en Fudo",IF(AND($K66&lt;&gt;"",ABS($K66)&gt;Config!$B$48),IF($J66&gt;0,"Salida sin explicar: consumo no registrado o faltante","Se vendio mas de lo elaborado: revisar stock previo"),IF($I66&lt;&gt;0,"Hay descarte sin detallar en la planilla 5","OK")))))</f>
        <v/>
      </c>
      <c r="M66" s="76">
        <f>IF($K66="","",ABS($K66)+ROW()/1000000)</f>
        <v/>
      </c>
    </row>
    <row r="67">
      <c r="A67" s="31" t="inlineStr">
        <is>
          <t>Pastelería</t>
        </is>
      </c>
      <c r="B67" s="82">
        <f>IF('4 Prod Pasteleria'!$A17="","",'4 Prod Pasteleria'!$A17)</f>
        <v/>
      </c>
      <c r="C67" s="45">
        <f>IF('4 Prod Pasteleria'!$B17="","",'4 Prod Pasteleria'!$B17)</f>
        <v/>
      </c>
      <c r="D67" s="79">
        <f>'4 Prod Pasteleria'!$Q17</f>
        <v/>
      </c>
      <c r="E67" s="80">
        <f>IF($B67="","",SUMIFS('8 Fudo Ventas'!$B$6:$B$305,'8 Fudo Ventas'!$D$6:$D$305,$B67,'8 Fudo Ventas'!$C$6:$C$305,$A67))</f>
        <v/>
      </c>
      <c r="F67" s="80">
        <f>IF($B67="","",SUMIFS('8 Fudo Consumos'!$D$6:$D$255,'8 Fudo Consumos'!$B$6:$B$255,$B67,'8 Fudo Consumos'!$C$6:$C$255,$A67))</f>
        <v/>
      </c>
      <c r="G67" s="79">
        <f>'4 Prod Pasteleria'!$R17</f>
        <v/>
      </c>
      <c r="H67" s="80">
        <f>IF($B67="","",SUMIFS('5 Descartes'!$D$6:$D$205,'5 Descartes'!$C$6:$C$205,$B67,'5 Descartes'!$B$6:$B$205,$A67))</f>
        <v/>
      </c>
      <c r="I67" s="80">
        <f>IF($B67="","",$G67-$H67)</f>
        <v/>
      </c>
      <c r="J67" s="81">
        <f>IF($B67="","",$D67-$E67-$F67-$G67)</f>
        <v/>
      </c>
      <c r="K67" s="71">
        <f>IF(OR($B67="",$D67=0),"",$J67/$D67)</f>
        <v/>
      </c>
      <c r="L67" s="75">
        <f>IF($B67="","",IF($D67=0,"Sin produccion registrada",IF($E67=0,"Sin ventas mapeadas en Fudo",IF(AND($K67&lt;&gt;"",ABS($K67)&gt;Config!$B$48),IF($J67&gt;0,"Salida sin explicar: consumo no registrado o faltante","Se vendio mas de lo elaborado: revisar stock previo"),IF($I67&lt;&gt;0,"Hay descarte sin detallar en la planilla 5","OK")))))</f>
        <v/>
      </c>
      <c r="M67" s="76">
        <f>IF($K67="","",ABS($K67)+ROW()/1000000)</f>
        <v/>
      </c>
    </row>
    <row r="68">
      <c r="A68" s="27" t="inlineStr">
        <is>
          <t>Pastelería</t>
        </is>
      </c>
      <c r="B68" s="23">
        <f>IF('4 Prod Pasteleria'!$A18="","",'4 Prod Pasteleria'!$A18)</f>
        <v/>
      </c>
      <c r="C68" s="40">
        <f>IF('4 Prod Pasteleria'!$B18="","",'4 Prod Pasteleria'!$B18)</f>
        <v/>
      </c>
      <c r="D68" s="79">
        <f>'4 Prod Pasteleria'!$Q18</f>
        <v/>
      </c>
      <c r="E68" s="80">
        <f>IF($B68="","",SUMIFS('8 Fudo Ventas'!$B$6:$B$305,'8 Fudo Ventas'!$D$6:$D$305,$B68,'8 Fudo Ventas'!$C$6:$C$305,$A68))</f>
        <v/>
      </c>
      <c r="F68" s="80">
        <f>IF($B68="","",SUMIFS('8 Fudo Consumos'!$D$6:$D$255,'8 Fudo Consumos'!$B$6:$B$255,$B68,'8 Fudo Consumos'!$C$6:$C$255,$A68))</f>
        <v/>
      </c>
      <c r="G68" s="79">
        <f>'4 Prod Pasteleria'!$R18</f>
        <v/>
      </c>
      <c r="H68" s="80">
        <f>IF($B68="","",SUMIFS('5 Descartes'!$D$6:$D$205,'5 Descartes'!$C$6:$C$205,$B68,'5 Descartes'!$B$6:$B$205,$A68))</f>
        <v/>
      </c>
      <c r="I68" s="80">
        <f>IF($B68="","",$G68-$H68)</f>
        <v/>
      </c>
      <c r="J68" s="81">
        <f>IF($B68="","",$D68-$E68-$F68-$G68)</f>
        <v/>
      </c>
      <c r="K68" s="71">
        <f>IF(OR($B68="",$D68=0),"",$J68/$D68)</f>
        <v/>
      </c>
      <c r="L68" s="75">
        <f>IF($B68="","",IF($D68=0,"Sin produccion registrada",IF($E68=0,"Sin ventas mapeadas en Fudo",IF(AND($K68&lt;&gt;"",ABS($K68)&gt;Config!$B$48),IF($J68&gt;0,"Salida sin explicar: consumo no registrado o faltante","Se vendio mas de lo elaborado: revisar stock previo"),IF($I68&lt;&gt;0,"Hay descarte sin detallar en la planilla 5","OK")))))</f>
        <v/>
      </c>
      <c r="M68" s="76">
        <f>IF($K68="","",ABS($K68)+ROW()/1000000)</f>
        <v/>
      </c>
    </row>
    <row r="69">
      <c r="A69" s="31" t="inlineStr">
        <is>
          <t>Pastelería</t>
        </is>
      </c>
      <c r="B69" s="82">
        <f>IF('4 Prod Pasteleria'!$A19="","",'4 Prod Pasteleria'!$A19)</f>
        <v/>
      </c>
      <c r="C69" s="45">
        <f>IF('4 Prod Pasteleria'!$B19="","",'4 Prod Pasteleria'!$B19)</f>
        <v/>
      </c>
      <c r="D69" s="79">
        <f>'4 Prod Pasteleria'!$Q19</f>
        <v/>
      </c>
      <c r="E69" s="80">
        <f>IF($B69="","",SUMIFS('8 Fudo Ventas'!$B$6:$B$305,'8 Fudo Ventas'!$D$6:$D$305,$B69,'8 Fudo Ventas'!$C$6:$C$305,$A69))</f>
        <v/>
      </c>
      <c r="F69" s="80">
        <f>IF($B69="","",SUMIFS('8 Fudo Consumos'!$D$6:$D$255,'8 Fudo Consumos'!$B$6:$B$255,$B69,'8 Fudo Consumos'!$C$6:$C$255,$A69))</f>
        <v/>
      </c>
      <c r="G69" s="79">
        <f>'4 Prod Pasteleria'!$R19</f>
        <v/>
      </c>
      <c r="H69" s="80">
        <f>IF($B69="","",SUMIFS('5 Descartes'!$D$6:$D$205,'5 Descartes'!$C$6:$C$205,$B69,'5 Descartes'!$B$6:$B$205,$A69))</f>
        <v/>
      </c>
      <c r="I69" s="80">
        <f>IF($B69="","",$G69-$H69)</f>
        <v/>
      </c>
      <c r="J69" s="81">
        <f>IF($B69="","",$D69-$E69-$F69-$G69)</f>
        <v/>
      </c>
      <c r="K69" s="71">
        <f>IF(OR($B69="",$D69=0),"",$J69/$D69)</f>
        <v/>
      </c>
      <c r="L69" s="75">
        <f>IF($B69="","",IF($D69=0,"Sin produccion registrada",IF($E69=0,"Sin ventas mapeadas en Fudo",IF(AND($K69&lt;&gt;"",ABS($K69)&gt;Config!$B$48),IF($J69&gt;0,"Salida sin explicar: consumo no registrado o faltante","Se vendio mas de lo elaborado: revisar stock previo"),IF($I69&lt;&gt;0,"Hay descarte sin detallar en la planilla 5","OK")))))</f>
        <v/>
      </c>
      <c r="M69" s="76">
        <f>IF($K69="","",ABS($K69)+ROW()/1000000)</f>
        <v/>
      </c>
    </row>
    <row r="70">
      <c r="A70" s="27" t="inlineStr">
        <is>
          <t>Pastelería</t>
        </is>
      </c>
      <c r="B70" s="23">
        <f>IF('4 Prod Pasteleria'!$A20="","",'4 Prod Pasteleria'!$A20)</f>
        <v/>
      </c>
      <c r="C70" s="40">
        <f>IF('4 Prod Pasteleria'!$B20="","",'4 Prod Pasteleria'!$B20)</f>
        <v/>
      </c>
      <c r="D70" s="79">
        <f>'4 Prod Pasteleria'!$Q20</f>
        <v/>
      </c>
      <c r="E70" s="80">
        <f>IF($B70="","",SUMIFS('8 Fudo Ventas'!$B$6:$B$305,'8 Fudo Ventas'!$D$6:$D$305,$B70,'8 Fudo Ventas'!$C$6:$C$305,$A70))</f>
        <v/>
      </c>
      <c r="F70" s="80">
        <f>IF($B70="","",SUMIFS('8 Fudo Consumos'!$D$6:$D$255,'8 Fudo Consumos'!$B$6:$B$255,$B70,'8 Fudo Consumos'!$C$6:$C$255,$A70))</f>
        <v/>
      </c>
      <c r="G70" s="79">
        <f>'4 Prod Pasteleria'!$R20</f>
        <v/>
      </c>
      <c r="H70" s="80">
        <f>IF($B70="","",SUMIFS('5 Descartes'!$D$6:$D$205,'5 Descartes'!$C$6:$C$205,$B70,'5 Descartes'!$B$6:$B$205,$A70))</f>
        <v/>
      </c>
      <c r="I70" s="80">
        <f>IF($B70="","",$G70-$H70)</f>
        <v/>
      </c>
      <c r="J70" s="81">
        <f>IF($B70="","",$D70-$E70-$F70-$G70)</f>
        <v/>
      </c>
      <c r="K70" s="71">
        <f>IF(OR($B70="",$D70=0),"",$J70/$D70)</f>
        <v/>
      </c>
      <c r="L70" s="75">
        <f>IF($B70="","",IF($D70=0,"Sin produccion registrada",IF($E70=0,"Sin ventas mapeadas en Fudo",IF(AND($K70&lt;&gt;"",ABS($K70)&gt;Config!$B$48),IF($J70&gt;0,"Salida sin explicar: consumo no registrado o faltante","Se vendio mas de lo elaborado: revisar stock previo"),IF($I70&lt;&gt;0,"Hay descarte sin detallar en la planilla 5","OK")))))</f>
        <v/>
      </c>
      <c r="M70" s="76">
        <f>IF($K70="","",ABS($K70)+ROW()/1000000)</f>
        <v/>
      </c>
    </row>
    <row r="71">
      <c r="A71" s="31" t="inlineStr">
        <is>
          <t>Pastelería</t>
        </is>
      </c>
      <c r="B71" s="82">
        <f>IF('4 Prod Pasteleria'!$A21="","",'4 Prod Pasteleria'!$A21)</f>
        <v/>
      </c>
      <c r="C71" s="45">
        <f>IF('4 Prod Pasteleria'!$B21="","",'4 Prod Pasteleria'!$B21)</f>
        <v/>
      </c>
      <c r="D71" s="79">
        <f>'4 Prod Pasteleria'!$Q21</f>
        <v/>
      </c>
      <c r="E71" s="80">
        <f>IF($B71="","",SUMIFS('8 Fudo Ventas'!$B$6:$B$305,'8 Fudo Ventas'!$D$6:$D$305,$B71,'8 Fudo Ventas'!$C$6:$C$305,$A71))</f>
        <v/>
      </c>
      <c r="F71" s="80">
        <f>IF($B71="","",SUMIFS('8 Fudo Consumos'!$D$6:$D$255,'8 Fudo Consumos'!$B$6:$B$255,$B71,'8 Fudo Consumos'!$C$6:$C$255,$A71))</f>
        <v/>
      </c>
      <c r="G71" s="79">
        <f>'4 Prod Pasteleria'!$R21</f>
        <v/>
      </c>
      <c r="H71" s="80">
        <f>IF($B71="","",SUMIFS('5 Descartes'!$D$6:$D$205,'5 Descartes'!$C$6:$C$205,$B71,'5 Descartes'!$B$6:$B$205,$A71))</f>
        <v/>
      </c>
      <c r="I71" s="80">
        <f>IF($B71="","",$G71-$H71)</f>
        <v/>
      </c>
      <c r="J71" s="81">
        <f>IF($B71="","",$D71-$E71-$F71-$G71)</f>
        <v/>
      </c>
      <c r="K71" s="71">
        <f>IF(OR($B71="",$D71=0),"",$J71/$D71)</f>
        <v/>
      </c>
      <c r="L71" s="75">
        <f>IF($B71="","",IF($D71=0,"Sin produccion registrada",IF($E71=0,"Sin ventas mapeadas en Fudo",IF(AND($K71&lt;&gt;"",ABS($K71)&gt;Config!$B$48),IF($J71&gt;0,"Salida sin explicar: consumo no registrado o faltante","Se vendio mas de lo elaborado: revisar stock previo"),IF($I71&lt;&gt;0,"Hay descarte sin detallar en la planilla 5","OK")))))</f>
        <v/>
      </c>
      <c r="M71" s="76">
        <f>IF($K71="","",ABS($K71)+ROW()/1000000)</f>
        <v/>
      </c>
    </row>
    <row r="72">
      <c r="A72" s="27" t="inlineStr">
        <is>
          <t>Pastelería</t>
        </is>
      </c>
      <c r="B72" s="23">
        <f>IF('4 Prod Pasteleria'!$A22="","",'4 Prod Pasteleria'!$A22)</f>
        <v/>
      </c>
      <c r="C72" s="40">
        <f>IF('4 Prod Pasteleria'!$B22="","",'4 Prod Pasteleria'!$B22)</f>
        <v/>
      </c>
      <c r="D72" s="79">
        <f>'4 Prod Pasteleria'!$Q22</f>
        <v/>
      </c>
      <c r="E72" s="80">
        <f>IF($B72="","",SUMIFS('8 Fudo Ventas'!$B$6:$B$305,'8 Fudo Ventas'!$D$6:$D$305,$B72,'8 Fudo Ventas'!$C$6:$C$305,$A72))</f>
        <v/>
      </c>
      <c r="F72" s="80">
        <f>IF($B72="","",SUMIFS('8 Fudo Consumos'!$D$6:$D$255,'8 Fudo Consumos'!$B$6:$B$255,$B72,'8 Fudo Consumos'!$C$6:$C$255,$A72))</f>
        <v/>
      </c>
      <c r="G72" s="79">
        <f>'4 Prod Pasteleria'!$R22</f>
        <v/>
      </c>
      <c r="H72" s="80">
        <f>IF($B72="","",SUMIFS('5 Descartes'!$D$6:$D$205,'5 Descartes'!$C$6:$C$205,$B72,'5 Descartes'!$B$6:$B$205,$A72))</f>
        <v/>
      </c>
      <c r="I72" s="80">
        <f>IF($B72="","",$G72-$H72)</f>
        <v/>
      </c>
      <c r="J72" s="81">
        <f>IF($B72="","",$D72-$E72-$F72-$G72)</f>
        <v/>
      </c>
      <c r="K72" s="71">
        <f>IF(OR($B72="",$D72=0),"",$J72/$D72)</f>
        <v/>
      </c>
      <c r="L72" s="75">
        <f>IF($B72="","",IF($D72=0,"Sin produccion registrada",IF($E72=0,"Sin ventas mapeadas en Fudo",IF(AND($K72&lt;&gt;"",ABS($K72)&gt;Config!$B$48),IF($J72&gt;0,"Salida sin explicar: consumo no registrado o faltante","Se vendio mas de lo elaborado: revisar stock previo"),IF($I72&lt;&gt;0,"Hay descarte sin detallar en la planilla 5","OK")))))</f>
        <v/>
      </c>
      <c r="M72" s="76">
        <f>IF($K72="","",ABS($K72)+ROW()/1000000)</f>
        <v/>
      </c>
    </row>
    <row r="73">
      <c r="A73" s="31" t="inlineStr">
        <is>
          <t>Pastelería</t>
        </is>
      </c>
      <c r="B73" s="82">
        <f>IF('4 Prod Pasteleria'!$A23="","",'4 Prod Pasteleria'!$A23)</f>
        <v/>
      </c>
      <c r="C73" s="45">
        <f>IF('4 Prod Pasteleria'!$B23="","",'4 Prod Pasteleria'!$B23)</f>
        <v/>
      </c>
      <c r="D73" s="79">
        <f>'4 Prod Pasteleria'!$Q23</f>
        <v/>
      </c>
      <c r="E73" s="80">
        <f>IF($B73="","",SUMIFS('8 Fudo Ventas'!$B$6:$B$305,'8 Fudo Ventas'!$D$6:$D$305,$B73,'8 Fudo Ventas'!$C$6:$C$305,$A73))</f>
        <v/>
      </c>
      <c r="F73" s="80">
        <f>IF($B73="","",SUMIFS('8 Fudo Consumos'!$D$6:$D$255,'8 Fudo Consumos'!$B$6:$B$255,$B73,'8 Fudo Consumos'!$C$6:$C$255,$A73))</f>
        <v/>
      </c>
      <c r="G73" s="79">
        <f>'4 Prod Pasteleria'!$R23</f>
        <v/>
      </c>
      <c r="H73" s="80">
        <f>IF($B73="","",SUMIFS('5 Descartes'!$D$6:$D$205,'5 Descartes'!$C$6:$C$205,$B73,'5 Descartes'!$B$6:$B$205,$A73))</f>
        <v/>
      </c>
      <c r="I73" s="80">
        <f>IF($B73="","",$G73-$H73)</f>
        <v/>
      </c>
      <c r="J73" s="81">
        <f>IF($B73="","",$D73-$E73-$F73-$G73)</f>
        <v/>
      </c>
      <c r="K73" s="71">
        <f>IF(OR($B73="",$D73=0),"",$J73/$D73)</f>
        <v/>
      </c>
      <c r="L73" s="75">
        <f>IF($B73="","",IF($D73=0,"Sin produccion registrada",IF($E73=0,"Sin ventas mapeadas en Fudo",IF(AND($K73&lt;&gt;"",ABS($K73)&gt;Config!$B$48),IF($J73&gt;0,"Salida sin explicar: consumo no registrado o faltante","Se vendio mas de lo elaborado: revisar stock previo"),IF($I73&lt;&gt;0,"Hay descarte sin detallar en la planilla 5","OK")))))</f>
        <v/>
      </c>
      <c r="M73" s="76">
        <f>IF($K73="","",ABS($K73)+ROW()/1000000)</f>
        <v/>
      </c>
    </row>
    <row r="74">
      <c r="A74" s="27" t="inlineStr">
        <is>
          <t>Pastelería</t>
        </is>
      </c>
      <c r="B74" s="23">
        <f>IF('4 Prod Pasteleria'!$A24="","",'4 Prod Pasteleria'!$A24)</f>
        <v/>
      </c>
      <c r="C74" s="40">
        <f>IF('4 Prod Pasteleria'!$B24="","",'4 Prod Pasteleria'!$B24)</f>
        <v/>
      </c>
      <c r="D74" s="79">
        <f>'4 Prod Pasteleria'!$Q24</f>
        <v/>
      </c>
      <c r="E74" s="80">
        <f>IF($B74="","",SUMIFS('8 Fudo Ventas'!$B$6:$B$305,'8 Fudo Ventas'!$D$6:$D$305,$B74,'8 Fudo Ventas'!$C$6:$C$305,$A74))</f>
        <v/>
      </c>
      <c r="F74" s="80">
        <f>IF($B74="","",SUMIFS('8 Fudo Consumos'!$D$6:$D$255,'8 Fudo Consumos'!$B$6:$B$255,$B74,'8 Fudo Consumos'!$C$6:$C$255,$A74))</f>
        <v/>
      </c>
      <c r="G74" s="79">
        <f>'4 Prod Pasteleria'!$R24</f>
        <v/>
      </c>
      <c r="H74" s="80">
        <f>IF($B74="","",SUMIFS('5 Descartes'!$D$6:$D$205,'5 Descartes'!$C$6:$C$205,$B74,'5 Descartes'!$B$6:$B$205,$A74))</f>
        <v/>
      </c>
      <c r="I74" s="80">
        <f>IF($B74="","",$G74-$H74)</f>
        <v/>
      </c>
      <c r="J74" s="81">
        <f>IF($B74="","",$D74-$E74-$F74-$G74)</f>
        <v/>
      </c>
      <c r="K74" s="71">
        <f>IF(OR($B74="",$D74=0),"",$J74/$D74)</f>
        <v/>
      </c>
      <c r="L74" s="75">
        <f>IF($B74="","",IF($D74=0,"Sin produccion registrada",IF($E74=0,"Sin ventas mapeadas en Fudo",IF(AND($K74&lt;&gt;"",ABS($K74)&gt;Config!$B$48),IF($J74&gt;0,"Salida sin explicar: consumo no registrado o faltante","Se vendio mas de lo elaborado: revisar stock previo"),IF($I74&lt;&gt;0,"Hay descarte sin detallar en la planilla 5","OK")))))</f>
        <v/>
      </c>
      <c r="M74" s="76">
        <f>IF($K74="","",ABS($K74)+ROW()/1000000)</f>
        <v/>
      </c>
    </row>
    <row r="75">
      <c r="A75" s="31" t="inlineStr">
        <is>
          <t>Pastelería</t>
        </is>
      </c>
      <c r="B75" s="82">
        <f>IF('4 Prod Pasteleria'!$A25="","",'4 Prod Pasteleria'!$A25)</f>
        <v/>
      </c>
      <c r="C75" s="45">
        <f>IF('4 Prod Pasteleria'!$B25="","",'4 Prod Pasteleria'!$B25)</f>
        <v/>
      </c>
      <c r="D75" s="79">
        <f>'4 Prod Pasteleria'!$Q25</f>
        <v/>
      </c>
      <c r="E75" s="80">
        <f>IF($B75="","",SUMIFS('8 Fudo Ventas'!$B$6:$B$305,'8 Fudo Ventas'!$D$6:$D$305,$B75,'8 Fudo Ventas'!$C$6:$C$305,$A75))</f>
        <v/>
      </c>
      <c r="F75" s="80">
        <f>IF($B75="","",SUMIFS('8 Fudo Consumos'!$D$6:$D$255,'8 Fudo Consumos'!$B$6:$B$255,$B75,'8 Fudo Consumos'!$C$6:$C$255,$A75))</f>
        <v/>
      </c>
      <c r="G75" s="79">
        <f>'4 Prod Pasteleria'!$R25</f>
        <v/>
      </c>
      <c r="H75" s="80">
        <f>IF($B75="","",SUMIFS('5 Descartes'!$D$6:$D$205,'5 Descartes'!$C$6:$C$205,$B75,'5 Descartes'!$B$6:$B$205,$A75))</f>
        <v/>
      </c>
      <c r="I75" s="80">
        <f>IF($B75="","",$G75-$H75)</f>
        <v/>
      </c>
      <c r="J75" s="81">
        <f>IF($B75="","",$D75-$E75-$F75-$G75)</f>
        <v/>
      </c>
      <c r="K75" s="71">
        <f>IF(OR($B75="",$D75=0),"",$J75/$D75)</f>
        <v/>
      </c>
      <c r="L75" s="75">
        <f>IF($B75="","",IF($D75=0,"Sin produccion registrada",IF($E75=0,"Sin ventas mapeadas en Fudo",IF(AND($K75&lt;&gt;"",ABS($K75)&gt;Config!$B$48),IF($J75&gt;0,"Salida sin explicar: consumo no registrado o faltante","Se vendio mas de lo elaborado: revisar stock previo"),IF($I75&lt;&gt;0,"Hay descarte sin detallar en la planilla 5","OK")))))</f>
        <v/>
      </c>
      <c r="M75" s="76">
        <f>IF($K75="","",ABS($K75)+ROW()/1000000)</f>
        <v/>
      </c>
    </row>
    <row r="76">
      <c r="A76" s="27" t="inlineStr">
        <is>
          <t>Pastelería</t>
        </is>
      </c>
      <c r="B76" s="23">
        <f>IF('4 Prod Pasteleria'!$A26="","",'4 Prod Pasteleria'!$A26)</f>
        <v/>
      </c>
      <c r="C76" s="40">
        <f>IF('4 Prod Pasteleria'!$B26="","",'4 Prod Pasteleria'!$B26)</f>
        <v/>
      </c>
      <c r="D76" s="79">
        <f>'4 Prod Pasteleria'!$Q26</f>
        <v/>
      </c>
      <c r="E76" s="80">
        <f>IF($B76="","",SUMIFS('8 Fudo Ventas'!$B$6:$B$305,'8 Fudo Ventas'!$D$6:$D$305,$B76,'8 Fudo Ventas'!$C$6:$C$305,$A76))</f>
        <v/>
      </c>
      <c r="F76" s="80">
        <f>IF($B76="","",SUMIFS('8 Fudo Consumos'!$D$6:$D$255,'8 Fudo Consumos'!$B$6:$B$255,$B76,'8 Fudo Consumos'!$C$6:$C$255,$A76))</f>
        <v/>
      </c>
      <c r="G76" s="79">
        <f>'4 Prod Pasteleria'!$R26</f>
        <v/>
      </c>
      <c r="H76" s="80">
        <f>IF($B76="","",SUMIFS('5 Descartes'!$D$6:$D$205,'5 Descartes'!$C$6:$C$205,$B76,'5 Descartes'!$B$6:$B$205,$A76))</f>
        <v/>
      </c>
      <c r="I76" s="80">
        <f>IF($B76="","",$G76-$H76)</f>
        <v/>
      </c>
      <c r="J76" s="81">
        <f>IF($B76="","",$D76-$E76-$F76-$G76)</f>
        <v/>
      </c>
      <c r="K76" s="71">
        <f>IF(OR($B76="",$D76=0),"",$J76/$D76)</f>
        <v/>
      </c>
      <c r="L76" s="75">
        <f>IF($B76="","",IF($D76=0,"Sin produccion registrada",IF($E76=0,"Sin ventas mapeadas en Fudo",IF(AND($K76&lt;&gt;"",ABS($K76)&gt;Config!$B$48),IF($J76&gt;0,"Salida sin explicar: consumo no registrado o faltante","Se vendio mas de lo elaborado: revisar stock previo"),IF($I76&lt;&gt;0,"Hay descarte sin detallar en la planilla 5","OK")))))</f>
        <v/>
      </c>
      <c r="M76" s="76">
        <f>IF($K76="","",ABS($K76)+ROW()/1000000)</f>
        <v/>
      </c>
    </row>
    <row r="77">
      <c r="A77" s="31" t="inlineStr">
        <is>
          <t>Pastelería</t>
        </is>
      </c>
      <c r="B77" s="82">
        <f>IF('4 Prod Pasteleria'!$A27="","",'4 Prod Pasteleria'!$A27)</f>
        <v/>
      </c>
      <c r="C77" s="45">
        <f>IF('4 Prod Pasteleria'!$B27="","",'4 Prod Pasteleria'!$B27)</f>
        <v/>
      </c>
      <c r="D77" s="79">
        <f>'4 Prod Pasteleria'!$Q27</f>
        <v/>
      </c>
      <c r="E77" s="80">
        <f>IF($B77="","",SUMIFS('8 Fudo Ventas'!$B$6:$B$305,'8 Fudo Ventas'!$D$6:$D$305,$B77,'8 Fudo Ventas'!$C$6:$C$305,$A77))</f>
        <v/>
      </c>
      <c r="F77" s="80">
        <f>IF($B77="","",SUMIFS('8 Fudo Consumos'!$D$6:$D$255,'8 Fudo Consumos'!$B$6:$B$255,$B77,'8 Fudo Consumos'!$C$6:$C$255,$A77))</f>
        <v/>
      </c>
      <c r="G77" s="79">
        <f>'4 Prod Pasteleria'!$R27</f>
        <v/>
      </c>
      <c r="H77" s="80">
        <f>IF($B77="","",SUMIFS('5 Descartes'!$D$6:$D$205,'5 Descartes'!$C$6:$C$205,$B77,'5 Descartes'!$B$6:$B$205,$A77))</f>
        <v/>
      </c>
      <c r="I77" s="80">
        <f>IF($B77="","",$G77-$H77)</f>
        <v/>
      </c>
      <c r="J77" s="81">
        <f>IF($B77="","",$D77-$E77-$F77-$G77)</f>
        <v/>
      </c>
      <c r="K77" s="71">
        <f>IF(OR($B77="",$D77=0),"",$J77/$D77)</f>
        <v/>
      </c>
      <c r="L77" s="75">
        <f>IF($B77="","",IF($D77=0,"Sin produccion registrada",IF($E77=0,"Sin ventas mapeadas en Fudo",IF(AND($K77&lt;&gt;"",ABS($K77)&gt;Config!$B$48),IF($J77&gt;0,"Salida sin explicar: consumo no registrado o faltante","Se vendio mas de lo elaborado: revisar stock previo"),IF($I77&lt;&gt;0,"Hay descarte sin detallar en la planilla 5","OK")))))</f>
        <v/>
      </c>
      <c r="M77" s="76">
        <f>IF($K77="","",ABS($K77)+ROW()/1000000)</f>
        <v/>
      </c>
    </row>
    <row r="78">
      <c r="A78" s="27" t="inlineStr">
        <is>
          <t>Pastelería</t>
        </is>
      </c>
      <c r="B78" s="23">
        <f>IF('4 Prod Pasteleria'!$A28="","",'4 Prod Pasteleria'!$A28)</f>
        <v/>
      </c>
      <c r="C78" s="40">
        <f>IF('4 Prod Pasteleria'!$B28="","",'4 Prod Pasteleria'!$B28)</f>
        <v/>
      </c>
      <c r="D78" s="79">
        <f>'4 Prod Pasteleria'!$Q28</f>
        <v/>
      </c>
      <c r="E78" s="80">
        <f>IF($B78="","",SUMIFS('8 Fudo Ventas'!$B$6:$B$305,'8 Fudo Ventas'!$D$6:$D$305,$B78,'8 Fudo Ventas'!$C$6:$C$305,$A78))</f>
        <v/>
      </c>
      <c r="F78" s="80">
        <f>IF($B78="","",SUMIFS('8 Fudo Consumos'!$D$6:$D$255,'8 Fudo Consumos'!$B$6:$B$255,$B78,'8 Fudo Consumos'!$C$6:$C$255,$A78))</f>
        <v/>
      </c>
      <c r="G78" s="79">
        <f>'4 Prod Pasteleria'!$R28</f>
        <v/>
      </c>
      <c r="H78" s="80">
        <f>IF($B78="","",SUMIFS('5 Descartes'!$D$6:$D$205,'5 Descartes'!$C$6:$C$205,$B78,'5 Descartes'!$B$6:$B$205,$A78))</f>
        <v/>
      </c>
      <c r="I78" s="80">
        <f>IF($B78="","",$G78-$H78)</f>
        <v/>
      </c>
      <c r="J78" s="81">
        <f>IF($B78="","",$D78-$E78-$F78-$G78)</f>
        <v/>
      </c>
      <c r="K78" s="71">
        <f>IF(OR($B78="",$D78=0),"",$J78/$D78)</f>
        <v/>
      </c>
      <c r="L78" s="75">
        <f>IF($B78="","",IF($D78=0,"Sin produccion registrada",IF($E78=0,"Sin ventas mapeadas en Fudo",IF(AND($K78&lt;&gt;"",ABS($K78)&gt;Config!$B$48),IF($J78&gt;0,"Salida sin explicar: consumo no registrado o faltante","Se vendio mas de lo elaborado: revisar stock previo"),IF($I78&lt;&gt;0,"Hay descarte sin detallar en la planilla 5","OK")))))</f>
        <v/>
      </c>
      <c r="M78" s="76">
        <f>IF($K78="","",ABS($K78)+ROW()/1000000)</f>
        <v/>
      </c>
    </row>
    <row r="79">
      <c r="A79" s="31" t="inlineStr">
        <is>
          <t>Pastelería</t>
        </is>
      </c>
      <c r="B79" s="82">
        <f>IF('4 Prod Pasteleria'!$A29="","",'4 Prod Pasteleria'!$A29)</f>
        <v/>
      </c>
      <c r="C79" s="45">
        <f>IF('4 Prod Pasteleria'!$B29="","",'4 Prod Pasteleria'!$B29)</f>
        <v/>
      </c>
      <c r="D79" s="79">
        <f>'4 Prod Pasteleria'!$Q29</f>
        <v/>
      </c>
      <c r="E79" s="80">
        <f>IF($B79="","",SUMIFS('8 Fudo Ventas'!$B$6:$B$305,'8 Fudo Ventas'!$D$6:$D$305,$B79,'8 Fudo Ventas'!$C$6:$C$305,$A79))</f>
        <v/>
      </c>
      <c r="F79" s="80">
        <f>IF($B79="","",SUMIFS('8 Fudo Consumos'!$D$6:$D$255,'8 Fudo Consumos'!$B$6:$B$255,$B79,'8 Fudo Consumos'!$C$6:$C$255,$A79))</f>
        <v/>
      </c>
      <c r="G79" s="79">
        <f>'4 Prod Pasteleria'!$R29</f>
        <v/>
      </c>
      <c r="H79" s="80">
        <f>IF($B79="","",SUMIFS('5 Descartes'!$D$6:$D$205,'5 Descartes'!$C$6:$C$205,$B79,'5 Descartes'!$B$6:$B$205,$A79))</f>
        <v/>
      </c>
      <c r="I79" s="80">
        <f>IF($B79="","",$G79-$H79)</f>
        <v/>
      </c>
      <c r="J79" s="81">
        <f>IF($B79="","",$D79-$E79-$F79-$G79)</f>
        <v/>
      </c>
      <c r="K79" s="71">
        <f>IF(OR($B79="",$D79=0),"",$J79/$D79)</f>
        <v/>
      </c>
      <c r="L79" s="75">
        <f>IF($B79="","",IF($D79=0,"Sin produccion registrada",IF($E79=0,"Sin ventas mapeadas en Fudo",IF(AND($K79&lt;&gt;"",ABS($K79)&gt;Config!$B$48),IF($J79&gt;0,"Salida sin explicar: consumo no registrado o faltante","Se vendio mas de lo elaborado: revisar stock previo"),IF($I79&lt;&gt;0,"Hay descarte sin detallar en la planilla 5","OK")))))</f>
        <v/>
      </c>
      <c r="M79" s="76">
        <f>IF($K79="","",ABS($K79)+ROW()/1000000)</f>
        <v/>
      </c>
    </row>
    <row r="80">
      <c r="A80" s="27" t="inlineStr">
        <is>
          <t>Pastelería</t>
        </is>
      </c>
      <c r="B80" s="23">
        <f>IF('4 Prod Pasteleria'!$A30="","",'4 Prod Pasteleria'!$A30)</f>
        <v/>
      </c>
      <c r="C80" s="40">
        <f>IF('4 Prod Pasteleria'!$B30="","",'4 Prod Pasteleria'!$B30)</f>
        <v/>
      </c>
      <c r="D80" s="79">
        <f>'4 Prod Pasteleria'!$Q30</f>
        <v/>
      </c>
      <c r="E80" s="80">
        <f>IF($B80="","",SUMIFS('8 Fudo Ventas'!$B$6:$B$305,'8 Fudo Ventas'!$D$6:$D$305,$B80,'8 Fudo Ventas'!$C$6:$C$305,$A80))</f>
        <v/>
      </c>
      <c r="F80" s="80">
        <f>IF($B80="","",SUMIFS('8 Fudo Consumos'!$D$6:$D$255,'8 Fudo Consumos'!$B$6:$B$255,$B80,'8 Fudo Consumos'!$C$6:$C$255,$A80))</f>
        <v/>
      </c>
      <c r="G80" s="79">
        <f>'4 Prod Pasteleria'!$R30</f>
        <v/>
      </c>
      <c r="H80" s="80">
        <f>IF($B80="","",SUMIFS('5 Descartes'!$D$6:$D$205,'5 Descartes'!$C$6:$C$205,$B80,'5 Descartes'!$B$6:$B$205,$A80))</f>
        <v/>
      </c>
      <c r="I80" s="80">
        <f>IF($B80="","",$G80-$H80)</f>
        <v/>
      </c>
      <c r="J80" s="81">
        <f>IF($B80="","",$D80-$E80-$F80-$G80)</f>
        <v/>
      </c>
      <c r="K80" s="71">
        <f>IF(OR($B80="",$D80=0),"",$J80/$D80)</f>
        <v/>
      </c>
      <c r="L80" s="75">
        <f>IF($B80="","",IF($D80=0,"Sin produccion registrada",IF($E80=0,"Sin ventas mapeadas en Fudo",IF(AND($K80&lt;&gt;"",ABS($K80)&gt;Config!$B$48),IF($J80&gt;0,"Salida sin explicar: consumo no registrado o faltante","Se vendio mas de lo elaborado: revisar stock previo"),IF($I80&lt;&gt;0,"Hay descarte sin detallar en la planilla 5","OK")))))</f>
        <v/>
      </c>
      <c r="M80" s="76">
        <f>IF($K80="","",ABS($K80)+ROW()/1000000)</f>
        <v/>
      </c>
    </row>
    <row r="81">
      <c r="A81" s="31" t="inlineStr">
        <is>
          <t>Pastelería</t>
        </is>
      </c>
      <c r="B81" s="82">
        <f>IF('4 Prod Pasteleria'!$A31="","",'4 Prod Pasteleria'!$A31)</f>
        <v/>
      </c>
      <c r="C81" s="45">
        <f>IF('4 Prod Pasteleria'!$B31="","",'4 Prod Pasteleria'!$B31)</f>
        <v/>
      </c>
      <c r="D81" s="79">
        <f>'4 Prod Pasteleria'!$Q31</f>
        <v/>
      </c>
      <c r="E81" s="80">
        <f>IF($B81="","",SUMIFS('8 Fudo Ventas'!$B$6:$B$305,'8 Fudo Ventas'!$D$6:$D$305,$B81,'8 Fudo Ventas'!$C$6:$C$305,$A81))</f>
        <v/>
      </c>
      <c r="F81" s="80">
        <f>IF($B81="","",SUMIFS('8 Fudo Consumos'!$D$6:$D$255,'8 Fudo Consumos'!$B$6:$B$255,$B81,'8 Fudo Consumos'!$C$6:$C$255,$A81))</f>
        <v/>
      </c>
      <c r="G81" s="79">
        <f>'4 Prod Pasteleria'!$R31</f>
        <v/>
      </c>
      <c r="H81" s="80">
        <f>IF($B81="","",SUMIFS('5 Descartes'!$D$6:$D$205,'5 Descartes'!$C$6:$C$205,$B81,'5 Descartes'!$B$6:$B$205,$A81))</f>
        <v/>
      </c>
      <c r="I81" s="80">
        <f>IF($B81="","",$G81-$H81)</f>
        <v/>
      </c>
      <c r="J81" s="81">
        <f>IF($B81="","",$D81-$E81-$F81-$G81)</f>
        <v/>
      </c>
      <c r="K81" s="71">
        <f>IF(OR($B81="",$D81=0),"",$J81/$D81)</f>
        <v/>
      </c>
      <c r="L81" s="75">
        <f>IF($B81="","",IF($D81=0,"Sin produccion registrada",IF($E81=0,"Sin ventas mapeadas en Fudo",IF(AND($K81&lt;&gt;"",ABS($K81)&gt;Config!$B$48),IF($J81&gt;0,"Salida sin explicar: consumo no registrado o faltante","Se vendio mas de lo elaborado: revisar stock previo"),IF($I81&lt;&gt;0,"Hay descarte sin detallar en la planilla 5","OK")))))</f>
        <v/>
      </c>
      <c r="M81" s="76">
        <f>IF($K81="","",ABS($K81)+ROW()/1000000)</f>
        <v/>
      </c>
    </row>
    <row r="82">
      <c r="A82" s="27" t="inlineStr">
        <is>
          <t>Pastelería</t>
        </is>
      </c>
      <c r="B82" s="23">
        <f>IF('4 Prod Pasteleria'!$A32="","",'4 Prod Pasteleria'!$A32)</f>
        <v/>
      </c>
      <c r="C82" s="40">
        <f>IF('4 Prod Pasteleria'!$B32="","",'4 Prod Pasteleria'!$B32)</f>
        <v/>
      </c>
      <c r="D82" s="79">
        <f>'4 Prod Pasteleria'!$Q32</f>
        <v/>
      </c>
      <c r="E82" s="80">
        <f>IF($B82="","",SUMIFS('8 Fudo Ventas'!$B$6:$B$305,'8 Fudo Ventas'!$D$6:$D$305,$B82,'8 Fudo Ventas'!$C$6:$C$305,$A82))</f>
        <v/>
      </c>
      <c r="F82" s="80">
        <f>IF($B82="","",SUMIFS('8 Fudo Consumos'!$D$6:$D$255,'8 Fudo Consumos'!$B$6:$B$255,$B82,'8 Fudo Consumos'!$C$6:$C$255,$A82))</f>
        <v/>
      </c>
      <c r="G82" s="79">
        <f>'4 Prod Pasteleria'!$R32</f>
        <v/>
      </c>
      <c r="H82" s="80">
        <f>IF($B82="","",SUMIFS('5 Descartes'!$D$6:$D$205,'5 Descartes'!$C$6:$C$205,$B82,'5 Descartes'!$B$6:$B$205,$A82))</f>
        <v/>
      </c>
      <c r="I82" s="80">
        <f>IF($B82="","",$G82-$H82)</f>
        <v/>
      </c>
      <c r="J82" s="81">
        <f>IF($B82="","",$D82-$E82-$F82-$G82)</f>
        <v/>
      </c>
      <c r="K82" s="71">
        <f>IF(OR($B82="",$D82=0),"",$J82/$D82)</f>
        <v/>
      </c>
      <c r="L82" s="75">
        <f>IF($B82="","",IF($D82=0,"Sin produccion registrada",IF($E82=0,"Sin ventas mapeadas en Fudo",IF(AND($K82&lt;&gt;"",ABS($K82)&gt;Config!$B$48),IF($J82&gt;0,"Salida sin explicar: consumo no registrado o faltante","Se vendio mas de lo elaborado: revisar stock previo"),IF($I82&lt;&gt;0,"Hay descarte sin detallar en la planilla 5","OK")))))</f>
        <v/>
      </c>
      <c r="M82" s="76">
        <f>IF($K82="","",ABS($K82)+ROW()/1000000)</f>
        <v/>
      </c>
    </row>
    <row r="83">
      <c r="A83" s="31" t="inlineStr">
        <is>
          <t>Pastelería</t>
        </is>
      </c>
      <c r="B83" s="82">
        <f>IF('4 Prod Pasteleria'!$A33="","",'4 Prod Pasteleria'!$A33)</f>
        <v/>
      </c>
      <c r="C83" s="45">
        <f>IF('4 Prod Pasteleria'!$B33="","",'4 Prod Pasteleria'!$B33)</f>
        <v/>
      </c>
      <c r="D83" s="79">
        <f>'4 Prod Pasteleria'!$Q33</f>
        <v/>
      </c>
      <c r="E83" s="80">
        <f>IF($B83="","",SUMIFS('8 Fudo Ventas'!$B$6:$B$305,'8 Fudo Ventas'!$D$6:$D$305,$B83,'8 Fudo Ventas'!$C$6:$C$305,$A83))</f>
        <v/>
      </c>
      <c r="F83" s="80">
        <f>IF($B83="","",SUMIFS('8 Fudo Consumos'!$D$6:$D$255,'8 Fudo Consumos'!$B$6:$B$255,$B83,'8 Fudo Consumos'!$C$6:$C$255,$A83))</f>
        <v/>
      </c>
      <c r="G83" s="79">
        <f>'4 Prod Pasteleria'!$R33</f>
        <v/>
      </c>
      <c r="H83" s="80">
        <f>IF($B83="","",SUMIFS('5 Descartes'!$D$6:$D$205,'5 Descartes'!$C$6:$C$205,$B83,'5 Descartes'!$B$6:$B$205,$A83))</f>
        <v/>
      </c>
      <c r="I83" s="80">
        <f>IF($B83="","",$G83-$H83)</f>
        <v/>
      </c>
      <c r="J83" s="81">
        <f>IF($B83="","",$D83-$E83-$F83-$G83)</f>
        <v/>
      </c>
      <c r="K83" s="71">
        <f>IF(OR($B83="",$D83=0),"",$J83/$D83)</f>
        <v/>
      </c>
      <c r="L83" s="75">
        <f>IF($B83="","",IF($D83=0,"Sin produccion registrada",IF($E83=0,"Sin ventas mapeadas en Fudo",IF(AND($K83&lt;&gt;"",ABS($K83)&gt;Config!$B$48),IF($J83&gt;0,"Salida sin explicar: consumo no registrado o faltante","Se vendio mas de lo elaborado: revisar stock previo"),IF($I83&lt;&gt;0,"Hay descarte sin detallar en la planilla 5","OK")))))</f>
        <v/>
      </c>
      <c r="M83" s="76">
        <f>IF($K83="","",ABS($K83)+ROW()/1000000)</f>
        <v/>
      </c>
    </row>
    <row r="84">
      <c r="A84" s="27" t="inlineStr">
        <is>
          <t>Pastelería</t>
        </is>
      </c>
      <c r="B84" s="23">
        <f>IF('4 Prod Pasteleria'!$A34="","",'4 Prod Pasteleria'!$A34)</f>
        <v/>
      </c>
      <c r="C84" s="40">
        <f>IF('4 Prod Pasteleria'!$B34="","",'4 Prod Pasteleria'!$B34)</f>
        <v/>
      </c>
      <c r="D84" s="79">
        <f>'4 Prod Pasteleria'!$Q34</f>
        <v/>
      </c>
      <c r="E84" s="80">
        <f>IF($B84="","",SUMIFS('8 Fudo Ventas'!$B$6:$B$305,'8 Fudo Ventas'!$D$6:$D$305,$B84,'8 Fudo Ventas'!$C$6:$C$305,$A84))</f>
        <v/>
      </c>
      <c r="F84" s="80">
        <f>IF($B84="","",SUMIFS('8 Fudo Consumos'!$D$6:$D$255,'8 Fudo Consumos'!$B$6:$B$255,$B84,'8 Fudo Consumos'!$C$6:$C$255,$A84))</f>
        <v/>
      </c>
      <c r="G84" s="79">
        <f>'4 Prod Pasteleria'!$R34</f>
        <v/>
      </c>
      <c r="H84" s="80">
        <f>IF($B84="","",SUMIFS('5 Descartes'!$D$6:$D$205,'5 Descartes'!$C$6:$C$205,$B84,'5 Descartes'!$B$6:$B$205,$A84))</f>
        <v/>
      </c>
      <c r="I84" s="80">
        <f>IF($B84="","",$G84-$H84)</f>
        <v/>
      </c>
      <c r="J84" s="81">
        <f>IF($B84="","",$D84-$E84-$F84-$G84)</f>
        <v/>
      </c>
      <c r="K84" s="71">
        <f>IF(OR($B84="",$D84=0),"",$J84/$D84)</f>
        <v/>
      </c>
      <c r="L84" s="75">
        <f>IF($B84="","",IF($D84=0,"Sin produccion registrada",IF($E84=0,"Sin ventas mapeadas en Fudo",IF(AND($K84&lt;&gt;"",ABS($K84)&gt;Config!$B$48),IF($J84&gt;0,"Salida sin explicar: consumo no registrado o faltante","Se vendio mas de lo elaborado: revisar stock previo"),IF($I84&lt;&gt;0,"Hay descarte sin detallar en la planilla 5","OK")))))</f>
        <v/>
      </c>
      <c r="M84" s="76">
        <f>IF($K84="","",ABS($K84)+ROW()/1000000)</f>
        <v/>
      </c>
    </row>
    <row r="85">
      <c r="A85" s="31" t="inlineStr">
        <is>
          <t>Pastelería</t>
        </is>
      </c>
      <c r="B85" s="82">
        <f>IF('4 Prod Pasteleria'!$A35="","",'4 Prod Pasteleria'!$A35)</f>
        <v/>
      </c>
      <c r="C85" s="45">
        <f>IF('4 Prod Pasteleria'!$B35="","",'4 Prod Pasteleria'!$B35)</f>
        <v/>
      </c>
      <c r="D85" s="79">
        <f>'4 Prod Pasteleria'!$Q35</f>
        <v/>
      </c>
      <c r="E85" s="80">
        <f>IF($B85="","",SUMIFS('8 Fudo Ventas'!$B$6:$B$305,'8 Fudo Ventas'!$D$6:$D$305,$B85,'8 Fudo Ventas'!$C$6:$C$305,$A85))</f>
        <v/>
      </c>
      <c r="F85" s="80">
        <f>IF($B85="","",SUMIFS('8 Fudo Consumos'!$D$6:$D$255,'8 Fudo Consumos'!$B$6:$B$255,$B85,'8 Fudo Consumos'!$C$6:$C$255,$A85))</f>
        <v/>
      </c>
      <c r="G85" s="79">
        <f>'4 Prod Pasteleria'!$R35</f>
        <v/>
      </c>
      <c r="H85" s="80">
        <f>IF($B85="","",SUMIFS('5 Descartes'!$D$6:$D$205,'5 Descartes'!$C$6:$C$205,$B85,'5 Descartes'!$B$6:$B$205,$A85))</f>
        <v/>
      </c>
      <c r="I85" s="80">
        <f>IF($B85="","",$G85-$H85)</f>
        <v/>
      </c>
      <c r="J85" s="81">
        <f>IF($B85="","",$D85-$E85-$F85-$G85)</f>
        <v/>
      </c>
      <c r="K85" s="71">
        <f>IF(OR($B85="",$D85=0),"",$J85/$D85)</f>
        <v/>
      </c>
      <c r="L85" s="75">
        <f>IF($B85="","",IF($D85=0,"Sin produccion registrada",IF($E85=0,"Sin ventas mapeadas en Fudo",IF(AND($K85&lt;&gt;"",ABS($K85)&gt;Config!$B$48),IF($J85&gt;0,"Salida sin explicar: consumo no registrado o faltante","Se vendio mas de lo elaborado: revisar stock previo"),IF($I85&lt;&gt;0,"Hay descarte sin detallar en la planilla 5","OK")))))</f>
        <v/>
      </c>
      <c r="M85" s="76">
        <f>IF($K85="","",ABS($K85)+ROW()/1000000)</f>
        <v/>
      </c>
    </row>
    <row r="86">
      <c r="A86" s="27" t="inlineStr">
        <is>
          <t>Pastelería</t>
        </is>
      </c>
      <c r="B86" s="23">
        <f>IF('4 Prod Pasteleria'!$A36="","",'4 Prod Pasteleria'!$A36)</f>
        <v/>
      </c>
      <c r="C86" s="40">
        <f>IF('4 Prod Pasteleria'!$B36="","",'4 Prod Pasteleria'!$B36)</f>
        <v/>
      </c>
      <c r="D86" s="79">
        <f>'4 Prod Pasteleria'!$Q36</f>
        <v/>
      </c>
      <c r="E86" s="80">
        <f>IF($B86="","",SUMIFS('8 Fudo Ventas'!$B$6:$B$305,'8 Fudo Ventas'!$D$6:$D$305,$B86,'8 Fudo Ventas'!$C$6:$C$305,$A86))</f>
        <v/>
      </c>
      <c r="F86" s="80">
        <f>IF($B86="","",SUMIFS('8 Fudo Consumos'!$D$6:$D$255,'8 Fudo Consumos'!$B$6:$B$255,$B86,'8 Fudo Consumos'!$C$6:$C$255,$A86))</f>
        <v/>
      </c>
      <c r="G86" s="79">
        <f>'4 Prod Pasteleria'!$R36</f>
        <v/>
      </c>
      <c r="H86" s="80">
        <f>IF($B86="","",SUMIFS('5 Descartes'!$D$6:$D$205,'5 Descartes'!$C$6:$C$205,$B86,'5 Descartes'!$B$6:$B$205,$A86))</f>
        <v/>
      </c>
      <c r="I86" s="80">
        <f>IF($B86="","",$G86-$H86)</f>
        <v/>
      </c>
      <c r="J86" s="81">
        <f>IF($B86="","",$D86-$E86-$F86-$G86)</f>
        <v/>
      </c>
      <c r="K86" s="71">
        <f>IF(OR($B86="",$D86=0),"",$J86/$D86)</f>
        <v/>
      </c>
      <c r="L86" s="75">
        <f>IF($B86="","",IF($D86=0,"Sin produccion registrada",IF($E86=0,"Sin ventas mapeadas en Fudo",IF(AND($K86&lt;&gt;"",ABS($K86)&gt;Config!$B$48),IF($J86&gt;0,"Salida sin explicar: consumo no registrado o faltante","Se vendio mas de lo elaborado: revisar stock previo"),IF($I86&lt;&gt;0,"Hay descarte sin detallar en la planilla 5","OK")))))</f>
        <v/>
      </c>
      <c r="M86" s="76">
        <f>IF($K86="","",ABS($K86)+ROW()/1000000)</f>
        <v/>
      </c>
    </row>
    <row r="87">
      <c r="A87" s="31" t="inlineStr">
        <is>
          <t>Pastelería</t>
        </is>
      </c>
      <c r="B87" s="82">
        <f>IF('4 Prod Pasteleria'!$A37="","",'4 Prod Pasteleria'!$A37)</f>
        <v/>
      </c>
      <c r="C87" s="45">
        <f>IF('4 Prod Pasteleria'!$B37="","",'4 Prod Pasteleria'!$B37)</f>
        <v/>
      </c>
      <c r="D87" s="79">
        <f>'4 Prod Pasteleria'!$Q37</f>
        <v/>
      </c>
      <c r="E87" s="80">
        <f>IF($B87="","",SUMIFS('8 Fudo Ventas'!$B$6:$B$305,'8 Fudo Ventas'!$D$6:$D$305,$B87,'8 Fudo Ventas'!$C$6:$C$305,$A87))</f>
        <v/>
      </c>
      <c r="F87" s="80">
        <f>IF($B87="","",SUMIFS('8 Fudo Consumos'!$D$6:$D$255,'8 Fudo Consumos'!$B$6:$B$255,$B87,'8 Fudo Consumos'!$C$6:$C$255,$A87))</f>
        <v/>
      </c>
      <c r="G87" s="79">
        <f>'4 Prod Pasteleria'!$R37</f>
        <v/>
      </c>
      <c r="H87" s="80">
        <f>IF($B87="","",SUMIFS('5 Descartes'!$D$6:$D$205,'5 Descartes'!$C$6:$C$205,$B87,'5 Descartes'!$B$6:$B$205,$A87))</f>
        <v/>
      </c>
      <c r="I87" s="80">
        <f>IF($B87="","",$G87-$H87)</f>
        <v/>
      </c>
      <c r="J87" s="81">
        <f>IF($B87="","",$D87-$E87-$F87-$G87)</f>
        <v/>
      </c>
      <c r="K87" s="71">
        <f>IF(OR($B87="",$D87=0),"",$J87/$D87)</f>
        <v/>
      </c>
      <c r="L87" s="75">
        <f>IF($B87="","",IF($D87=0,"Sin produccion registrada",IF($E87=0,"Sin ventas mapeadas en Fudo",IF(AND($K87&lt;&gt;"",ABS($K87)&gt;Config!$B$48),IF($J87&gt;0,"Salida sin explicar: consumo no registrado o faltante","Se vendio mas de lo elaborado: revisar stock previo"),IF($I87&lt;&gt;0,"Hay descarte sin detallar en la planilla 5","OK")))))</f>
        <v/>
      </c>
      <c r="M87" s="76">
        <f>IF($K87="","",ABS($K87)+ROW()/1000000)</f>
        <v/>
      </c>
    </row>
    <row r="88">
      <c r="A88" s="27" t="inlineStr">
        <is>
          <t>Pastelería</t>
        </is>
      </c>
      <c r="B88" s="23">
        <f>IF('4 Prod Pasteleria'!$A38="","",'4 Prod Pasteleria'!$A38)</f>
        <v/>
      </c>
      <c r="C88" s="40">
        <f>IF('4 Prod Pasteleria'!$B38="","",'4 Prod Pasteleria'!$B38)</f>
        <v/>
      </c>
      <c r="D88" s="79">
        <f>'4 Prod Pasteleria'!$Q38</f>
        <v/>
      </c>
      <c r="E88" s="80">
        <f>IF($B88="","",SUMIFS('8 Fudo Ventas'!$B$6:$B$305,'8 Fudo Ventas'!$D$6:$D$305,$B88,'8 Fudo Ventas'!$C$6:$C$305,$A88))</f>
        <v/>
      </c>
      <c r="F88" s="80">
        <f>IF($B88="","",SUMIFS('8 Fudo Consumos'!$D$6:$D$255,'8 Fudo Consumos'!$B$6:$B$255,$B88,'8 Fudo Consumos'!$C$6:$C$255,$A88))</f>
        <v/>
      </c>
      <c r="G88" s="79">
        <f>'4 Prod Pasteleria'!$R38</f>
        <v/>
      </c>
      <c r="H88" s="80">
        <f>IF($B88="","",SUMIFS('5 Descartes'!$D$6:$D$205,'5 Descartes'!$C$6:$C$205,$B88,'5 Descartes'!$B$6:$B$205,$A88))</f>
        <v/>
      </c>
      <c r="I88" s="80">
        <f>IF($B88="","",$G88-$H88)</f>
        <v/>
      </c>
      <c r="J88" s="81">
        <f>IF($B88="","",$D88-$E88-$F88-$G88)</f>
        <v/>
      </c>
      <c r="K88" s="71">
        <f>IF(OR($B88="",$D88=0),"",$J88/$D88)</f>
        <v/>
      </c>
      <c r="L88" s="75">
        <f>IF($B88="","",IF($D88=0,"Sin produccion registrada",IF($E88=0,"Sin ventas mapeadas en Fudo",IF(AND($K88&lt;&gt;"",ABS($K88)&gt;Config!$B$48),IF($J88&gt;0,"Salida sin explicar: consumo no registrado o faltante","Se vendio mas de lo elaborado: revisar stock previo"),IF($I88&lt;&gt;0,"Hay descarte sin detallar en la planilla 5","OK")))))</f>
        <v/>
      </c>
      <c r="M88" s="76">
        <f>IF($K88="","",ABS($K88)+ROW()/1000000)</f>
        <v/>
      </c>
    </row>
    <row r="89">
      <c r="A89" s="31" t="inlineStr">
        <is>
          <t>Pastelería</t>
        </is>
      </c>
      <c r="B89" s="82">
        <f>IF('4 Prod Pasteleria'!$A39="","",'4 Prod Pasteleria'!$A39)</f>
        <v/>
      </c>
      <c r="C89" s="45">
        <f>IF('4 Prod Pasteleria'!$B39="","",'4 Prod Pasteleria'!$B39)</f>
        <v/>
      </c>
      <c r="D89" s="79">
        <f>'4 Prod Pasteleria'!$Q39</f>
        <v/>
      </c>
      <c r="E89" s="80">
        <f>IF($B89="","",SUMIFS('8 Fudo Ventas'!$B$6:$B$305,'8 Fudo Ventas'!$D$6:$D$305,$B89,'8 Fudo Ventas'!$C$6:$C$305,$A89))</f>
        <v/>
      </c>
      <c r="F89" s="80">
        <f>IF($B89="","",SUMIFS('8 Fudo Consumos'!$D$6:$D$255,'8 Fudo Consumos'!$B$6:$B$255,$B89,'8 Fudo Consumos'!$C$6:$C$255,$A89))</f>
        <v/>
      </c>
      <c r="G89" s="79">
        <f>'4 Prod Pasteleria'!$R39</f>
        <v/>
      </c>
      <c r="H89" s="80">
        <f>IF($B89="","",SUMIFS('5 Descartes'!$D$6:$D$205,'5 Descartes'!$C$6:$C$205,$B89,'5 Descartes'!$B$6:$B$205,$A89))</f>
        <v/>
      </c>
      <c r="I89" s="80">
        <f>IF($B89="","",$G89-$H89)</f>
        <v/>
      </c>
      <c r="J89" s="81">
        <f>IF($B89="","",$D89-$E89-$F89-$G89)</f>
        <v/>
      </c>
      <c r="K89" s="71">
        <f>IF(OR($B89="",$D89=0),"",$J89/$D89)</f>
        <v/>
      </c>
      <c r="L89" s="75">
        <f>IF($B89="","",IF($D89=0,"Sin produccion registrada",IF($E89=0,"Sin ventas mapeadas en Fudo",IF(AND($K89&lt;&gt;"",ABS($K89)&gt;Config!$B$48),IF($J89&gt;0,"Salida sin explicar: consumo no registrado o faltante","Se vendio mas de lo elaborado: revisar stock previo"),IF($I89&lt;&gt;0,"Hay descarte sin detallar en la planilla 5","OK")))))</f>
        <v/>
      </c>
      <c r="M89" s="76">
        <f>IF($K89="","",ABS($K89)+ROW()/1000000)</f>
        <v/>
      </c>
    </row>
    <row r="90">
      <c r="A90" s="27" t="inlineStr">
        <is>
          <t>Pastelería</t>
        </is>
      </c>
      <c r="B90" s="23">
        <f>IF('4 Prod Pasteleria'!$A40="","",'4 Prod Pasteleria'!$A40)</f>
        <v/>
      </c>
      <c r="C90" s="40">
        <f>IF('4 Prod Pasteleria'!$B40="","",'4 Prod Pasteleria'!$B40)</f>
        <v/>
      </c>
      <c r="D90" s="79">
        <f>'4 Prod Pasteleria'!$Q40</f>
        <v/>
      </c>
      <c r="E90" s="80">
        <f>IF($B90="","",SUMIFS('8 Fudo Ventas'!$B$6:$B$305,'8 Fudo Ventas'!$D$6:$D$305,$B90,'8 Fudo Ventas'!$C$6:$C$305,$A90))</f>
        <v/>
      </c>
      <c r="F90" s="80">
        <f>IF($B90="","",SUMIFS('8 Fudo Consumos'!$D$6:$D$255,'8 Fudo Consumos'!$B$6:$B$255,$B90,'8 Fudo Consumos'!$C$6:$C$255,$A90))</f>
        <v/>
      </c>
      <c r="G90" s="79">
        <f>'4 Prod Pasteleria'!$R40</f>
        <v/>
      </c>
      <c r="H90" s="80">
        <f>IF($B90="","",SUMIFS('5 Descartes'!$D$6:$D$205,'5 Descartes'!$C$6:$C$205,$B90,'5 Descartes'!$B$6:$B$205,$A90))</f>
        <v/>
      </c>
      <c r="I90" s="80">
        <f>IF($B90="","",$G90-$H90)</f>
        <v/>
      </c>
      <c r="J90" s="81">
        <f>IF($B90="","",$D90-$E90-$F90-$G90)</f>
        <v/>
      </c>
      <c r="K90" s="71">
        <f>IF(OR($B90="",$D90=0),"",$J90/$D90)</f>
        <v/>
      </c>
      <c r="L90" s="75">
        <f>IF($B90="","",IF($D90=0,"Sin produccion registrada",IF($E90=0,"Sin ventas mapeadas en Fudo",IF(AND($K90&lt;&gt;"",ABS($K90)&gt;Config!$B$48),IF($J90&gt;0,"Salida sin explicar: consumo no registrado o faltante","Se vendio mas de lo elaborado: revisar stock previo"),IF($I90&lt;&gt;0,"Hay descarte sin detallar en la planilla 5","OK")))))</f>
        <v/>
      </c>
      <c r="M90" s="76">
        <f>IF($K90="","",ABS($K90)+ROW()/1000000)</f>
        <v/>
      </c>
    </row>
    <row r="91">
      <c r="A91" s="31" t="inlineStr">
        <is>
          <t>Pastelería</t>
        </is>
      </c>
      <c r="B91" s="82">
        <f>IF('4 Prod Pasteleria'!$A41="","",'4 Prod Pasteleria'!$A41)</f>
        <v/>
      </c>
      <c r="C91" s="45">
        <f>IF('4 Prod Pasteleria'!$B41="","",'4 Prod Pasteleria'!$B41)</f>
        <v/>
      </c>
      <c r="D91" s="79">
        <f>'4 Prod Pasteleria'!$Q41</f>
        <v/>
      </c>
      <c r="E91" s="80">
        <f>IF($B91="","",SUMIFS('8 Fudo Ventas'!$B$6:$B$305,'8 Fudo Ventas'!$D$6:$D$305,$B91,'8 Fudo Ventas'!$C$6:$C$305,$A91))</f>
        <v/>
      </c>
      <c r="F91" s="80">
        <f>IF($B91="","",SUMIFS('8 Fudo Consumos'!$D$6:$D$255,'8 Fudo Consumos'!$B$6:$B$255,$B91,'8 Fudo Consumos'!$C$6:$C$255,$A91))</f>
        <v/>
      </c>
      <c r="G91" s="79">
        <f>'4 Prod Pasteleria'!$R41</f>
        <v/>
      </c>
      <c r="H91" s="80">
        <f>IF($B91="","",SUMIFS('5 Descartes'!$D$6:$D$205,'5 Descartes'!$C$6:$C$205,$B91,'5 Descartes'!$B$6:$B$205,$A91))</f>
        <v/>
      </c>
      <c r="I91" s="80">
        <f>IF($B91="","",$G91-$H91)</f>
        <v/>
      </c>
      <c r="J91" s="81">
        <f>IF($B91="","",$D91-$E91-$F91-$G91)</f>
        <v/>
      </c>
      <c r="K91" s="71">
        <f>IF(OR($B91="",$D91=0),"",$J91/$D91)</f>
        <v/>
      </c>
      <c r="L91" s="75">
        <f>IF($B91="","",IF($D91=0,"Sin produccion registrada",IF($E91=0,"Sin ventas mapeadas en Fudo",IF(AND($K91&lt;&gt;"",ABS($K91)&gt;Config!$B$48),IF($J91&gt;0,"Salida sin explicar: consumo no registrado o faltante","Se vendio mas de lo elaborado: revisar stock previo"),IF($I91&lt;&gt;0,"Hay descarte sin detallar en la planilla 5","OK")))))</f>
        <v/>
      </c>
      <c r="M91" s="76">
        <f>IF($K91="","",ABS($K91)+ROW()/1000000)</f>
        <v/>
      </c>
    </row>
    <row r="92">
      <c r="A92" s="27" t="inlineStr">
        <is>
          <t>Pastelería</t>
        </is>
      </c>
      <c r="B92" s="23">
        <f>IF('4 Prod Pasteleria'!$A42="","",'4 Prod Pasteleria'!$A42)</f>
        <v/>
      </c>
      <c r="C92" s="40">
        <f>IF('4 Prod Pasteleria'!$B42="","",'4 Prod Pasteleria'!$B42)</f>
        <v/>
      </c>
      <c r="D92" s="79">
        <f>'4 Prod Pasteleria'!$Q42</f>
        <v/>
      </c>
      <c r="E92" s="80">
        <f>IF($B92="","",SUMIFS('8 Fudo Ventas'!$B$6:$B$305,'8 Fudo Ventas'!$D$6:$D$305,$B92,'8 Fudo Ventas'!$C$6:$C$305,$A92))</f>
        <v/>
      </c>
      <c r="F92" s="80">
        <f>IF($B92="","",SUMIFS('8 Fudo Consumos'!$D$6:$D$255,'8 Fudo Consumos'!$B$6:$B$255,$B92,'8 Fudo Consumos'!$C$6:$C$255,$A92))</f>
        <v/>
      </c>
      <c r="G92" s="79">
        <f>'4 Prod Pasteleria'!$R42</f>
        <v/>
      </c>
      <c r="H92" s="80">
        <f>IF($B92="","",SUMIFS('5 Descartes'!$D$6:$D$205,'5 Descartes'!$C$6:$C$205,$B92,'5 Descartes'!$B$6:$B$205,$A92))</f>
        <v/>
      </c>
      <c r="I92" s="80">
        <f>IF($B92="","",$G92-$H92)</f>
        <v/>
      </c>
      <c r="J92" s="81">
        <f>IF($B92="","",$D92-$E92-$F92-$G92)</f>
        <v/>
      </c>
      <c r="K92" s="71">
        <f>IF(OR($B92="",$D92=0),"",$J92/$D92)</f>
        <v/>
      </c>
      <c r="L92" s="75">
        <f>IF($B92="","",IF($D92=0,"Sin produccion registrada",IF($E92=0,"Sin ventas mapeadas en Fudo",IF(AND($K92&lt;&gt;"",ABS($K92)&gt;Config!$B$48),IF($J92&gt;0,"Salida sin explicar: consumo no registrado o faltante","Se vendio mas de lo elaborado: revisar stock previo"),IF($I92&lt;&gt;0,"Hay descarte sin detallar en la planilla 5","OK")))))</f>
        <v/>
      </c>
      <c r="M92" s="76">
        <f>IF($K92="","",ABS($K92)+ROW()/1000000)</f>
        <v/>
      </c>
    </row>
    <row r="93">
      <c r="A93" s="31" t="inlineStr">
        <is>
          <t>Pastelería</t>
        </is>
      </c>
      <c r="B93" s="82">
        <f>IF('4 Prod Pasteleria'!$A43="","",'4 Prod Pasteleria'!$A43)</f>
        <v/>
      </c>
      <c r="C93" s="45">
        <f>IF('4 Prod Pasteleria'!$B43="","",'4 Prod Pasteleria'!$B43)</f>
        <v/>
      </c>
      <c r="D93" s="79">
        <f>'4 Prod Pasteleria'!$Q43</f>
        <v/>
      </c>
      <c r="E93" s="80">
        <f>IF($B93="","",SUMIFS('8 Fudo Ventas'!$B$6:$B$305,'8 Fudo Ventas'!$D$6:$D$305,$B93,'8 Fudo Ventas'!$C$6:$C$305,$A93))</f>
        <v/>
      </c>
      <c r="F93" s="80">
        <f>IF($B93="","",SUMIFS('8 Fudo Consumos'!$D$6:$D$255,'8 Fudo Consumos'!$B$6:$B$255,$B93,'8 Fudo Consumos'!$C$6:$C$255,$A93))</f>
        <v/>
      </c>
      <c r="G93" s="79">
        <f>'4 Prod Pasteleria'!$R43</f>
        <v/>
      </c>
      <c r="H93" s="80">
        <f>IF($B93="","",SUMIFS('5 Descartes'!$D$6:$D$205,'5 Descartes'!$C$6:$C$205,$B93,'5 Descartes'!$B$6:$B$205,$A93))</f>
        <v/>
      </c>
      <c r="I93" s="80">
        <f>IF($B93="","",$G93-$H93)</f>
        <v/>
      </c>
      <c r="J93" s="81">
        <f>IF($B93="","",$D93-$E93-$F93-$G93)</f>
        <v/>
      </c>
      <c r="K93" s="71">
        <f>IF(OR($B93="",$D93=0),"",$J93/$D93)</f>
        <v/>
      </c>
      <c r="L93" s="75">
        <f>IF($B93="","",IF($D93=0,"Sin produccion registrada",IF($E93=0,"Sin ventas mapeadas en Fudo",IF(AND($K93&lt;&gt;"",ABS($K93)&gt;Config!$B$48),IF($J93&gt;0,"Salida sin explicar: consumo no registrado o faltante","Se vendio mas de lo elaborado: revisar stock previo"),IF($I93&lt;&gt;0,"Hay descarte sin detallar en la planilla 5","OK")))))</f>
        <v/>
      </c>
      <c r="M93" s="76">
        <f>IF($K93="","",ABS($K93)+ROW()/1000000)</f>
        <v/>
      </c>
    </row>
    <row r="94">
      <c r="A94" s="27" t="inlineStr">
        <is>
          <t>Pastelería</t>
        </is>
      </c>
      <c r="B94" s="23">
        <f>IF('4 Prod Pasteleria'!$A44="","",'4 Prod Pasteleria'!$A44)</f>
        <v/>
      </c>
      <c r="C94" s="40">
        <f>IF('4 Prod Pasteleria'!$B44="","",'4 Prod Pasteleria'!$B44)</f>
        <v/>
      </c>
      <c r="D94" s="79">
        <f>'4 Prod Pasteleria'!$Q44</f>
        <v/>
      </c>
      <c r="E94" s="80">
        <f>IF($B94="","",SUMIFS('8 Fudo Ventas'!$B$6:$B$305,'8 Fudo Ventas'!$D$6:$D$305,$B94,'8 Fudo Ventas'!$C$6:$C$305,$A94))</f>
        <v/>
      </c>
      <c r="F94" s="80">
        <f>IF($B94="","",SUMIFS('8 Fudo Consumos'!$D$6:$D$255,'8 Fudo Consumos'!$B$6:$B$255,$B94,'8 Fudo Consumos'!$C$6:$C$255,$A94))</f>
        <v/>
      </c>
      <c r="G94" s="79">
        <f>'4 Prod Pasteleria'!$R44</f>
        <v/>
      </c>
      <c r="H94" s="80">
        <f>IF($B94="","",SUMIFS('5 Descartes'!$D$6:$D$205,'5 Descartes'!$C$6:$C$205,$B94,'5 Descartes'!$B$6:$B$205,$A94))</f>
        <v/>
      </c>
      <c r="I94" s="80">
        <f>IF($B94="","",$G94-$H94)</f>
        <v/>
      </c>
      <c r="J94" s="81">
        <f>IF($B94="","",$D94-$E94-$F94-$G94)</f>
        <v/>
      </c>
      <c r="K94" s="71">
        <f>IF(OR($B94="",$D94=0),"",$J94/$D94)</f>
        <v/>
      </c>
      <c r="L94" s="75">
        <f>IF($B94="","",IF($D94=0,"Sin produccion registrada",IF($E94=0,"Sin ventas mapeadas en Fudo",IF(AND($K94&lt;&gt;"",ABS($K94)&gt;Config!$B$48),IF($J94&gt;0,"Salida sin explicar: consumo no registrado o faltante","Se vendio mas de lo elaborado: revisar stock previo"),IF($I94&lt;&gt;0,"Hay descarte sin detallar en la planilla 5","OK")))))</f>
        <v/>
      </c>
      <c r="M94" s="76">
        <f>IF($K94="","",ABS($K94)+ROW()/1000000)</f>
        <v/>
      </c>
    </row>
    <row r="95">
      <c r="A95" s="31" t="inlineStr">
        <is>
          <t>Pastelería</t>
        </is>
      </c>
      <c r="B95" s="82">
        <f>IF('4 Prod Pasteleria'!$A45="","",'4 Prod Pasteleria'!$A45)</f>
        <v/>
      </c>
      <c r="C95" s="45">
        <f>IF('4 Prod Pasteleria'!$B45="","",'4 Prod Pasteleria'!$B45)</f>
        <v/>
      </c>
      <c r="D95" s="79">
        <f>'4 Prod Pasteleria'!$Q45</f>
        <v/>
      </c>
      <c r="E95" s="80">
        <f>IF($B95="","",SUMIFS('8 Fudo Ventas'!$B$6:$B$305,'8 Fudo Ventas'!$D$6:$D$305,$B95,'8 Fudo Ventas'!$C$6:$C$305,$A95))</f>
        <v/>
      </c>
      <c r="F95" s="80">
        <f>IF($B95="","",SUMIFS('8 Fudo Consumos'!$D$6:$D$255,'8 Fudo Consumos'!$B$6:$B$255,$B95,'8 Fudo Consumos'!$C$6:$C$255,$A95))</f>
        <v/>
      </c>
      <c r="G95" s="79">
        <f>'4 Prod Pasteleria'!$R45</f>
        <v/>
      </c>
      <c r="H95" s="80">
        <f>IF($B95="","",SUMIFS('5 Descartes'!$D$6:$D$205,'5 Descartes'!$C$6:$C$205,$B95,'5 Descartes'!$B$6:$B$205,$A95))</f>
        <v/>
      </c>
      <c r="I95" s="80">
        <f>IF($B95="","",$G95-$H95)</f>
        <v/>
      </c>
      <c r="J95" s="81">
        <f>IF($B95="","",$D95-$E95-$F95-$G95)</f>
        <v/>
      </c>
      <c r="K95" s="71">
        <f>IF(OR($B95="",$D95=0),"",$J95/$D95)</f>
        <v/>
      </c>
      <c r="L95" s="75">
        <f>IF($B95="","",IF($D95=0,"Sin produccion registrada",IF($E95=0,"Sin ventas mapeadas en Fudo",IF(AND($K95&lt;&gt;"",ABS($K95)&gt;Config!$B$48),IF($J95&gt;0,"Salida sin explicar: consumo no registrado o faltante","Se vendio mas de lo elaborado: revisar stock previo"),IF($I95&lt;&gt;0,"Hay descarte sin detallar en la planilla 5","OK")))))</f>
        <v/>
      </c>
      <c r="M95" s="76">
        <f>IF($K95="","",ABS($K95)+ROW()/1000000)</f>
        <v/>
      </c>
    </row>
    <row r="96">
      <c r="A96" s="27" t="inlineStr">
        <is>
          <t>Pastelería</t>
        </is>
      </c>
      <c r="B96" s="23">
        <f>IF('4 Prod Pasteleria'!$A46="","",'4 Prod Pasteleria'!$A46)</f>
        <v/>
      </c>
      <c r="C96" s="40">
        <f>IF('4 Prod Pasteleria'!$B46="","",'4 Prod Pasteleria'!$B46)</f>
        <v/>
      </c>
      <c r="D96" s="79">
        <f>'4 Prod Pasteleria'!$Q46</f>
        <v/>
      </c>
      <c r="E96" s="80">
        <f>IF($B96="","",SUMIFS('8 Fudo Ventas'!$B$6:$B$305,'8 Fudo Ventas'!$D$6:$D$305,$B96,'8 Fudo Ventas'!$C$6:$C$305,$A96))</f>
        <v/>
      </c>
      <c r="F96" s="80">
        <f>IF($B96="","",SUMIFS('8 Fudo Consumos'!$D$6:$D$255,'8 Fudo Consumos'!$B$6:$B$255,$B96,'8 Fudo Consumos'!$C$6:$C$255,$A96))</f>
        <v/>
      </c>
      <c r="G96" s="79">
        <f>'4 Prod Pasteleria'!$R46</f>
        <v/>
      </c>
      <c r="H96" s="80">
        <f>IF($B96="","",SUMIFS('5 Descartes'!$D$6:$D$205,'5 Descartes'!$C$6:$C$205,$B96,'5 Descartes'!$B$6:$B$205,$A96))</f>
        <v/>
      </c>
      <c r="I96" s="80">
        <f>IF($B96="","",$G96-$H96)</f>
        <v/>
      </c>
      <c r="J96" s="81">
        <f>IF($B96="","",$D96-$E96-$F96-$G96)</f>
        <v/>
      </c>
      <c r="K96" s="71">
        <f>IF(OR($B96="",$D96=0),"",$J96/$D96)</f>
        <v/>
      </c>
      <c r="L96" s="75">
        <f>IF($B96="","",IF($D96=0,"Sin produccion registrada",IF($E96=0,"Sin ventas mapeadas en Fudo",IF(AND($K96&lt;&gt;"",ABS($K96)&gt;Config!$B$48),IF($J96&gt;0,"Salida sin explicar: consumo no registrado o faltante","Se vendio mas de lo elaborado: revisar stock previo"),IF($I96&lt;&gt;0,"Hay descarte sin detallar en la planilla 5","OK")))))</f>
        <v/>
      </c>
      <c r="M96" s="76">
        <f>IF($K96="","",ABS($K96)+ROW()/1000000)</f>
        <v/>
      </c>
    </row>
    <row r="97">
      <c r="A97" s="31" t="inlineStr">
        <is>
          <t>Pastelería</t>
        </is>
      </c>
      <c r="B97" s="82">
        <f>IF('4 Prod Pasteleria'!$A47="","",'4 Prod Pasteleria'!$A47)</f>
        <v/>
      </c>
      <c r="C97" s="45">
        <f>IF('4 Prod Pasteleria'!$B47="","",'4 Prod Pasteleria'!$B47)</f>
        <v/>
      </c>
      <c r="D97" s="79">
        <f>'4 Prod Pasteleria'!$Q47</f>
        <v/>
      </c>
      <c r="E97" s="80">
        <f>IF($B97="","",SUMIFS('8 Fudo Ventas'!$B$6:$B$305,'8 Fudo Ventas'!$D$6:$D$305,$B97,'8 Fudo Ventas'!$C$6:$C$305,$A97))</f>
        <v/>
      </c>
      <c r="F97" s="80">
        <f>IF($B97="","",SUMIFS('8 Fudo Consumos'!$D$6:$D$255,'8 Fudo Consumos'!$B$6:$B$255,$B97,'8 Fudo Consumos'!$C$6:$C$255,$A97))</f>
        <v/>
      </c>
      <c r="G97" s="79">
        <f>'4 Prod Pasteleria'!$R47</f>
        <v/>
      </c>
      <c r="H97" s="80">
        <f>IF($B97="","",SUMIFS('5 Descartes'!$D$6:$D$205,'5 Descartes'!$C$6:$C$205,$B97,'5 Descartes'!$B$6:$B$205,$A97))</f>
        <v/>
      </c>
      <c r="I97" s="80">
        <f>IF($B97="","",$G97-$H97)</f>
        <v/>
      </c>
      <c r="J97" s="81">
        <f>IF($B97="","",$D97-$E97-$F97-$G97)</f>
        <v/>
      </c>
      <c r="K97" s="71">
        <f>IF(OR($B97="",$D97=0),"",$J97/$D97)</f>
        <v/>
      </c>
      <c r="L97" s="75">
        <f>IF($B97="","",IF($D97=0,"Sin produccion registrada",IF($E97=0,"Sin ventas mapeadas en Fudo",IF(AND($K97&lt;&gt;"",ABS($K97)&gt;Config!$B$48),IF($J97&gt;0,"Salida sin explicar: consumo no registrado o faltante","Se vendio mas de lo elaborado: revisar stock previo"),IF($I97&lt;&gt;0,"Hay descarte sin detallar en la planilla 5","OK")))))</f>
        <v/>
      </c>
      <c r="M97" s="76">
        <f>IF($K97="","",ABS($K97)+ROW()/1000000)</f>
        <v/>
      </c>
    </row>
    <row r="98">
      <c r="A98" s="27" t="inlineStr">
        <is>
          <t>Pastelería</t>
        </is>
      </c>
      <c r="B98" s="23">
        <f>IF('4 Prod Pasteleria'!$A48="","",'4 Prod Pasteleria'!$A48)</f>
        <v/>
      </c>
      <c r="C98" s="40">
        <f>IF('4 Prod Pasteleria'!$B48="","",'4 Prod Pasteleria'!$B48)</f>
        <v/>
      </c>
      <c r="D98" s="79">
        <f>'4 Prod Pasteleria'!$Q48</f>
        <v/>
      </c>
      <c r="E98" s="80">
        <f>IF($B98="","",SUMIFS('8 Fudo Ventas'!$B$6:$B$305,'8 Fudo Ventas'!$D$6:$D$305,$B98,'8 Fudo Ventas'!$C$6:$C$305,$A98))</f>
        <v/>
      </c>
      <c r="F98" s="80">
        <f>IF($B98="","",SUMIFS('8 Fudo Consumos'!$D$6:$D$255,'8 Fudo Consumos'!$B$6:$B$255,$B98,'8 Fudo Consumos'!$C$6:$C$255,$A98))</f>
        <v/>
      </c>
      <c r="G98" s="79">
        <f>'4 Prod Pasteleria'!$R48</f>
        <v/>
      </c>
      <c r="H98" s="80">
        <f>IF($B98="","",SUMIFS('5 Descartes'!$D$6:$D$205,'5 Descartes'!$C$6:$C$205,$B98,'5 Descartes'!$B$6:$B$205,$A98))</f>
        <v/>
      </c>
      <c r="I98" s="80">
        <f>IF($B98="","",$G98-$H98)</f>
        <v/>
      </c>
      <c r="J98" s="81">
        <f>IF($B98="","",$D98-$E98-$F98-$G98)</f>
        <v/>
      </c>
      <c r="K98" s="71">
        <f>IF(OR($B98="",$D98=0),"",$J98/$D98)</f>
        <v/>
      </c>
      <c r="L98" s="75">
        <f>IF($B98="","",IF($D98=0,"Sin produccion registrada",IF($E98=0,"Sin ventas mapeadas en Fudo",IF(AND($K98&lt;&gt;"",ABS($K98)&gt;Config!$B$48),IF($J98&gt;0,"Salida sin explicar: consumo no registrado o faltante","Se vendio mas de lo elaborado: revisar stock previo"),IF($I98&lt;&gt;0,"Hay descarte sin detallar en la planilla 5","OK")))))</f>
        <v/>
      </c>
      <c r="M98" s="76">
        <f>IF($K98="","",ABS($K98)+ROW()/1000000)</f>
        <v/>
      </c>
    </row>
    <row r="99">
      <c r="A99" s="31" t="inlineStr">
        <is>
          <t>Pastelería</t>
        </is>
      </c>
      <c r="B99" s="82">
        <f>IF('4 Prod Pasteleria'!$A49="","",'4 Prod Pasteleria'!$A49)</f>
        <v/>
      </c>
      <c r="C99" s="45">
        <f>IF('4 Prod Pasteleria'!$B49="","",'4 Prod Pasteleria'!$B49)</f>
        <v/>
      </c>
      <c r="D99" s="79">
        <f>'4 Prod Pasteleria'!$Q49</f>
        <v/>
      </c>
      <c r="E99" s="80">
        <f>IF($B99="","",SUMIFS('8 Fudo Ventas'!$B$6:$B$305,'8 Fudo Ventas'!$D$6:$D$305,$B99,'8 Fudo Ventas'!$C$6:$C$305,$A99))</f>
        <v/>
      </c>
      <c r="F99" s="80">
        <f>IF($B99="","",SUMIFS('8 Fudo Consumos'!$D$6:$D$255,'8 Fudo Consumos'!$B$6:$B$255,$B99,'8 Fudo Consumos'!$C$6:$C$255,$A99))</f>
        <v/>
      </c>
      <c r="G99" s="79">
        <f>'4 Prod Pasteleria'!$R49</f>
        <v/>
      </c>
      <c r="H99" s="80">
        <f>IF($B99="","",SUMIFS('5 Descartes'!$D$6:$D$205,'5 Descartes'!$C$6:$C$205,$B99,'5 Descartes'!$B$6:$B$205,$A99))</f>
        <v/>
      </c>
      <c r="I99" s="80">
        <f>IF($B99="","",$G99-$H99)</f>
        <v/>
      </c>
      <c r="J99" s="81">
        <f>IF($B99="","",$D99-$E99-$F99-$G99)</f>
        <v/>
      </c>
      <c r="K99" s="71">
        <f>IF(OR($B99="",$D99=0),"",$J99/$D99)</f>
        <v/>
      </c>
      <c r="L99" s="75">
        <f>IF($B99="","",IF($D99=0,"Sin produccion registrada",IF($E99=0,"Sin ventas mapeadas en Fudo",IF(AND($K99&lt;&gt;"",ABS($K99)&gt;Config!$B$48),IF($J99&gt;0,"Salida sin explicar: consumo no registrado o faltante","Se vendio mas de lo elaborado: revisar stock previo"),IF($I99&lt;&gt;0,"Hay descarte sin detallar en la planilla 5","OK")))))</f>
        <v/>
      </c>
      <c r="M99" s="76">
        <f>IF($K99="","",ABS($K99)+ROW()/1000000)</f>
        <v/>
      </c>
    </row>
    <row r="100">
      <c r="A100" s="27" t="inlineStr">
        <is>
          <t>Pastelería</t>
        </is>
      </c>
      <c r="B100" s="23">
        <f>IF('4 Prod Pasteleria'!$A50="","",'4 Prod Pasteleria'!$A50)</f>
        <v/>
      </c>
      <c r="C100" s="40">
        <f>IF('4 Prod Pasteleria'!$B50="","",'4 Prod Pasteleria'!$B50)</f>
        <v/>
      </c>
      <c r="D100" s="79">
        <f>'4 Prod Pasteleria'!$Q50</f>
        <v/>
      </c>
      <c r="E100" s="80">
        <f>IF($B100="","",SUMIFS('8 Fudo Ventas'!$B$6:$B$305,'8 Fudo Ventas'!$D$6:$D$305,$B100,'8 Fudo Ventas'!$C$6:$C$305,$A100))</f>
        <v/>
      </c>
      <c r="F100" s="80">
        <f>IF($B100="","",SUMIFS('8 Fudo Consumos'!$D$6:$D$255,'8 Fudo Consumos'!$B$6:$B$255,$B100,'8 Fudo Consumos'!$C$6:$C$255,$A100))</f>
        <v/>
      </c>
      <c r="G100" s="79">
        <f>'4 Prod Pasteleria'!$R50</f>
        <v/>
      </c>
      <c r="H100" s="80">
        <f>IF($B100="","",SUMIFS('5 Descartes'!$D$6:$D$205,'5 Descartes'!$C$6:$C$205,$B100,'5 Descartes'!$B$6:$B$205,$A100))</f>
        <v/>
      </c>
      <c r="I100" s="80">
        <f>IF($B100="","",$G100-$H100)</f>
        <v/>
      </c>
      <c r="J100" s="81">
        <f>IF($B100="","",$D100-$E100-$F100-$G100)</f>
        <v/>
      </c>
      <c r="K100" s="71">
        <f>IF(OR($B100="",$D100=0),"",$J100/$D100)</f>
        <v/>
      </c>
      <c r="L100" s="75">
        <f>IF($B100="","",IF($D100=0,"Sin produccion registrada",IF($E100=0,"Sin ventas mapeadas en Fudo",IF(AND($K100&lt;&gt;"",ABS($K100)&gt;Config!$B$48),IF($J100&gt;0,"Salida sin explicar: consumo no registrado o faltante","Se vendio mas de lo elaborado: revisar stock previo"),IF($I100&lt;&gt;0,"Hay descarte sin detallar en la planilla 5","OK")))))</f>
        <v/>
      </c>
      <c r="M100" s="76">
        <f>IF($K100="","",ABS($K100)+ROW()/1000000)</f>
        <v/>
      </c>
    </row>
    <row r="101">
      <c r="A101" s="31" t="inlineStr">
        <is>
          <t>Pastelería</t>
        </is>
      </c>
      <c r="B101" s="82">
        <f>IF('4 Prod Pasteleria'!$A51="","",'4 Prod Pasteleria'!$A51)</f>
        <v/>
      </c>
      <c r="C101" s="45">
        <f>IF('4 Prod Pasteleria'!$B51="","",'4 Prod Pasteleria'!$B51)</f>
        <v/>
      </c>
      <c r="D101" s="79">
        <f>'4 Prod Pasteleria'!$Q51</f>
        <v/>
      </c>
      <c r="E101" s="80">
        <f>IF($B101="","",SUMIFS('8 Fudo Ventas'!$B$6:$B$305,'8 Fudo Ventas'!$D$6:$D$305,$B101,'8 Fudo Ventas'!$C$6:$C$305,$A101))</f>
        <v/>
      </c>
      <c r="F101" s="80">
        <f>IF($B101="","",SUMIFS('8 Fudo Consumos'!$D$6:$D$255,'8 Fudo Consumos'!$B$6:$B$255,$B101,'8 Fudo Consumos'!$C$6:$C$255,$A101))</f>
        <v/>
      </c>
      <c r="G101" s="79">
        <f>'4 Prod Pasteleria'!$R51</f>
        <v/>
      </c>
      <c r="H101" s="80">
        <f>IF($B101="","",SUMIFS('5 Descartes'!$D$6:$D$205,'5 Descartes'!$C$6:$C$205,$B101,'5 Descartes'!$B$6:$B$205,$A101))</f>
        <v/>
      </c>
      <c r="I101" s="80">
        <f>IF($B101="","",$G101-$H101)</f>
        <v/>
      </c>
      <c r="J101" s="81">
        <f>IF($B101="","",$D101-$E101-$F101-$G101)</f>
        <v/>
      </c>
      <c r="K101" s="71">
        <f>IF(OR($B101="",$D101=0),"",$J101/$D101)</f>
        <v/>
      </c>
      <c r="L101" s="75">
        <f>IF($B101="","",IF($D101=0,"Sin produccion registrada",IF($E101=0,"Sin ventas mapeadas en Fudo",IF(AND($K101&lt;&gt;"",ABS($K101)&gt;Config!$B$48),IF($J101&gt;0,"Salida sin explicar: consumo no registrado o faltante","Se vendio mas de lo elaborado: revisar stock previo"),IF($I101&lt;&gt;0,"Hay descarte sin detallar en la planilla 5","OK")))))</f>
        <v/>
      </c>
      <c r="M101" s="76">
        <f>IF($K101="","",ABS($K101)+ROW()/1000000)</f>
        <v/>
      </c>
    </row>
    <row r="102">
      <c r="A102" s="27" t="inlineStr">
        <is>
          <t>Especialidades</t>
        </is>
      </c>
      <c r="B102" s="23">
        <f>IF('4 Prod Especialidades'!$A6="","",'4 Prod Especialidades'!$A6)</f>
        <v/>
      </c>
      <c r="C102" s="40">
        <f>IF('4 Prod Especialidades'!$B6="","",'4 Prod Especialidades'!$B6)</f>
        <v/>
      </c>
      <c r="D102" s="79">
        <f>'4 Prod Especialidades'!$Q6</f>
        <v/>
      </c>
      <c r="E102" s="80">
        <f>IF($B102="","",SUMIFS('8 Fudo Ventas'!$B$6:$B$305,'8 Fudo Ventas'!$D$6:$D$305,$B102,'8 Fudo Ventas'!$C$6:$C$305,$A102))</f>
        <v/>
      </c>
      <c r="F102" s="80">
        <f>IF($B102="","",SUMIFS('8 Fudo Consumos'!$D$6:$D$255,'8 Fudo Consumos'!$B$6:$B$255,$B102,'8 Fudo Consumos'!$C$6:$C$255,$A102))</f>
        <v/>
      </c>
      <c r="G102" s="79">
        <f>'4 Prod Especialidades'!$R6</f>
        <v/>
      </c>
      <c r="H102" s="80">
        <f>IF($B102="","",SUMIFS('5 Descartes'!$D$6:$D$205,'5 Descartes'!$C$6:$C$205,$B102,'5 Descartes'!$B$6:$B$205,$A102))</f>
        <v/>
      </c>
      <c r="I102" s="80">
        <f>IF($B102="","",$G102-$H102)</f>
        <v/>
      </c>
      <c r="J102" s="81">
        <f>IF($B102="","",$D102-$E102-$F102-$G102)</f>
        <v/>
      </c>
      <c r="K102" s="71">
        <f>IF(OR($B102="",$D102=0),"",$J102/$D102)</f>
        <v/>
      </c>
      <c r="L102" s="75">
        <f>IF($B102="","",IF($D102=0,"Sin produccion registrada",IF($E102=0,"Sin ventas mapeadas en Fudo",IF(AND($K102&lt;&gt;"",ABS($K102)&gt;Config!$B$48),IF($J102&gt;0,"Salida sin explicar: consumo no registrado o faltante","Se vendio mas de lo elaborado: revisar stock previo"),IF($I102&lt;&gt;0,"Hay descarte sin detallar en la planilla 5","OK")))))</f>
        <v/>
      </c>
      <c r="M102" s="76">
        <f>IF($K102="","",ABS($K102)+ROW()/1000000)</f>
        <v/>
      </c>
    </row>
    <row r="103">
      <c r="A103" s="31" t="inlineStr">
        <is>
          <t>Especialidades</t>
        </is>
      </c>
      <c r="B103" s="82">
        <f>IF('4 Prod Especialidades'!$A7="","",'4 Prod Especialidades'!$A7)</f>
        <v/>
      </c>
      <c r="C103" s="45">
        <f>IF('4 Prod Especialidades'!$B7="","",'4 Prod Especialidades'!$B7)</f>
        <v/>
      </c>
      <c r="D103" s="79">
        <f>'4 Prod Especialidades'!$Q7</f>
        <v/>
      </c>
      <c r="E103" s="80">
        <f>IF($B103="","",SUMIFS('8 Fudo Ventas'!$B$6:$B$305,'8 Fudo Ventas'!$D$6:$D$305,$B103,'8 Fudo Ventas'!$C$6:$C$305,$A103))</f>
        <v/>
      </c>
      <c r="F103" s="80">
        <f>IF($B103="","",SUMIFS('8 Fudo Consumos'!$D$6:$D$255,'8 Fudo Consumos'!$B$6:$B$255,$B103,'8 Fudo Consumos'!$C$6:$C$255,$A103))</f>
        <v/>
      </c>
      <c r="G103" s="79">
        <f>'4 Prod Especialidades'!$R7</f>
        <v/>
      </c>
      <c r="H103" s="80">
        <f>IF($B103="","",SUMIFS('5 Descartes'!$D$6:$D$205,'5 Descartes'!$C$6:$C$205,$B103,'5 Descartes'!$B$6:$B$205,$A103))</f>
        <v/>
      </c>
      <c r="I103" s="80">
        <f>IF($B103="","",$G103-$H103)</f>
        <v/>
      </c>
      <c r="J103" s="81">
        <f>IF($B103="","",$D103-$E103-$F103-$G103)</f>
        <v/>
      </c>
      <c r="K103" s="71">
        <f>IF(OR($B103="",$D103=0),"",$J103/$D103)</f>
        <v/>
      </c>
      <c r="L103" s="75">
        <f>IF($B103="","",IF($D103=0,"Sin produccion registrada",IF($E103=0,"Sin ventas mapeadas en Fudo",IF(AND($K103&lt;&gt;"",ABS($K103)&gt;Config!$B$48),IF($J103&gt;0,"Salida sin explicar: consumo no registrado o faltante","Se vendio mas de lo elaborado: revisar stock previo"),IF($I103&lt;&gt;0,"Hay descarte sin detallar en la planilla 5","OK")))))</f>
        <v/>
      </c>
      <c r="M103" s="76">
        <f>IF($K103="","",ABS($K103)+ROW()/1000000)</f>
        <v/>
      </c>
    </row>
    <row r="104">
      <c r="A104" s="27" t="inlineStr">
        <is>
          <t>Especialidades</t>
        </is>
      </c>
      <c r="B104" s="23">
        <f>IF('4 Prod Especialidades'!$A8="","",'4 Prod Especialidades'!$A8)</f>
        <v/>
      </c>
      <c r="C104" s="40">
        <f>IF('4 Prod Especialidades'!$B8="","",'4 Prod Especialidades'!$B8)</f>
        <v/>
      </c>
      <c r="D104" s="79">
        <f>'4 Prod Especialidades'!$Q8</f>
        <v/>
      </c>
      <c r="E104" s="80">
        <f>IF($B104="","",SUMIFS('8 Fudo Ventas'!$B$6:$B$305,'8 Fudo Ventas'!$D$6:$D$305,$B104,'8 Fudo Ventas'!$C$6:$C$305,$A104))</f>
        <v/>
      </c>
      <c r="F104" s="80">
        <f>IF($B104="","",SUMIFS('8 Fudo Consumos'!$D$6:$D$255,'8 Fudo Consumos'!$B$6:$B$255,$B104,'8 Fudo Consumos'!$C$6:$C$255,$A104))</f>
        <v/>
      </c>
      <c r="G104" s="79">
        <f>'4 Prod Especialidades'!$R8</f>
        <v/>
      </c>
      <c r="H104" s="80">
        <f>IF($B104="","",SUMIFS('5 Descartes'!$D$6:$D$205,'5 Descartes'!$C$6:$C$205,$B104,'5 Descartes'!$B$6:$B$205,$A104))</f>
        <v/>
      </c>
      <c r="I104" s="80">
        <f>IF($B104="","",$G104-$H104)</f>
        <v/>
      </c>
      <c r="J104" s="81">
        <f>IF($B104="","",$D104-$E104-$F104-$G104)</f>
        <v/>
      </c>
      <c r="K104" s="71">
        <f>IF(OR($B104="",$D104=0),"",$J104/$D104)</f>
        <v/>
      </c>
      <c r="L104" s="75">
        <f>IF($B104="","",IF($D104=0,"Sin produccion registrada",IF($E104=0,"Sin ventas mapeadas en Fudo",IF(AND($K104&lt;&gt;"",ABS($K104)&gt;Config!$B$48),IF($J104&gt;0,"Salida sin explicar: consumo no registrado o faltante","Se vendio mas de lo elaborado: revisar stock previo"),IF($I104&lt;&gt;0,"Hay descarte sin detallar en la planilla 5","OK")))))</f>
        <v/>
      </c>
      <c r="M104" s="76">
        <f>IF($K104="","",ABS($K104)+ROW()/1000000)</f>
        <v/>
      </c>
    </row>
    <row r="105">
      <c r="A105" s="31" t="inlineStr">
        <is>
          <t>Especialidades</t>
        </is>
      </c>
      <c r="B105" s="82">
        <f>IF('4 Prod Especialidades'!$A9="","",'4 Prod Especialidades'!$A9)</f>
        <v/>
      </c>
      <c r="C105" s="45">
        <f>IF('4 Prod Especialidades'!$B9="","",'4 Prod Especialidades'!$B9)</f>
        <v/>
      </c>
      <c r="D105" s="79">
        <f>'4 Prod Especialidades'!$Q9</f>
        <v/>
      </c>
      <c r="E105" s="80">
        <f>IF($B105="","",SUMIFS('8 Fudo Ventas'!$B$6:$B$305,'8 Fudo Ventas'!$D$6:$D$305,$B105,'8 Fudo Ventas'!$C$6:$C$305,$A105))</f>
        <v/>
      </c>
      <c r="F105" s="80">
        <f>IF($B105="","",SUMIFS('8 Fudo Consumos'!$D$6:$D$255,'8 Fudo Consumos'!$B$6:$B$255,$B105,'8 Fudo Consumos'!$C$6:$C$255,$A105))</f>
        <v/>
      </c>
      <c r="G105" s="79">
        <f>'4 Prod Especialidades'!$R9</f>
        <v/>
      </c>
      <c r="H105" s="80">
        <f>IF($B105="","",SUMIFS('5 Descartes'!$D$6:$D$205,'5 Descartes'!$C$6:$C$205,$B105,'5 Descartes'!$B$6:$B$205,$A105))</f>
        <v/>
      </c>
      <c r="I105" s="80">
        <f>IF($B105="","",$G105-$H105)</f>
        <v/>
      </c>
      <c r="J105" s="81">
        <f>IF($B105="","",$D105-$E105-$F105-$G105)</f>
        <v/>
      </c>
      <c r="K105" s="71">
        <f>IF(OR($B105="",$D105=0),"",$J105/$D105)</f>
        <v/>
      </c>
      <c r="L105" s="75">
        <f>IF($B105="","",IF($D105=0,"Sin produccion registrada",IF($E105=0,"Sin ventas mapeadas en Fudo",IF(AND($K105&lt;&gt;"",ABS($K105)&gt;Config!$B$48),IF($J105&gt;0,"Salida sin explicar: consumo no registrado o faltante","Se vendio mas de lo elaborado: revisar stock previo"),IF($I105&lt;&gt;0,"Hay descarte sin detallar en la planilla 5","OK")))))</f>
        <v/>
      </c>
      <c r="M105" s="76">
        <f>IF($K105="","",ABS($K105)+ROW()/1000000)</f>
        <v/>
      </c>
    </row>
    <row r="106">
      <c r="A106" s="27" t="inlineStr">
        <is>
          <t>Especialidades</t>
        </is>
      </c>
      <c r="B106" s="23">
        <f>IF('4 Prod Especialidades'!$A10="","",'4 Prod Especialidades'!$A10)</f>
        <v/>
      </c>
      <c r="C106" s="40">
        <f>IF('4 Prod Especialidades'!$B10="","",'4 Prod Especialidades'!$B10)</f>
        <v/>
      </c>
      <c r="D106" s="79">
        <f>'4 Prod Especialidades'!$Q10</f>
        <v/>
      </c>
      <c r="E106" s="80">
        <f>IF($B106="","",SUMIFS('8 Fudo Ventas'!$B$6:$B$305,'8 Fudo Ventas'!$D$6:$D$305,$B106,'8 Fudo Ventas'!$C$6:$C$305,$A106))</f>
        <v/>
      </c>
      <c r="F106" s="80">
        <f>IF($B106="","",SUMIFS('8 Fudo Consumos'!$D$6:$D$255,'8 Fudo Consumos'!$B$6:$B$255,$B106,'8 Fudo Consumos'!$C$6:$C$255,$A106))</f>
        <v/>
      </c>
      <c r="G106" s="79">
        <f>'4 Prod Especialidades'!$R10</f>
        <v/>
      </c>
      <c r="H106" s="80">
        <f>IF($B106="","",SUMIFS('5 Descartes'!$D$6:$D$205,'5 Descartes'!$C$6:$C$205,$B106,'5 Descartes'!$B$6:$B$205,$A106))</f>
        <v/>
      </c>
      <c r="I106" s="80">
        <f>IF($B106="","",$G106-$H106)</f>
        <v/>
      </c>
      <c r="J106" s="81">
        <f>IF($B106="","",$D106-$E106-$F106-$G106)</f>
        <v/>
      </c>
      <c r="K106" s="71">
        <f>IF(OR($B106="",$D106=0),"",$J106/$D106)</f>
        <v/>
      </c>
      <c r="L106" s="75">
        <f>IF($B106="","",IF($D106=0,"Sin produccion registrada",IF($E106=0,"Sin ventas mapeadas en Fudo",IF(AND($K106&lt;&gt;"",ABS($K106)&gt;Config!$B$48),IF($J106&gt;0,"Salida sin explicar: consumo no registrado o faltante","Se vendio mas de lo elaborado: revisar stock previo"),IF($I106&lt;&gt;0,"Hay descarte sin detallar en la planilla 5","OK")))))</f>
        <v/>
      </c>
      <c r="M106" s="76">
        <f>IF($K106="","",ABS($K106)+ROW()/1000000)</f>
        <v/>
      </c>
    </row>
    <row r="107">
      <c r="A107" s="31" t="inlineStr">
        <is>
          <t>Especialidades</t>
        </is>
      </c>
      <c r="B107" s="82">
        <f>IF('4 Prod Especialidades'!$A11="","",'4 Prod Especialidades'!$A11)</f>
        <v/>
      </c>
      <c r="C107" s="45">
        <f>IF('4 Prod Especialidades'!$B11="","",'4 Prod Especialidades'!$B11)</f>
        <v/>
      </c>
      <c r="D107" s="79">
        <f>'4 Prod Especialidades'!$Q11</f>
        <v/>
      </c>
      <c r="E107" s="80">
        <f>IF($B107="","",SUMIFS('8 Fudo Ventas'!$B$6:$B$305,'8 Fudo Ventas'!$D$6:$D$305,$B107,'8 Fudo Ventas'!$C$6:$C$305,$A107))</f>
        <v/>
      </c>
      <c r="F107" s="80">
        <f>IF($B107="","",SUMIFS('8 Fudo Consumos'!$D$6:$D$255,'8 Fudo Consumos'!$B$6:$B$255,$B107,'8 Fudo Consumos'!$C$6:$C$255,$A107))</f>
        <v/>
      </c>
      <c r="G107" s="79">
        <f>'4 Prod Especialidades'!$R11</f>
        <v/>
      </c>
      <c r="H107" s="80">
        <f>IF($B107="","",SUMIFS('5 Descartes'!$D$6:$D$205,'5 Descartes'!$C$6:$C$205,$B107,'5 Descartes'!$B$6:$B$205,$A107))</f>
        <v/>
      </c>
      <c r="I107" s="80">
        <f>IF($B107="","",$G107-$H107)</f>
        <v/>
      </c>
      <c r="J107" s="81">
        <f>IF($B107="","",$D107-$E107-$F107-$G107)</f>
        <v/>
      </c>
      <c r="K107" s="71">
        <f>IF(OR($B107="",$D107=0),"",$J107/$D107)</f>
        <v/>
      </c>
      <c r="L107" s="75">
        <f>IF($B107="","",IF($D107=0,"Sin produccion registrada",IF($E107=0,"Sin ventas mapeadas en Fudo",IF(AND($K107&lt;&gt;"",ABS($K107)&gt;Config!$B$48),IF($J107&gt;0,"Salida sin explicar: consumo no registrado o faltante","Se vendio mas de lo elaborado: revisar stock previo"),IF($I107&lt;&gt;0,"Hay descarte sin detallar en la planilla 5","OK")))))</f>
        <v/>
      </c>
      <c r="M107" s="76">
        <f>IF($K107="","",ABS($K107)+ROW()/1000000)</f>
        <v/>
      </c>
    </row>
    <row r="108">
      <c r="A108" s="27" t="inlineStr">
        <is>
          <t>Especialidades</t>
        </is>
      </c>
      <c r="B108" s="23">
        <f>IF('4 Prod Especialidades'!$A12="","",'4 Prod Especialidades'!$A12)</f>
        <v/>
      </c>
      <c r="C108" s="40">
        <f>IF('4 Prod Especialidades'!$B12="","",'4 Prod Especialidades'!$B12)</f>
        <v/>
      </c>
      <c r="D108" s="79">
        <f>'4 Prod Especialidades'!$Q12</f>
        <v/>
      </c>
      <c r="E108" s="80">
        <f>IF($B108="","",SUMIFS('8 Fudo Ventas'!$B$6:$B$305,'8 Fudo Ventas'!$D$6:$D$305,$B108,'8 Fudo Ventas'!$C$6:$C$305,$A108))</f>
        <v/>
      </c>
      <c r="F108" s="80">
        <f>IF($B108="","",SUMIFS('8 Fudo Consumos'!$D$6:$D$255,'8 Fudo Consumos'!$B$6:$B$255,$B108,'8 Fudo Consumos'!$C$6:$C$255,$A108))</f>
        <v/>
      </c>
      <c r="G108" s="79">
        <f>'4 Prod Especialidades'!$R12</f>
        <v/>
      </c>
      <c r="H108" s="80">
        <f>IF($B108="","",SUMIFS('5 Descartes'!$D$6:$D$205,'5 Descartes'!$C$6:$C$205,$B108,'5 Descartes'!$B$6:$B$205,$A108))</f>
        <v/>
      </c>
      <c r="I108" s="80">
        <f>IF($B108="","",$G108-$H108)</f>
        <v/>
      </c>
      <c r="J108" s="81">
        <f>IF($B108="","",$D108-$E108-$F108-$G108)</f>
        <v/>
      </c>
      <c r="K108" s="71">
        <f>IF(OR($B108="",$D108=0),"",$J108/$D108)</f>
        <v/>
      </c>
      <c r="L108" s="75">
        <f>IF($B108="","",IF($D108=0,"Sin produccion registrada",IF($E108=0,"Sin ventas mapeadas en Fudo",IF(AND($K108&lt;&gt;"",ABS($K108)&gt;Config!$B$48),IF($J108&gt;0,"Salida sin explicar: consumo no registrado o faltante","Se vendio mas de lo elaborado: revisar stock previo"),IF($I108&lt;&gt;0,"Hay descarte sin detallar en la planilla 5","OK")))))</f>
        <v/>
      </c>
      <c r="M108" s="76">
        <f>IF($K108="","",ABS($K108)+ROW()/1000000)</f>
        <v/>
      </c>
    </row>
    <row r="109">
      <c r="A109" s="31" t="inlineStr">
        <is>
          <t>Especialidades</t>
        </is>
      </c>
      <c r="B109" s="82">
        <f>IF('4 Prod Especialidades'!$A13="","",'4 Prod Especialidades'!$A13)</f>
        <v/>
      </c>
      <c r="C109" s="45">
        <f>IF('4 Prod Especialidades'!$B13="","",'4 Prod Especialidades'!$B13)</f>
        <v/>
      </c>
      <c r="D109" s="79">
        <f>'4 Prod Especialidades'!$Q13</f>
        <v/>
      </c>
      <c r="E109" s="80">
        <f>IF($B109="","",SUMIFS('8 Fudo Ventas'!$B$6:$B$305,'8 Fudo Ventas'!$D$6:$D$305,$B109,'8 Fudo Ventas'!$C$6:$C$305,$A109))</f>
        <v/>
      </c>
      <c r="F109" s="80">
        <f>IF($B109="","",SUMIFS('8 Fudo Consumos'!$D$6:$D$255,'8 Fudo Consumos'!$B$6:$B$255,$B109,'8 Fudo Consumos'!$C$6:$C$255,$A109))</f>
        <v/>
      </c>
      <c r="G109" s="79">
        <f>'4 Prod Especialidades'!$R13</f>
        <v/>
      </c>
      <c r="H109" s="80">
        <f>IF($B109="","",SUMIFS('5 Descartes'!$D$6:$D$205,'5 Descartes'!$C$6:$C$205,$B109,'5 Descartes'!$B$6:$B$205,$A109))</f>
        <v/>
      </c>
      <c r="I109" s="80">
        <f>IF($B109="","",$G109-$H109)</f>
        <v/>
      </c>
      <c r="J109" s="81">
        <f>IF($B109="","",$D109-$E109-$F109-$G109)</f>
        <v/>
      </c>
      <c r="K109" s="71">
        <f>IF(OR($B109="",$D109=0),"",$J109/$D109)</f>
        <v/>
      </c>
      <c r="L109" s="75">
        <f>IF($B109="","",IF($D109=0,"Sin produccion registrada",IF($E109=0,"Sin ventas mapeadas en Fudo",IF(AND($K109&lt;&gt;"",ABS($K109)&gt;Config!$B$48),IF($J109&gt;0,"Salida sin explicar: consumo no registrado o faltante","Se vendio mas de lo elaborado: revisar stock previo"),IF($I109&lt;&gt;0,"Hay descarte sin detallar en la planilla 5","OK")))))</f>
        <v/>
      </c>
      <c r="M109" s="76">
        <f>IF($K109="","",ABS($K109)+ROW()/1000000)</f>
        <v/>
      </c>
    </row>
    <row r="110">
      <c r="A110" s="27" t="inlineStr">
        <is>
          <t>Especialidades</t>
        </is>
      </c>
      <c r="B110" s="23">
        <f>IF('4 Prod Especialidades'!$A14="","",'4 Prod Especialidades'!$A14)</f>
        <v/>
      </c>
      <c r="C110" s="40">
        <f>IF('4 Prod Especialidades'!$B14="","",'4 Prod Especialidades'!$B14)</f>
        <v/>
      </c>
      <c r="D110" s="79">
        <f>'4 Prod Especialidades'!$Q14</f>
        <v/>
      </c>
      <c r="E110" s="80">
        <f>IF($B110="","",SUMIFS('8 Fudo Ventas'!$B$6:$B$305,'8 Fudo Ventas'!$D$6:$D$305,$B110,'8 Fudo Ventas'!$C$6:$C$305,$A110))</f>
        <v/>
      </c>
      <c r="F110" s="80">
        <f>IF($B110="","",SUMIFS('8 Fudo Consumos'!$D$6:$D$255,'8 Fudo Consumos'!$B$6:$B$255,$B110,'8 Fudo Consumos'!$C$6:$C$255,$A110))</f>
        <v/>
      </c>
      <c r="G110" s="79">
        <f>'4 Prod Especialidades'!$R14</f>
        <v/>
      </c>
      <c r="H110" s="80">
        <f>IF($B110="","",SUMIFS('5 Descartes'!$D$6:$D$205,'5 Descartes'!$C$6:$C$205,$B110,'5 Descartes'!$B$6:$B$205,$A110))</f>
        <v/>
      </c>
      <c r="I110" s="80">
        <f>IF($B110="","",$G110-$H110)</f>
        <v/>
      </c>
      <c r="J110" s="81">
        <f>IF($B110="","",$D110-$E110-$F110-$G110)</f>
        <v/>
      </c>
      <c r="K110" s="71">
        <f>IF(OR($B110="",$D110=0),"",$J110/$D110)</f>
        <v/>
      </c>
      <c r="L110" s="75">
        <f>IF($B110="","",IF($D110=0,"Sin produccion registrada",IF($E110=0,"Sin ventas mapeadas en Fudo",IF(AND($K110&lt;&gt;"",ABS($K110)&gt;Config!$B$48),IF($J110&gt;0,"Salida sin explicar: consumo no registrado o faltante","Se vendio mas de lo elaborado: revisar stock previo"),IF($I110&lt;&gt;0,"Hay descarte sin detallar en la planilla 5","OK")))))</f>
        <v/>
      </c>
      <c r="M110" s="76">
        <f>IF($K110="","",ABS($K110)+ROW()/1000000)</f>
        <v/>
      </c>
    </row>
    <row r="111">
      <c r="A111" s="31" t="inlineStr">
        <is>
          <t>Especialidades</t>
        </is>
      </c>
      <c r="B111" s="82">
        <f>IF('4 Prod Especialidades'!$A15="","",'4 Prod Especialidades'!$A15)</f>
        <v/>
      </c>
      <c r="C111" s="45">
        <f>IF('4 Prod Especialidades'!$B15="","",'4 Prod Especialidades'!$B15)</f>
        <v/>
      </c>
      <c r="D111" s="79">
        <f>'4 Prod Especialidades'!$Q15</f>
        <v/>
      </c>
      <c r="E111" s="80">
        <f>IF($B111="","",SUMIFS('8 Fudo Ventas'!$B$6:$B$305,'8 Fudo Ventas'!$D$6:$D$305,$B111,'8 Fudo Ventas'!$C$6:$C$305,$A111))</f>
        <v/>
      </c>
      <c r="F111" s="80">
        <f>IF($B111="","",SUMIFS('8 Fudo Consumos'!$D$6:$D$255,'8 Fudo Consumos'!$B$6:$B$255,$B111,'8 Fudo Consumos'!$C$6:$C$255,$A111))</f>
        <v/>
      </c>
      <c r="G111" s="79">
        <f>'4 Prod Especialidades'!$R15</f>
        <v/>
      </c>
      <c r="H111" s="80">
        <f>IF($B111="","",SUMIFS('5 Descartes'!$D$6:$D$205,'5 Descartes'!$C$6:$C$205,$B111,'5 Descartes'!$B$6:$B$205,$A111))</f>
        <v/>
      </c>
      <c r="I111" s="80">
        <f>IF($B111="","",$G111-$H111)</f>
        <v/>
      </c>
      <c r="J111" s="81">
        <f>IF($B111="","",$D111-$E111-$F111-$G111)</f>
        <v/>
      </c>
      <c r="K111" s="71">
        <f>IF(OR($B111="",$D111=0),"",$J111/$D111)</f>
        <v/>
      </c>
      <c r="L111" s="75">
        <f>IF($B111="","",IF($D111=0,"Sin produccion registrada",IF($E111=0,"Sin ventas mapeadas en Fudo",IF(AND($K111&lt;&gt;"",ABS($K111)&gt;Config!$B$48),IF($J111&gt;0,"Salida sin explicar: consumo no registrado o faltante","Se vendio mas de lo elaborado: revisar stock previo"),IF($I111&lt;&gt;0,"Hay descarte sin detallar en la planilla 5","OK")))))</f>
        <v/>
      </c>
      <c r="M111" s="76">
        <f>IF($K111="","",ABS($K111)+ROW()/1000000)</f>
        <v/>
      </c>
    </row>
    <row r="112">
      <c r="A112" s="27" t="inlineStr">
        <is>
          <t>Especialidades</t>
        </is>
      </c>
      <c r="B112" s="23">
        <f>IF('4 Prod Especialidades'!$A16="","",'4 Prod Especialidades'!$A16)</f>
        <v/>
      </c>
      <c r="C112" s="40">
        <f>IF('4 Prod Especialidades'!$B16="","",'4 Prod Especialidades'!$B16)</f>
        <v/>
      </c>
      <c r="D112" s="79">
        <f>'4 Prod Especialidades'!$Q16</f>
        <v/>
      </c>
      <c r="E112" s="80">
        <f>IF($B112="","",SUMIFS('8 Fudo Ventas'!$B$6:$B$305,'8 Fudo Ventas'!$D$6:$D$305,$B112,'8 Fudo Ventas'!$C$6:$C$305,$A112))</f>
        <v/>
      </c>
      <c r="F112" s="80">
        <f>IF($B112="","",SUMIFS('8 Fudo Consumos'!$D$6:$D$255,'8 Fudo Consumos'!$B$6:$B$255,$B112,'8 Fudo Consumos'!$C$6:$C$255,$A112))</f>
        <v/>
      </c>
      <c r="G112" s="79">
        <f>'4 Prod Especialidades'!$R16</f>
        <v/>
      </c>
      <c r="H112" s="80">
        <f>IF($B112="","",SUMIFS('5 Descartes'!$D$6:$D$205,'5 Descartes'!$C$6:$C$205,$B112,'5 Descartes'!$B$6:$B$205,$A112))</f>
        <v/>
      </c>
      <c r="I112" s="80">
        <f>IF($B112="","",$G112-$H112)</f>
        <v/>
      </c>
      <c r="J112" s="81">
        <f>IF($B112="","",$D112-$E112-$F112-$G112)</f>
        <v/>
      </c>
      <c r="K112" s="71">
        <f>IF(OR($B112="",$D112=0),"",$J112/$D112)</f>
        <v/>
      </c>
      <c r="L112" s="75">
        <f>IF($B112="","",IF($D112=0,"Sin produccion registrada",IF($E112=0,"Sin ventas mapeadas en Fudo",IF(AND($K112&lt;&gt;"",ABS($K112)&gt;Config!$B$48),IF($J112&gt;0,"Salida sin explicar: consumo no registrado o faltante","Se vendio mas de lo elaborado: revisar stock previo"),IF($I112&lt;&gt;0,"Hay descarte sin detallar en la planilla 5","OK")))))</f>
        <v/>
      </c>
      <c r="M112" s="76">
        <f>IF($K112="","",ABS($K112)+ROW()/1000000)</f>
        <v/>
      </c>
    </row>
    <row r="113">
      <c r="A113" s="31" t="inlineStr">
        <is>
          <t>Especialidades</t>
        </is>
      </c>
      <c r="B113" s="82">
        <f>IF('4 Prod Especialidades'!$A17="","",'4 Prod Especialidades'!$A17)</f>
        <v/>
      </c>
      <c r="C113" s="45">
        <f>IF('4 Prod Especialidades'!$B17="","",'4 Prod Especialidades'!$B17)</f>
        <v/>
      </c>
      <c r="D113" s="79">
        <f>'4 Prod Especialidades'!$Q17</f>
        <v/>
      </c>
      <c r="E113" s="80">
        <f>IF($B113="","",SUMIFS('8 Fudo Ventas'!$B$6:$B$305,'8 Fudo Ventas'!$D$6:$D$305,$B113,'8 Fudo Ventas'!$C$6:$C$305,$A113))</f>
        <v/>
      </c>
      <c r="F113" s="80">
        <f>IF($B113="","",SUMIFS('8 Fudo Consumos'!$D$6:$D$255,'8 Fudo Consumos'!$B$6:$B$255,$B113,'8 Fudo Consumos'!$C$6:$C$255,$A113))</f>
        <v/>
      </c>
      <c r="G113" s="79">
        <f>'4 Prod Especialidades'!$R17</f>
        <v/>
      </c>
      <c r="H113" s="80">
        <f>IF($B113="","",SUMIFS('5 Descartes'!$D$6:$D$205,'5 Descartes'!$C$6:$C$205,$B113,'5 Descartes'!$B$6:$B$205,$A113))</f>
        <v/>
      </c>
      <c r="I113" s="80">
        <f>IF($B113="","",$G113-$H113)</f>
        <v/>
      </c>
      <c r="J113" s="81">
        <f>IF($B113="","",$D113-$E113-$F113-$G113)</f>
        <v/>
      </c>
      <c r="K113" s="71">
        <f>IF(OR($B113="",$D113=0),"",$J113/$D113)</f>
        <v/>
      </c>
      <c r="L113" s="75">
        <f>IF($B113="","",IF($D113=0,"Sin produccion registrada",IF($E113=0,"Sin ventas mapeadas en Fudo",IF(AND($K113&lt;&gt;"",ABS($K113)&gt;Config!$B$48),IF($J113&gt;0,"Salida sin explicar: consumo no registrado o faltante","Se vendio mas de lo elaborado: revisar stock previo"),IF($I113&lt;&gt;0,"Hay descarte sin detallar en la planilla 5","OK")))))</f>
        <v/>
      </c>
      <c r="M113" s="76">
        <f>IF($K113="","",ABS($K113)+ROW()/1000000)</f>
        <v/>
      </c>
    </row>
    <row r="114">
      <c r="A114" s="27" t="inlineStr">
        <is>
          <t>Especialidades</t>
        </is>
      </c>
      <c r="B114" s="23">
        <f>IF('4 Prod Especialidades'!$A18="","",'4 Prod Especialidades'!$A18)</f>
        <v/>
      </c>
      <c r="C114" s="40">
        <f>IF('4 Prod Especialidades'!$B18="","",'4 Prod Especialidades'!$B18)</f>
        <v/>
      </c>
      <c r="D114" s="79">
        <f>'4 Prod Especialidades'!$Q18</f>
        <v/>
      </c>
      <c r="E114" s="80">
        <f>IF($B114="","",SUMIFS('8 Fudo Ventas'!$B$6:$B$305,'8 Fudo Ventas'!$D$6:$D$305,$B114,'8 Fudo Ventas'!$C$6:$C$305,$A114))</f>
        <v/>
      </c>
      <c r="F114" s="80">
        <f>IF($B114="","",SUMIFS('8 Fudo Consumos'!$D$6:$D$255,'8 Fudo Consumos'!$B$6:$B$255,$B114,'8 Fudo Consumos'!$C$6:$C$255,$A114))</f>
        <v/>
      </c>
      <c r="G114" s="79">
        <f>'4 Prod Especialidades'!$R18</f>
        <v/>
      </c>
      <c r="H114" s="80">
        <f>IF($B114="","",SUMIFS('5 Descartes'!$D$6:$D$205,'5 Descartes'!$C$6:$C$205,$B114,'5 Descartes'!$B$6:$B$205,$A114))</f>
        <v/>
      </c>
      <c r="I114" s="80">
        <f>IF($B114="","",$G114-$H114)</f>
        <v/>
      </c>
      <c r="J114" s="81">
        <f>IF($B114="","",$D114-$E114-$F114-$G114)</f>
        <v/>
      </c>
      <c r="K114" s="71">
        <f>IF(OR($B114="",$D114=0),"",$J114/$D114)</f>
        <v/>
      </c>
      <c r="L114" s="75">
        <f>IF($B114="","",IF($D114=0,"Sin produccion registrada",IF($E114=0,"Sin ventas mapeadas en Fudo",IF(AND($K114&lt;&gt;"",ABS($K114)&gt;Config!$B$48),IF($J114&gt;0,"Salida sin explicar: consumo no registrado o faltante","Se vendio mas de lo elaborado: revisar stock previo"),IF($I114&lt;&gt;0,"Hay descarte sin detallar en la planilla 5","OK")))))</f>
        <v/>
      </c>
      <c r="M114" s="76">
        <f>IF($K114="","",ABS($K114)+ROW()/1000000)</f>
        <v/>
      </c>
    </row>
    <row r="115">
      <c r="A115" s="31" t="inlineStr">
        <is>
          <t>Especialidades</t>
        </is>
      </c>
      <c r="B115" s="82">
        <f>IF('4 Prod Especialidades'!$A19="","",'4 Prod Especialidades'!$A19)</f>
        <v/>
      </c>
      <c r="C115" s="45">
        <f>IF('4 Prod Especialidades'!$B19="","",'4 Prod Especialidades'!$B19)</f>
        <v/>
      </c>
      <c r="D115" s="79">
        <f>'4 Prod Especialidades'!$Q19</f>
        <v/>
      </c>
      <c r="E115" s="80">
        <f>IF($B115="","",SUMIFS('8 Fudo Ventas'!$B$6:$B$305,'8 Fudo Ventas'!$D$6:$D$305,$B115,'8 Fudo Ventas'!$C$6:$C$305,$A115))</f>
        <v/>
      </c>
      <c r="F115" s="80">
        <f>IF($B115="","",SUMIFS('8 Fudo Consumos'!$D$6:$D$255,'8 Fudo Consumos'!$B$6:$B$255,$B115,'8 Fudo Consumos'!$C$6:$C$255,$A115))</f>
        <v/>
      </c>
      <c r="G115" s="79">
        <f>'4 Prod Especialidades'!$R19</f>
        <v/>
      </c>
      <c r="H115" s="80">
        <f>IF($B115="","",SUMIFS('5 Descartes'!$D$6:$D$205,'5 Descartes'!$C$6:$C$205,$B115,'5 Descartes'!$B$6:$B$205,$A115))</f>
        <v/>
      </c>
      <c r="I115" s="80">
        <f>IF($B115="","",$G115-$H115)</f>
        <v/>
      </c>
      <c r="J115" s="81">
        <f>IF($B115="","",$D115-$E115-$F115-$G115)</f>
        <v/>
      </c>
      <c r="K115" s="71">
        <f>IF(OR($B115="",$D115=0),"",$J115/$D115)</f>
        <v/>
      </c>
      <c r="L115" s="75">
        <f>IF($B115="","",IF($D115=0,"Sin produccion registrada",IF($E115=0,"Sin ventas mapeadas en Fudo",IF(AND($K115&lt;&gt;"",ABS($K115)&gt;Config!$B$48),IF($J115&gt;0,"Salida sin explicar: consumo no registrado o faltante","Se vendio mas de lo elaborado: revisar stock previo"),IF($I115&lt;&gt;0,"Hay descarte sin detallar en la planilla 5","OK")))))</f>
        <v/>
      </c>
      <c r="M115" s="76">
        <f>IF($K115="","",ABS($K115)+ROW()/1000000)</f>
        <v/>
      </c>
    </row>
    <row r="116">
      <c r="A116" s="27" t="inlineStr">
        <is>
          <t>Especialidades</t>
        </is>
      </c>
      <c r="B116" s="23">
        <f>IF('4 Prod Especialidades'!$A20="","",'4 Prod Especialidades'!$A20)</f>
        <v/>
      </c>
      <c r="C116" s="40">
        <f>IF('4 Prod Especialidades'!$B20="","",'4 Prod Especialidades'!$B20)</f>
        <v/>
      </c>
      <c r="D116" s="79">
        <f>'4 Prod Especialidades'!$Q20</f>
        <v/>
      </c>
      <c r="E116" s="80">
        <f>IF($B116="","",SUMIFS('8 Fudo Ventas'!$B$6:$B$305,'8 Fudo Ventas'!$D$6:$D$305,$B116,'8 Fudo Ventas'!$C$6:$C$305,$A116))</f>
        <v/>
      </c>
      <c r="F116" s="80">
        <f>IF($B116="","",SUMIFS('8 Fudo Consumos'!$D$6:$D$255,'8 Fudo Consumos'!$B$6:$B$255,$B116,'8 Fudo Consumos'!$C$6:$C$255,$A116))</f>
        <v/>
      </c>
      <c r="G116" s="79">
        <f>'4 Prod Especialidades'!$R20</f>
        <v/>
      </c>
      <c r="H116" s="80">
        <f>IF($B116="","",SUMIFS('5 Descartes'!$D$6:$D$205,'5 Descartes'!$C$6:$C$205,$B116,'5 Descartes'!$B$6:$B$205,$A116))</f>
        <v/>
      </c>
      <c r="I116" s="80">
        <f>IF($B116="","",$G116-$H116)</f>
        <v/>
      </c>
      <c r="J116" s="81">
        <f>IF($B116="","",$D116-$E116-$F116-$G116)</f>
        <v/>
      </c>
      <c r="K116" s="71">
        <f>IF(OR($B116="",$D116=0),"",$J116/$D116)</f>
        <v/>
      </c>
      <c r="L116" s="75">
        <f>IF($B116="","",IF($D116=0,"Sin produccion registrada",IF($E116=0,"Sin ventas mapeadas en Fudo",IF(AND($K116&lt;&gt;"",ABS($K116)&gt;Config!$B$48),IF($J116&gt;0,"Salida sin explicar: consumo no registrado o faltante","Se vendio mas de lo elaborado: revisar stock previo"),IF($I116&lt;&gt;0,"Hay descarte sin detallar en la planilla 5","OK")))))</f>
        <v/>
      </c>
      <c r="M116" s="76">
        <f>IF($K116="","",ABS($K116)+ROW()/1000000)</f>
        <v/>
      </c>
    </row>
    <row r="117">
      <c r="A117" s="31" t="inlineStr">
        <is>
          <t>Especialidades</t>
        </is>
      </c>
      <c r="B117" s="82">
        <f>IF('4 Prod Especialidades'!$A21="","",'4 Prod Especialidades'!$A21)</f>
        <v/>
      </c>
      <c r="C117" s="45">
        <f>IF('4 Prod Especialidades'!$B21="","",'4 Prod Especialidades'!$B21)</f>
        <v/>
      </c>
      <c r="D117" s="79">
        <f>'4 Prod Especialidades'!$Q21</f>
        <v/>
      </c>
      <c r="E117" s="80">
        <f>IF($B117="","",SUMIFS('8 Fudo Ventas'!$B$6:$B$305,'8 Fudo Ventas'!$D$6:$D$305,$B117,'8 Fudo Ventas'!$C$6:$C$305,$A117))</f>
        <v/>
      </c>
      <c r="F117" s="80">
        <f>IF($B117="","",SUMIFS('8 Fudo Consumos'!$D$6:$D$255,'8 Fudo Consumos'!$B$6:$B$255,$B117,'8 Fudo Consumos'!$C$6:$C$255,$A117))</f>
        <v/>
      </c>
      <c r="G117" s="79">
        <f>'4 Prod Especialidades'!$R21</f>
        <v/>
      </c>
      <c r="H117" s="80">
        <f>IF($B117="","",SUMIFS('5 Descartes'!$D$6:$D$205,'5 Descartes'!$C$6:$C$205,$B117,'5 Descartes'!$B$6:$B$205,$A117))</f>
        <v/>
      </c>
      <c r="I117" s="80">
        <f>IF($B117="","",$G117-$H117)</f>
        <v/>
      </c>
      <c r="J117" s="81">
        <f>IF($B117="","",$D117-$E117-$F117-$G117)</f>
        <v/>
      </c>
      <c r="K117" s="71">
        <f>IF(OR($B117="",$D117=0),"",$J117/$D117)</f>
        <v/>
      </c>
      <c r="L117" s="75">
        <f>IF($B117="","",IF($D117=0,"Sin produccion registrada",IF($E117=0,"Sin ventas mapeadas en Fudo",IF(AND($K117&lt;&gt;"",ABS($K117)&gt;Config!$B$48),IF($J117&gt;0,"Salida sin explicar: consumo no registrado o faltante","Se vendio mas de lo elaborado: revisar stock previo"),IF($I117&lt;&gt;0,"Hay descarte sin detallar en la planilla 5","OK")))))</f>
        <v/>
      </c>
      <c r="M117" s="76">
        <f>IF($K117="","",ABS($K117)+ROW()/1000000)</f>
        <v/>
      </c>
    </row>
    <row r="118">
      <c r="A118" s="27" t="inlineStr">
        <is>
          <t>Especialidades</t>
        </is>
      </c>
      <c r="B118" s="23">
        <f>IF('4 Prod Especialidades'!$A22="","",'4 Prod Especialidades'!$A22)</f>
        <v/>
      </c>
      <c r="C118" s="40">
        <f>IF('4 Prod Especialidades'!$B22="","",'4 Prod Especialidades'!$B22)</f>
        <v/>
      </c>
      <c r="D118" s="79">
        <f>'4 Prod Especialidades'!$Q22</f>
        <v/>
      </c>
      <c r="E118" s="80">
        <f>IF($B118="","",SUMIFS('8 Fudo Ventas'!$B$6:$B$305,'8 Fudo Ventas'!$D$6:$D$305,$B118,'8 Fudo Ventas'!$C$6:$C$305,$A118))</f>
        <v/>
      </c>
      <c r="F118" s="80">
        <f>IF($B118="","",SUMIFS('8 Fudo Consumos'!$D$6:$D$255,'8 Fudo Consumos'!$B$6:$B$255,$B118,'8 Fudo Consumos'!$C$6:$C$255,$A118))</f>
        <v/>
      </c>
      <c r="G118" s="79">
        <f>'4 Prod Especialidades'!$R22</f>
        <v/>
      </c>
      <c r="H118" s="80">
        <f>IF($B118="","",SUMIFS('5 Descartes'!$D$6:$D$205,'5 Descartes'!$C$6:$C$205,$B118,'5 Descartes'!$B$6:$B$205,$A118))</f>
        <v/>
      </c>
      <c r="I118" s="80">
        <f>IF($B118="","",$G118-$H118)</f>
        <v/>
      </c>
      <c r="J118" s="81">
        <f>IF($B118="","",$D118-$E118-$F118-$G118)</f>
        <v/>
      </c>
      <c r="K118" s="71">
        <f>IF(OR($B118="",$D118=0),"",$J118/$D118)</f>
        <v/>
      </c>
      <c r="L118" s="75">
        <f>IF($B118="","",IF($D118=0,"Sin produccion registrada",IF($E118=0,"Sin ventas mapeadas en Fudo",IF(AND($K118&lt;&gt;"",ABS($K118)&gt;Config!$B$48),IF($J118&gt;0,"Salida sin explicar: consumo no registrado o faltante","Se vendio mas de lo elaborado: revisar stock previo"),IF($I118&lt;&gt;0,"Hay descarte sin detallar en la planilla 5","OK")))))</f>
        <v/>
      </c>
      <c r="M118" s="76">
        <f>IF($K118="","",ABS($K118)+ROW()/1000000)</f>
        <v/>
      </c>
    </row>
    <row r="119">
      <c r="A119" s="31" t="inlineStr">
        <is>
          <t>Especialidades</t>
        </is>
      </c>
      <c r="B119" s="82">
        <f>IF('4 Prod Especialidades'!$A23="","",'4 Prod Especialidades'!$A23)</f>
        <v/>
      </c>
      <c r="C119" s="45">
        <f>IF('4 Prod Especialidades'!$B23="","",'4 Prod Especialidades'!$B23)</f>
        <v/>
      </c>
      <c r="D119" s="79">
        <f>'4 Prod Especialidades'!$Q23</f>
        <v/>
      </c>
      <c r="E119" s="80">
        <f>IF($B119="","",SUMIFS('8 Fudo Ventas'!$B$6:$B$305,'8 Fudo Ventas'!$D$6:$D$305,$B119,'8 Fudo Ventas'!$C$6:$C$305,$A119))</f>
        <v/>
      </c>
      <c r="F119" s="80">
        <f>IF($B119="","",SUMIFS('8 Fudo Consumos'!$D$6:$D$255,'8 Fudo Consumos'!$B$6:$B$255,$B119,'8 Fudo Consumos'!$C$6:$C$255,$A119))</f>
        <v/>
      </c>
      <c r="G119" s="79">
        <f>'4 Prod Especialidades'!$R23</f>
        <v/>
      </c>
      <c r="H119" s="80">
        <f>IF($B119="","",SUMIFS('5 Descartes'!$D$6:$D$205,'5 Descartes'!$C$6:$C$205,$B119,'5 Descartes'!$B$6:$B$205,$A119))</f>
        <v/>
      </c>
      <c r="I119" s="80">
        <f>IF($B119="","",$G119-$H119)</f>
        <v/>
      </c>
      <c r="J119" s="81">
        <f>IF($B119="","",$D119-$E119-$F119-$G119)</f>
        <v/>
      </c>
      <c r="K119" s="71">
        <f>IF(OR($B119="",$D119=0),"",$J119/$D119)</f>
        <v/>
      </c>
      <c r="L119" s="75">
        <f>IF($B119="","",IF($D119=0,"Sin produccion registrada",IF($E119=0,"Sin ventas mapeadas en Fudo",IF(AND($K119&lt;&gt;"",ABS($K119)&gt;Config!$B$48),IF($J119&gt;0,"Salida sin explicar: consumo no registrado o faltante","Se vendio mas de lo elaborado: revisar stock previo"),IF($I119&lt;&gt;0,"Hay descarte sin detallar en la planilla 5","OK")))))</f>
        <v/>
      </c>
      <c r="M119" s="76">
        <f>IF($K119="","",ABS($K119)+ROW()/1000000)</f>
        <v/>
      </c>
    </row>
    <row r="120">
      <c r="A120" s="27" t="inlineStr">
        <is>
          <t>Especialidades</t>
        </is>
      </c>
      <c r="B120" s="23">
        <f>IF('4 Prod Especialidades'!$A24="","",'4 Prod Especialidades'!$A24)</f>
        <v/>
      </c>
      <c r="C120" s="40">
        <f>IF('4 Prod Especialidades'!$B24="","",'4 Prod Especialidades'!$B24)</f>
        <v/>
      </c>
      <c r="D120" s="79">
        <f>'4 Prod Especialidades'!$Q24</f>
        <v/>
      </c>
      <c r="E120" s="80">
        <f>IF($B120="","",SUMIFS('8 Fudo Ventas'!$B$6:$B$305,'8 Fudo Ventas'!$D$6:$D$305,$B120,'8 Fudo Ventas'!$C$6:$C$305,$A120))</f>
        <v/>
      </c>
      <c r="F120" s="80">
        <f>IF($B120="","",SUMIFS('8 Fudo Consumos'!$D$6:$D$255,'8 Fudo Consumos'!$B$6:$B$255,$B120,'8 Fudo Consumos'!$C$6:$C$255,$A120))</f>
        <v/>
      </c>
      <c r="G120" s="79">
        <f>'4 Prod Especialidades'!$R24</f>
        <v/>
      </c>
      <c r="H120" s="80">
        <f>IF($B120="","",SUMIFS('5 Descartes'!$D$6:$D$205,'5 Descartes'!$C$6:$C$205,$B120,'5 Descartes'!$B$6:$B$205,$A120))</f>
        <v/>
      </c>
      <c r="I120" s="80">
        <f>IF($B120="","",$G120-$H120)</f>
        <v/>
      </c>
      <c r="J120" s="81">
        <f>IF($B120="","",$D120-$E120-$F120-$G120)</f>
        <v/>
      </c>
      <c r="K120" s="71">
        <f>IF(OR($B120="",$D120=0),"",$J120/$D120)</f>
        <v/>
      </c>
      <c r="L120" s="75">
        <f>IF($B120="","",IF($D120=0,"Sin produccion registrada",IF($E120=0,"Sin ventas mapeadas en Fudo",IF(AND($K120&lt;&gt;"",ABS($K120)&gt;Config!$B$48),IF($J120&gt;0,"Salida sin explicar: consumo no registrado o faltante","Se vendio mas de lo elaborado: revisar stock previo"),IF($I120&lt;&gt;0,"Hay descarte sin detallar en la planilla 5","OK")))))</f>
        <v/>
      </c>
      <c r="M120" s="76">
        <f>IF($K120="","",ABS($K120)+ROW()/1000000)</f>
        <v/>
      </c>
    </row>
    <row r="121">
      <c r="A121" s="31" t="inlineStr">
        <is>
          <t>Especialidades</t>
        </is>
      </c>
      <c r="B121" s="82">
        <f>IF('4 Prod Especialidades'!$A25="","",'4 Prod Especialidades'!$A25)</f>
        <v/>
      </c>
      <c r="C121" s="45">
        <f>IF('4 Prod Especialidades'!$B25="","",'4 Prod Especialidades'!$B25)</f>
        <v/>
      </c>
      <c r="D121" s="79">
        <f>'4 Prod Especialidades'!$Q25</f>
        <v/>
      </c>
      <c r="E121" s="80">
        <f>IF($B121="","",SUMIFS('8 Fudo Ventas'!$B$6:$B$305,'8 Fudo Ventas'!$D$6:$D$305,$B121,'8 Fudo Ventas'!$C$6:$C$305,$A121))</f>
        <v/>
      </c>
      <c r="F121" s="80">
        <f>IF($B121="","",SUMIFS('8 Fudo Consumos'!$D$6:$D$255,'8 Fudo Consumos'!$B$6:$B$255,$B121,'8 Fudo Consumos'!$C$6:$C$255,$A121))</f>
        <v/>
      </c>
      <c r="G121" s="79">
        <f>'4 Prod Especialidades'!$R25</f>
        <v/>
      </c>
      <c r="H121" s="80">
        <f>IF($B121="","",SUMIFS('5 Descartes'!$D$6:$D$205,'5 Descartes'!$C$6:$C$205,$B121,'5 Descartes'!$B$6:$B$205,$A121))</f>
        <v/>
      </c>
      <c r="I121" s="80">
        <f>IF($B121="","",$G121-$H121)</f>
        <v/>
      </c>
      <c r="J121" s="81">
        <f>IF($B121="","",$D121-$E121-$F121-$G121)</f>
        <v/>
      </c>
      <c r="K121" s="71">
        <f>IF(OR($B121="",$D121=0),"",$J121/$D121)</f>
        <v/>
      </c>
      <c r="L121" s="75">
        <f>IF($B121="","",IF($D121=0,"Sin produccion registrada",IF($E121=0,"Sin ventas mapeadas en Fudo",IF(AND($K121&lt;&gt;"",ABS($K121)&gt;Config!$B$48),IF($J121&gt;0,"Salida sin explicar: consumo no registrado o faltante","Se vendio mas de lo elaborado: revisar stock previo"),IF($I121&lt;&gt;0,"Hay descarte sin detallar en la planilla 5","OK")))))</f>
        <v/>
      </c>
      <c r="M121" s="76">
        <f>IF($K121="","",ABS($K121)+ROW()/1000000)</f>
        <v/>
      </c>
    </row>
    <row r="122">
      <c r="A122" s="27" t="inlineStr">
        <is>
          <t>Especialidades</t>
        </is>
      </c>
      <c r="B122" s="23">
        <f>IF('4 Prod Especialidades'!$A26="","",'4 Prod Especialidades'!$A26)</f>
        <v/>
      </c>
      <c r="C122" s="40">
        <f>IF('4 Prod Especialidades'!$B26="","",'4 Prod Especialidades'!$B26)</f>
        <v/>
      </c>
      <c r="D122" s="79">
        <f>'4 Prod Especialidades'!$Q26</f>
        <v/>
      </c>
      <c r="E122" s="80">
        <f>IF($B122="","",SUMIFS('8 Fudo Ventas'!$B$6:$B$305,'8 Fudo Ventas'!$D$6:$D$305,$B122,'8 Fudo Ventas'!$C$6:$C$305,$A122))</f>
        <v/>
      </c>
      <c r="F122" s="80">
        <f>IF($B122="","",SUMIFS('8 Fudo Consumos'!$D$6:$D$255,'8 Fudo Consumos'!$B$6:$B$255,$B122,'8 Fudo Consumos'!$C$6:$C$255,$A122))</f>
        <v/>
      </c>
      <c r="G122" s="79">
        <f>'4 Prod Especialidades'!$R26</f>
        <v/>
      </c>
      <c r="H122" s="80">
        <f>IF($B122="","",SUMIFS('5 Descartes'!$D$6:$D$205,'5 Descartes'!$C$6:$C$205,$B122,'5 Descartes'!$B$6:$B$205,$A122))</f>
        <v/>
      </c>
      <c r="I122" s="80">
        <f>IF($B122="","",$G122-$H122)</f>
        <v/>
      </c>
      <c r="J122" s="81">
        <f>IF($B122="","",$D122-$E122-$F122-$G122)</f>
        <v/>
      </c>
      <c r="K122" s="71">
        <f>IF(OR($B122="",$D122=0),"",$J122/$D122)</f>
        <v/>
      </c>
      <c r="L122" s="75">
        <f>IF($B122="","",IF($D122=0,"Sin produccion registrada",IF($E122=0,"Sin ventas mapeadas en Fudo",IF(AND($K122&lt;&gt;"",ABS($K122)&gt;Config!$B$48),IF($J122&gt;0,"Salida sin explicar: consumo no registrado o faltante","Se vendio mas de lo elaborado: revisar stock previo"),IF($I122&lt;&gt;0,"Hay descarte sin detallar en la planilla 5","OK")))))</f>
        <v/>
      </c>
      <c r="M122" s="76">
        <f>IF($K122="","",ABS($K122)+ROW()/1000000)</f>
        <v/>
      </c>
    </row>
    <row r="123">
      <c r="A123" s="31" t="inlineStr">
        <is>
          <t>Especialidades</t>
        </is>
      </c>
      <c r="B123" s="82">
        <f>IF('4 Prod Especialidades'!$A27="","",'4 Prod Especialidades'!$A27)</f>
        <v/>
      </c>
      <c r="C123" s="45">
        <f>IF('4 Prod Especialidades'!$B27="","",'4 Prod Especialidades'!$B27)</f>
        <v/>
      </c>
      <c r="D123" s="79">
        <f>'4 Prod Especialidades'!$Q27</f>
        <v/>
      </c>
      <c r="E123" s="80">
        <f>IF($B123="","",SUMIFS('8 Fudo Ventas'!$B$6:$B$305,'8 Fudo Ventas'!$D$6:$D$305,$B123,'8 Fudo Ventas'!$C$6:$C$305,$A123))</f>
        <v/>
      </c>
      <c r="F123" s="80">
        <f>IF($B123="","",SUMIFS('8 Fudo Consumos'!$D$6:$D$255,'8 Fudo Consumos'!$B$6:$B$255,$B123,'8 Fudo Consumos'!$C$6:$C$255,$A123))</f>
        <v/>
      </c>
      <c r="G123" s="79">
        <f>'4 Prod Especialidades'!$R27</f>
        <v/>
      </c>
      <c r="H123" s="80">
        <f>IF($B123="","",SUMIFS('5 Descartes'!$D$6:$D$205,'5 Descartes'!$C$6:$C$205,$B123,'5 Descartes'!$B$6:$B$205,$A123))</f>
        <v/>
      </c>
      <c r="I123" s="80">
        <f>IF($B123="","",$G123-$H123)</f>
        <v/>
      </c>
      <c r="J123" s="81">
        <f>IF($B123="","",$D123-$E123-$F123-$G123)</f>
        <v/>
      </c>
      <c r="K123" s="71">
        <f>IF(OR($B123="",$D123=0),"",$J123/$D123)</f>
        <v/>
      </c>
      <c r="L123" s="75">
        <f>IF($B123="","",IF($D123=0,"Sin produccion registrada",IF($E123=0,"Sin ventas mapeadas en Fudo",IF(AND($K123&lt;&gt;"",ABS($K123)&gt;Config!$B$48),IF($J123&gt;0,"Salida sin explicar: consumo no registrado o faltante","Se vendio mas de lo elaborado: revisar stock previo"),IF($I123&lt;&gt;0,"Hay descarte sin detallar en la planilla 5","OK")))))</f>
        <v/>
      </c>
      <c r="M123" s="76">
        <f>IF($K123="","",ABS($K123)+ROW()/1000000)</f>
        <v/>
      </c>
    </row>
    <row r="124">
      <c r="A124" s="27" t="inlineStr">
        <is>
          <t>Especialidades</t>
        </is>
      </c>
      <c r="B124" s="23">
        <f>IF('4 Prod Especialidades'!$A28="","",'4 Prod Especialidades'!$A28)</f>
        <v/>
      </c>
      <c r="C124" s="40">
        <f>IF('4 Prod Especialidades'!$B28="","",'4 Prod Especialidades'!$B28)</f>
        <v/>
      </c>
      <c r="D124" s="79">
        <f>'4 Prod Especialidades'!$Q28</f>
        <v/>
      </c>
      <c r="E124" s="80">
        <f>IF($B124="","",SUMIFS('8 Fudo Ventas'!$B$6:$B$305,'8 Fudo Ventas'!$D$6:$D$305,$B124,'8 Fudo Ventas'!$C$6:$C$305,$A124))</f>
        <v/>
      </c>
      <c r="F124" s="80">
        <f>IF($B124="","",SUMIFS('8 Fudo Consumos'!$D$6:$D$255,'8 Fudo Consumos'!$B$6:$B$255,$B124,'8 Fudo Consumos'!$C$6:$C$255,$A124))</f>
        <v/>
      </c>
      <c r="G124" s="79">
        <f>'4 Prod Especialidades'!$R28</f>
        <v/>
      </c>
      <c r="H124" s="80">
        <f>IF($B124="","",SUMIFS('5 Descartes'!$D$6:$D$205,'5 Descartes'!$C$6:$C$205,$B124,'5 Descartes'!$B$6:$B$205,$A124))</f>
        <v/>
      </c>
      <c r="I124" s="80">
        <f>IF($B124="","",$G124-$H124)</f>
        <v/>
      </c>
      <c r="J124" s="81">
        <f>IF($B124="","",$D124-$E124-$F124-$G124)</f>
        <v/>
      </c>
      <c r="K124" s="71">
        <f>IF(OR($B124="",$D124=0),"",$J124/$D124)</f>
        <v/>
      </c>
      <c r="L124" s="75">
        <f>IF($B124="","",IF($D124=0,"Sin produccion registrada",IF($E124=0,"Sin ventas mapeadas en Fudo",IF(AND($K124&lt;&gt;"",ABS($K124)&gt;Config!$B$48),IF($J124&gt;0,"Salida sin explicar: consumo no registrado o faltante","Se vendio mas de lo elaborado: revisar stock previo"),IF($I124&lt;&gt;0,"Hay descarte sin detallar en la planilla 5","OK")))))</f>
        <v/>
      </c>
      <c r="M124" s="76">
        <f>IF($K124="","",ABS($K124)+ROW()/1000000)</f>
        <v/>
      </c>
    </row>
    <row r="125">
      <c r="A125" s="31" t="inlineStr">
        <is>
          <t>Especialidades</t>
        </is>
      </c>
      <c r="B125" s="82">
        <f>IF('4 Prod Especialidades'!$A29="","",'4 Prod Especialidades'!$A29)</f>
        <v/>
      </c>
      <c r="C125" s="45">
        <f>IF('4 Prod Especialidades'!$B29="","",'4 Prod Especialidades'!$B29)</f>
        <v/>
      </c>
      <c r="D125" s="79">
        <f>'4 Prod Especialidades'!$Q29</f>
        <v/>
      </c>
      <c r="E125" s="80">
        <f>IF($B125="","",SUMIFS('8 Fudo Ventas'!$B$6:$B$305,'8 Fudo Ventas'!$D$6:$D$305,$B125,'8 Fudo Ventas'!$C$6:$C$305,$A125))</f>
        <v/>
      </c>
      <c r="F125" s="80">
        <f>IF($B125="","",SUMIFS('8 Fudo Consumos'!$D$6:$D$255,'8 Fudo Consumos'!$B$6:$B$255,$B125,'8 Fudo Consumos'!$C$6:$C$255,$A125))</f>
        <v/>
      </c>
      <c r="G125" s="79">
        <f>'4 Prod Especialidades'!$R29</f>
        <v/>
      </c>
      <c r="H125" s="80">
        <f>IF($B125="","",SUMIFS('5 Descartes'!$D$6:$D$205,'5 Descartes'!$C$6:$C$205,$B125,'5 Descartes'!$B$6:$B$205,$A125))</f>
        <v/>
      </c>
      <c r="I125" s="80">
        <f>IF($B125="","",$G125-$H125)</f>
        <v/>
      </c>
      <c r="J125" s="81">
        <f>IF($B125="","",$D125-$E125-$F125-$G125)</f>
        <v/>
      </c>
      <c r="K125" s="71">
        <f>IF(OR($B125="",$D125=0),"",$J125/$D125)</f>
        <v/>
      </c>
      <c r="L125" s="75">
        <f>IF($B125="","",IF($D125=0,"Sin produccion registrada",IF($E125=0,"Sin ventas mapeadas en Fudo",IF(AND($K125&lt;&gt;"",ABS($K125)&gt;Config!$B$48),IF($J125&gt;0,"Salida sin explicar: consumo no registrado o faltante","Se vendio mas de lo elaborado: revisar stock previo"),IF($I125&lt;&gt;0,"Hay descarte sin detallar en la planilla 5","OK")))))</f>
        <v/>
      </c>
      <c r="M125" s="76">
        <f>IF($K125="","",ABS($K125)+ROW()/1000000)</f>
        <v/>
      </c>
    </row>
    <row r="126">
      <c r="A126" s="27" t="inlineStr">
        <is>
          <t>Especialidades</t>
        </is>
      </c>
      <c r="B126" s="23">
        <f>IF('4 Prod Especialidades'!$A30="","",'4 Prod Especialidades'!$A30)</f>
        <v/>
      </c>
      <c r="C126" s="40">
        <f>IF('4 Prod Especialidades'!$B30="","",'4 Prod Especialidades'!$B30)</f>
        <v/>
      </c>
      <c r="D126" s="79">
        <f>'4 Prod Especialidades'!$Q30</f>
        <v/>
      </c>
      <c r="E126" s="80">
        <f>IF($B126="","",SUMIFS('8 Fudo Ventas'!$B$6:$B$305,'8 Fudo Ventas'!$D$6:$D$305,$B126,'8 Fudo Ventas'!$C$6:$C$305,$A126))</f>
        <v/>
      </c>
      <c r="F126" s="80">
        <f>IF($B126="","",SUMIFS('8 Fudo Consumos'!$D$6:$D$255,'8 Fudo Consumos'!$B$6:$B$255,$B126,'8 Fudo Consumos'!$C$6:$C$255,$A126))</f>
        <v/>
      </c>
      <c r="G126" s="79">
        <f>'4 Prod Especialidades'!$R30</f>
        <v/>
      </c>
      <c r="H126" s="80">
        <f>IF($B126="","",SUMIFS('5 Descartes'!$D$6:$D$205,'5 Descartes'!$C$6:$C$205,$B126,'5 Descartes'!$B$6:$B$205,$A126))</f>
        <v/>
      </c>
      <c r="I126" s="80">
        <f>IF($B126="","",$G126-$H126)</f>
        <v/>
      </c>
      <c r="J126" s="81">
        <f>IF($B126="","",$D126-$E126-$F126-$G126)</f>
        <v/>
      </c>
      <c r="K126" s="71">
        <f>IF(OR($B126="",$D126=0),"",$J126/$D126)</f>
        <v/>
      </c>
      <c r="L126" s="75">
        <f>IF($B126="","",IF($D126=0,"Sin produccion registrada",IF($E126=0,"Sin ventas mapeadas en Fudo",IF(AND($K126&lt;&gt;"",ABS($K126)&gt;Config!$B$48),IF($J126&gt;0,"Salida sin explicar: consumo no registrado o faltante","Se vendio mas de lo elaborado: revisar stock previo"),IF($I126&lt;&gt;0,"Hay descarte sin detallar en la planilla 5","OK")))))</f>
        <v/>
      </c>
      <c r="M126" s="76">
        <f>IF($K126="","",ABS($K126)+ROW()/1000000)</f>
        <v/>
      </c>
    </row>
    <row r="127">
      <c r="A127" s="31" t="inlineStr">
        <is>
          <t>Especialidades</t>
        </is>
      </c>
      <c r="B127" s="82">
        <f>IF('4 Prod Especialidades'!$A31="","",'4 Prod Especialidades'!$A31)</f>
        <v/>
      </c>
      <c r="C127" s="45">
        <f>IF('4 Prod Especialidades'!$B31="","",'4 Prod Especialidades'!$B31)</f>
        <v/>
      </c>
      <c r="D127" s="79">
        <f>'4 Prod Especialidades'!$Q31</f>
        <v/>
      </c>
      <c r="E127" s="80">
        <f>IF($B127="","",SUMIFS('8 Fudo Ventas'!$B$6:$B$305,'8 Fudo Ventas'!$D$6:$D$305,$B127,'8 Fudo Ventas'!$C$6:$C$305,$A127))</f>
        <v/>
      </c>
      <c r="F127" s="80">
        <f>IF($B127="","",SUMIFS('8 Fudo Consumos'!$D$6:$D$255,'8 Fudo Consumos'!$B$6:$B$255,$B127,'8 Fudo Consumos'!$C$6:$C$255,$A127))</f>
        <v/>
      </c>
      <c r="G127" s="79">
        <f>'4 Prod Especialidades'!$R31</f>
        <v/>
      </c>
      <c r="H127" s="80">
        <f>IF($B127="","",SUMIFS('5 Descartes'!$D$6:$D$205,'5 Descartes'!$C$6:$C$205,$B127,'5 Descartes'!$B$6:$B$205,$A127))</f>
        <v/>
      </c>
      <c r="I127" s="80">
        <f>IF($B127="","",$G127-$H127)</f>
        <v/>
      </c>
      <c r="J127" s="81">
        <f>IF($B127="","",$D127-$E127-$F127-$G127)</f>
        <v/>
      </c>
      <c r="K127" s="71">
        <f>IF(OR($B127="",$D127=0),"",$J127/$D127)</f>
        <v/>
      </c>
      <c r="L127" s="75">
        <f>IF($B127="","",IF($D127=0,"Sin produccion registrada",IF($E127=0,"Sin ventas mapeadas en Fudo",IF(AND($K127&lt;&gt;"",ABS($K127)&gt;Config!$B$48),IF($J127&gt;0,"Salida sin explicar: consumo no registrado o faltante","Se vendio mas de lo elaborado: revisar stock previo"),IF($I127&lt;&gt;0,"Hay descarte sin detallar en la planilla 5","OK")))))</f>
        <v/>
      </c>
      <c r="M127" s="76">
        <f>IF($K127="","",ABS($K127)+ROW()/1000000)</f>
        <v/>
      </c>
    </row>
    <row r="128">
      <c r="A128" s="27" t="inlineStr">
        <is>
          <t>Especialidades</t>
        </is>
      </c>
      <c r="B128" s="23">
        <f>IF('4 Prod Especialidades'!$A32="","",'4 Prod Especialidades'!$A32)</f>
        <v/>
      </c>
      <c r="C128" s="40">
        <f>IF('4 Prod Especialidades'!$B32="","",'4 Prod Especialidades'!$B32)</f>
        <v/>
      </c>
      <c r="D128" s="79">
        <f>'4 Prod Especialidades'!$Q32</f>
        <v/>
      </c>
      <c r="E128" s="80">
        <f>IF($B128="","",SUMIFS('8 Fudo Ventas'!$B$6:$B$305,'8 Fudo Ventas'!$D$6:$D$305,$B128,'8 Fudo Ventas'!$C$6:$C$305,$A128))</f>
        <v/>
      </c>
      <c r="F128" s="80">
        <f>IF($B128="","",SUMIFS('8 Fudo Consumos'!$D$6:$D$255,'8 Fudo Consumos'!$B$6:$B$255,$B128,'8 Fudo Consumos'!$C$6:$C$255,$A128))</f>
        <v/>
      </c>
      <c r="G128" s="79">
        <f>'4 Prod Especialidades'!$R32</f>
        <v/>
      </c>
      <c r="H128" s="80">
        <f>IF($B128="","",SUMIFS('5 Descartes'!$D$6:$D$205,'5 Descartes'!$C$6:$C$205,$B128,'5 Descartes'!$B$6:$B$205,$A128))</f>
        <v/>
      </c>
      <c r="I128" s="80">
        <f>IF($B128="","",$G128-$H128)</f>
        <v/>
      </c>
      <c r="J128" s="81">
        <f>IF($B128="","",$D128-$E128-$F128-$G128)</f>
        <v/>
      </c>
      <c r="K128" s="71">
        <f>IF(OR($B128="",$D128=0),"",$J128/$D128)</f>
        <v/>
      </c>
      <c r="L128" s="75">
        <f>IF($B128="","",IF($D128=0,"Sin produccion registrada",IF($E128=0,"Sin ventas mapeadas en Fudo",IF(AND($K128&lt;&gt;"",ABS($K128)&gt;Config!$B$48),IF($J128&gt;0,"Salida sin explicar: consumo no registrado o faltante","Se vendio mas de lo elaborado: revisar stock previo"),IF($I128&lt;&gt;0,"Hay descarte sin detallar en la planilla 5","OK")))))</f>
        <v/>
      </c>
      <c r="M128" s="76">
        <f>IF($K128="","",ABS($K128)+ROW()/1000000)</f>
        <v/>
      </c>
    </row>
    <row r="129">
      <c r="A129" s="31" t="inlineStr">
        <is>
          <t>Especialidades</t>
        </is>
      </c>
      <c r="B129" s="82">
        <f>IF('4 Prod Especialidades'!$A33="","",'4 Prod Especialidades'!$A33)</f>
        <v/>
      </c>
      <c r="C129" s="45">
        <f>IF('4 Prod Especialidades'!$B33="","",'4 Prod Especialidades'!$B33)</f>
        <v/>
      </c>
      <c r="D129" s="79">
        <f>'4 Prod Especialidades'!$Q33</f>
        <v/>
      </c>
      <c r="E129" s="80">
        <f>IF($B129="","",SUMIFS('8 Fudo Ventas'!$B$6:$B$305,'8 Fudo Ventas'!$D$6:$D$305,$B129,'8 Fudo Ventas'!$C$6:$C$305,$A129))</f>
        <v/>
      </c>
      <c r="F129" s="80">
        <f>IF($B129="","",SUMIFS('8 Fudo Consumos'!$D$6:$D$255,'8 Fudo Consumos'!$B$6:$B$255,$B129,'8 Fudo Consumos'!$C$6:$C$255,$A129))</f>
        <v/>
      </c>
      <c r="G129" s="79">
        <f>'4 Prod Especialidades'!$R33</f>
        <v/>
      </c>
      <c r="H129" s="80">
        <f>IF($B129="","",SUMIFS('5 Descartes'!$D$6:$D$205,'5 Descartes'!$C$6:$C$205,$B129,'5 Descartes'!$B$6:$B$205,$A129))</f>
        <v/>
      </c>
      <c r="I129" s="80">
        <f>IF($B129="","",$G129-$H129)</f>
        <v/>
      </c>
      <c r="J129" s="81">
        <f>IF($B129="","",$D129-$E129-$F129-$G129)</f>
        <v/>
      </c>
      <c r="K129" s="71">
        <f>IF(OR($B129="",$D129=0),"",$J129/$D129)</f>
        <v/>
      </c>
      <c r="L129" s="75">
        <f>IF($B129="","",IF($D129=0,"Sin produccion registrada",IF($E129=0,"Sin ventas mapeadas en Fudo",IF(AND($K129&lt;&gt;"",ABS($K129)&gt;Config!$B$48),IF($J129&gt;0,"Salida sin explicar: consumo no registrado o faltante","Se vendio mas de lo elaborado: revisar stock previo"),IF($I129&lt;&gt;0,"Hay descarte sin detallar en la planilla 5","OK")))))</f>
        <v/>
      </c>
      <c r="M129" s="76">
        <f>IF($K129="","",ABS($K129)+ROW()/1000000)</f>
        <v/>
      </c>
    </row>
    <row r="130">
      <c r="A130" s="27" t="inlineStr">
        <is>
          <t>Especialidades</t>
        </is>
      </c>
      <c r="B130" s="23">
        <f>IF('4 Prod Especialidades'!$A34="","",'4 Prod Especialidades'!$A34)</f>
        <v/>
      </c>
      <c r="C130" s="40">
        <f>IF('4 Prod Especialidades'!$B34="","",'4 Prod Especialidades'!$B34)</f>
        <v/>
      </c>
      <c r="D130" s="79">
        <f>'4 Prod Especialidades'!$Q34</f>
        <v/>
      </c>
      <c r="E130" s="80">
        <f>IF($B130="","",SUMIFS('8 Fudo Ventas'!$B$6:$B$305,'8 Fudo Ventas'!$D$6:$D$305,$B130,'8 Fudo Ventas'!$C$6:$C$305,$A130))</f>
        <v/>
      </c>
      <c r="F130" s="80">
        <f>IF($B130="","",SUMIFS('8 Fudo Consumos'!$D$6:$D$255,'8 Fudo Consumos'!$B$6:$B$255,$B130,'8 Fudo Consumos'!$C$6:$C$255,$A130))</f>
        <v/>
      </c>
      <c r="G130" s="79">
        <f>'4 Prod Especialidades'!$R34</f>
        <v/>
      </c>
      <c r="H130" s="80">
        <f>IF($B130="","",SUMIFS('5 Descartes'!$D$6:$D$205,'5 Descartes'!$C$6:$C$205,$B130,'5 Descartes'!$B$6:$B$205,$A130))</f>
        <v/>
      </c>
      <c r="I130" s="80">
        <f>IF($B130="","",$G130-$H130)</f>
        <v/>
      </c>
      <c r="J130" s="81">
        <f>IF($B130="","",$D130-$E130-$F130-$G130)</f>
        <v/>
      </c>
      <c r="K130" s="71">
        <f>IF(OR($B130="",$D130=0),"",$J130/$D130)</f>
        <v/>
      </c>
      <c r="L130" s="75">
        <f>IF($B130="","",IF($D130=0,"Sin produccion registrada",IF($E130=0,"Sin ventas mapeadas en Fudo",IF(AND($K130&lt;&gt;"",ABS($K130)&gt;Config!$B$48),IF($J130&gt;0,"Salida sin explicar: consumo no registrado o faltante","Se vendio mas de lo elaborado: revisar stock previo"),IF($I130&lt;&gt;0,"Hay descarte sin detallar en la planilla 5","OK")))))</f>
        <v/>
      </c>
      <c r="M130" s="76">
        <f>IF($K130="","",ABS($K130)+ROW()/1000000)</f>
        <v/>
      </c>
    </row>
    <row r="131">
      <c r="A131" s="31" t="inlineStr">
        <is>
          <t>Especialidades</t>
        </is>
      </c>
      <c r="B131" s="82">
        <f>IF('4 Prod Especialidades'!$A35="","",'4 Prod Especialidades'!$A35)</f>
        <v/>
      </c>
      <c r="C131" s="45">
        <f>IF('4 Prod Especialidades'!$B35="","",'4 Prod Especialidades'!$B35)</f>
        <v/>
      </c>
      <c r="D131" s="79">
        <f>'4 Prod Especialidades'!$Q35</f>
        <v/>
      </c>
      <c r="E131" s="80">
        <f>IF($B131="","",SUMIFS('8 Fudo Ventas'!$B$6:$B$305,'8 Fudo Ventas'!$D$6:$D$305,$B131,'8 Fudo Ventas'!$C$6:$C$305,$A131))</f>
        <v/>
      </c>
      <c r="F131" s="80">
        <f>IF($B131="","",SUMIFS('8 Fudo Consumos'!$D$6:$D$255,'8 Fudo Consumos'!$B$6:$B$255,$B131,'8 Fudo Consumos'!$C$6:$C$255,$A131))</f>
        <v/>
      </c>
      <c r="G131" s="79">
        <f>'4 Prod Especialidades'!$R35</f>
        <v/>
      </c>
      <c r="H131" s="80">
        <f>IF($B131="","",SUMIFS('5 Descartes'!$D$6:$D$205,'5 Descartes'!$C$6:$C$205,$B131,'5 Descartes'!$B$6:$B$205,$A131))</f>
        <v/>
      </c>
      <c r="I131" s="80">
        <f>IF($B131="","",$G131-$H131)</f>
        <v/>
      </c>
      <c r="J131" s="81">
        <f>IF($B131="","",$D131-$E131-$F131-$G131)</f>
        <v/>
      </c>
      <c r="K131" s="71">
        <f>IF(OR($B131="",$D131=0),"",$J131/$D131)</f>
        <v/>
      </c>
      <c r="L131" s="75">
        <f>IF($B131="","",IF($D131=0,"Sin produccion registrada",IF($E131=0,"Sin ventas mapeadas en Fudo",IF(AND($K131&lt;&gt;"",ABS($K131)&gt;Config!$B$48),IF($J131&gt;0,"Salida sin explicar: consumo no registrado o faltante","Se vendio mas de lo elaborado: revisar stock previo"),IF($I131&lt;&gt;0,"Hay descarte sin detallar en la planilla 5","OK")))))</f>
        <v/>
      </c>
      <c r="M131" s="76">
        <f>IF($K131="","",ABS($K131)+ROW()/1000000)</f>
        <v/>
      </c>
    </row>
    <row r="132">
      <c r="A132" s="27" t="inlineStr">
        <is>
          <t>Especialidades</t>
        </is>
      </c>
      <c r="B132" s="23">
        <f>IF('4 Prod Especialidades'!$A36="","",'4 Prod Especialidades'!$A36)</f>
        <v/>
      </c>
      <c r="C132" s="40">
        <f>IF('4 Prod Especialidades'!$B36="","",'4 Prod Especialidades'!$B36)</f>
        <v/>
      </c>
      <c r="D132" s="79">
        <f>'4 Prod Especialidades'!$Q36</f>
        <v/>
      </c>
      <c r="E132" s="80">
        <f>IF($B132="","",SUMIFS('8 Fudo Ventas'!$B$6:$B$305,'8 Fudo Ventas'!$D$6:$D$305,$B132,'8 Fudo Ventas'!$C$6:$C$305,$A132))</f>
        <v/>
      </c>
      <c r="F132" s="80">
        <f>IF($B132="","",SUMIFS('8 Fudo Consumos'!$D$6:$D$255,'8 Fudo Consumos'!$B$6:$B$255,$B132,'8 Fudo Consumos'!$C$6:$C$255,$A132))</f>
        <v/>
      </c>
      <c r="G132" s="79">
        <f>'4 Prod Especialidades'!$R36</f>
        <v/>
      </c>
      <c r="H132" s="80">
        <f>IF($B132="","",SUMIFS('5 Descartes'!$D$6:$D$205,'5 Descartes'!$C$6:$C$205,$B132,'5 Descartes'!$B$6:$B$205,$A132))</f>
        <v/>
      </c>
      <c r="I132" s="80">
        <f>IF($B132="","",$G132-$H132)</f>
        <v/>
      </c>
      <c r="J132" s="81">
        <f>IF($B132="","",$D132-$E132-$F132-$G132)</f>
        <v/>
      </c>
      <c r="K132" s="71">
        <f>IF(OR($B132="",$D132=0),"",$J132/$D132)</f>
        <v/>
      </c>
      <c r="L132" s="75">
        <f>IF($B132="","",IF($D132=0,"Sin produccion registrada",IF($E132=0,"Sin ventas mapeadas en Fudo",IF(AND($K132&lt;&gt;"",ABS($K132)&gt;Config!$B$48),IF($J132&gt;0,"Salida sin explicar: consumo no registrado o faltante","Se vendio mas de lo elaborado: revisar stock previo"),IF($I132&lt;&gt;0,"Hay descarte sin detallar en la planilla 5","OK")))))</f>
        <v/>
      </c>
      <c r="M132" s="76">
        <f>IF($K132="","",ABS($K132)+ROW()/1000000)</f>
        <v/>
      </c>
    </row>
    <row r="133">
      <c r="A133" s="31" t="inlineStr">
        <is>
          <t>Especialidades</t>
        </is>
      </c>
      <c r="B133" s="82">
        <f>IF('4 Prod Especialidades'!$A37="","",'4 Prod Especialidades'!$A37)</f>
        <v/>
      </c>
      <c r="C133" s="45">
        <f>IF('4 Prod Especialidades'!$B37="","",'4 Prod Especialidades'!$B37)</f>
        <v/>
      </c>
      <c r="D133" s="79">
        <f>'4 Prod Especialidades'!$Q37</f>
        <v/>
      </c>
      <c r="E133" s="80">
        <f>IF($B133="","",SUMIFS('8 Fudo Ventas'!$B$6:$B$305,'8 Fudo Ventas'!$D$6:$D$305,$B133,'8 Fudo Ventas'!$C$6:$C$305,$A133))</f>
        <v/>
      </c>
      <c r="F133" s="80">
        <f>IF($B133="","",SUMIFS('8 Fudo Consumos'!$D$6:$D$255,'8 Fudo Consumos'!$B$6:$B$255,$B133,'8 Fudo Consumos'!$C$6:$C$255,$A133))</f>
        <v/>
      </c>
      <c r="G133" s="79">
        <f>'4 Prod Especialidades'!$R37</f>
        <v/>
      </c>
      <c r="H133" s="80">
        <f>IF($B133="","",SUMIFS('5 Descartes'!$D$6:$D$205,'5 Descartes'!$C$6:$C$205,$B133,'5 Descartes'!$B$6:$B$205,$A133))</f>
        <v/>
      </c>
      <c r="I133" s="80">
        <f>IF($B133="","",$G133-$H133)</f>
        <v/>
      </c>
      <c r="J133" s="81">
        <f>IF($B133="","",$D133-$E133-$F133-$G133)</f>
        <v/>
      </c>
      <c r="K133" s="71">
        <f>IF(OR($B133="",$D133=0),"",$J133/$D133)</f>
        <v/>
      </c>
      <c r="L133" s="75">
        <f>IF($B133="","",IF($D133=0,"Sin produccion registrada",IF($E133=0,"Sin ventas mapeadas en Fudo",IF(AND($K133&lt;&gt;"",ABS($K133)&gt;Config!$B$48),IF($J133&gt;0,"Salida sin explicar: consumo no registrado o faltante","Se vendio mas de lo elaborado: revisar stock previo"),IF($I133&lt;&gt;0,"Hay descarte sin detallar en la planilla 5","OK")))))</f>
        <v/>
      </c>
      <c r="M133" s="76">
        <f>IF($K133="","",ABS($K133)+ROW()/1000000)</f>
        <v/>
      </c>
    </row>
    <row r="134">
      <c r="A134" s="27" t="inlineStr">
        <is>
          <t>Especialidades</t>
        </is>
      </c>
      <c r="B134" s="23">
        <f>IF('4 Prod Especialidades'!$A38="","",'4 Prod Especialidades'!$A38)</f>
        <v/>
      </c>
      <c r="C134" s="40">
        <f>IF('4 Prod Especialidades'!$B38="","",'4 Prod Especialidades'!$B38)</f>
        <v/>
      </c>
      <c r="D134" s="79">
        <f>'4 Prod Especialidades'!$Q38</f>
        <v/>
      </c>
      <c r="E134" s="80">
        <f>IF($B134="","",SUMIFS('8 Fudo Ventas'!$B$6:$B$305,'8 Fudo Ventas'!$D$6:$D$305,$B134,'8 Fudo Ventas'!$C$6:$C$305,$A134))</f>
        <v/>
      </c>
      <c r="F134" s="80">
        <f>IF($B134="","",SUMIFS('8 Fudo Consumos'!$D$6:$D$255,'8 Fudo Consumos'!$B$6:$B$255,$B134,'8 Fudo Consumos'!$C$6:$C$255,$A134))</f>
        <v/>
      </c>
      <c r="G134" s="79">
        <f>'4 Prod Especialidades'!$R38</f>
        <v/>
      </c>
      <c r="H134" s="80">
        <f>IF($B134="","",SUMIFS('5 Descartes'!$D$6:$D$205,'5 Descartes'!$C$6:$C$205,$B134,'5 Descartes'!$B$6:$B$205,$A134))</f>
        <v/>
      </c>
      <c r="I134" s="80">
        <f>IF($B134="","",$G134-$H134)</f>
        <v/>
      </c>
      <c r="J134" s="81">
        <f>IF($B134="","",$D134-$E134-$F134-$G134)</f>
        <v/>
      </c>
      <c r="K134" s="71">
        <f>IF(OR($B134="",$D134=0),"",$J134/$D134)</f>
        <v/>
      </c>
      <c r="L134" s="75">
        <f>IF($B134="","",IF($D134=0,"Sin produccion registrada",IF($E134=0,"Sin ventas mapeadas en Fudo",IF(AND($K134&lt;&gt;"",ABS($K134)&gt;Config!$B$48),IF($J134&gt;0,"Salida sin explicar: consumo no registrado o faltante","Se vendio mas de lo elaborado: revisar stock previo"),IF($I134&lt;&gt;0,"Hay descarte sin detallar en la planilla 5","OK")))))</f>
        <v/>
      </c>
      <c r="M134" s="76">
        <f>IF($K134="","",ABS($K134)+ROW()/1000000)</f>
        <v/>
      </c>
    </row>
    <row r="135">
      <c r="A135" s="31" t="inlineStr">
        <is>
          <t>Especialidades</t>
        </is>
      </c>
      <c r="B135" s="82">
        <f>IF('4 Prod Especialidades'!$A39="","",'4 Prod Especialidades'!$A39)</f>
        <v/>
      </c>
      <c r="C135" s="45">
        <f>IF('4 Prod Especialidades'!$B39="","",'4 Prod Especialidades'!$B39)</f>
        <v/>
      </c>
      <c r="D135" s="79">
        <f>'4 Prod Especialidades'!$Q39</f>
        <v/>
      </c>
      <c r="E135" s="80">
        <f>IF($B135="","",SUMIFS('8 Fudo Ventas'!$B$6:$B$305,'8 Fudo Ventas'!$D$6:$D$305,$B135,'8 Fudo Ventas'!$C$6:$C$305,$A135))</f>
        <v/>
      </c>
      <c r="F135" s="80">
        <f>IF($B135="","",SUMIFS('8 Fudo Consumos'!$D$6:$D$255,'8 Fudo Consumos'!$B$6:$B$255,$B135,'8 Fudo Consumos'!$C$6:$C$255,$A135))</f>
        <v/>
      </c>
      <c r="G135" s="79">
        <f>'4 Prod Especialidades'!$R39</f>
        <v/>
      </c>
      <c r="H135" s="80">
        <f>IF($B135="","",SUMIFS('5 Descartes'!$D$6:$D$205,'5 Descartes'!$C$6:$C$205,$B135,'5 Descartes'!$B$6:$B$205,$A135))</f>
        <v/>
      </c>
      <c r="I135" s="80">
        <f>IF($B135="","",$G135-$H135)</f>
        <v/>
      </c>
      <c r="J135" s="81">
        <f>IF($B135="","",$D135-$E135-$F135-$G135)</f>
        <v/>
      </c>
      <c r="K135" s="71">
        <f>IF(OR($B135="",$D135=0),"",$J135/$D135)</f>
        <v/>
      </c>
      <c r="L135" s="75">
        <f>IF($B135="","",IF($D135=0,"Sin produccion registrada",IF($E135=0,"Sin ventas mapeadas en Fudo",IF(AND($K135&lt;&gt;"",ABS($K135)&gt;Config!$B$48),IF($J135&gt;0,"Salida sin explicar: consumo no registrado o faltante","Se vendio mas de lo elaborado: revisar stock previo"),IF($I135&lt;&gt;0,"Hay descarte sin detallar en la planilla 5","OK")))))</f>
        <v/>
      </c>
      <c r="M135" s="76">
        <f>IF($K135="","",ABS($K135)+ROW()/1000000)</f>
        <v/>
      </c>
    </row>
    <row r="136">
      <c r="A136" s="27" t="inlineStr">
        <is>
          <t>Especialidades</t>
        </is>
      </c>
      <c r="B136" s="23">
        <f>IF('4 Prod Especialidades'!$A40="","",'4 Prod Especialidades'!$A40)</f>
        <v/>
      </c>
      <c r="C136" s="40">
        <f>IF('4 Prod Especialidades'!$B40="","",'4 Prod Especialidades'!$B40)</f>
        <v/>
      </c>
      <c r="D136" s="79">
        <f>'4 Prod Especialidades'!$Q40</f>
        <v/>
      </c>
      <c r="E136" s="80">
        <f>IF($B136="","",SUMIFS('8 Fudo Ventas'!$B$6:$B$305,'8 Fudo Ventas'!$D$6:$D$305,$B136,'8 Fudo Ventas'!$C$6:$C$305,$A136))</f>
        <v/>
      </c>
      <c r="F136" s="80">
        <f>IF($B136="","",SUMIFS('8 Fudo Consumos'!$D$6:$D$255,'8 Fudo Consumos'!$B$6:$B$255,$B136,'8 Fudo Consumos'!$C$6:$C$255,$A136))</f>
        <v/>
      </c>
      <c r="G136" s="79">
        <f>'4 Prod Especialidades'!$R40</f>
        <v/>
      </c>
      <c r="H136" s="80">
        <f>IF($B136="","",SUMIFS('5 Descartes'!$D$6:$D$205,'5 Descartes'!$C$6:$C$205,$B136,'5 Descartes'!$B$6:$B$205,$A136))</f>
        <v/>
      </c>
      <c r="I136" s="80">
        <f>IF($B136="","",$G136-$H136)</f>
        <v/>
      </c>
      <c r="J136" s="81">
        <f>IF($B136="","",$D136-$E136-$F136-$G136)</f>
        <v/>
      </c>
      <c r="K136" s="71">
        <f>IF(OR($B136="",$D136=0),"",$J136/$D136)</f>
        <v/>
      </c>
      <c r="L136" s="75">
        <f>IF($B136="","",IF($D136=0,"Sin produccion registrada",IF($E136=0,"Sin ventas mapeadas en Fudo",IF(AND($K136&lt;&gt;"",ABS($K136)&gt;Config!$B$48),IF($J136&gt;0,"Salida sin explicar: consumo no registrado o faltante","Se vendio mas de lo elaborado: revisar stock previo"),IF($I136&lt;&gt;0,"Hay descarte sin detallar en la planilla 5","OK")))))</f>
        <v/>
      </c>
      <c r="M136" s="76">
        <f>IF($K136="","",ABS($K136)+ROW()/1000000)</f>
        <v/>
      </c>
    </row>
    <row r="137">
      <c r="A137" s="31" t="inlineStr">
        <is>
          <t>Especialidades</t>
        </is>
      </c>
      <c r="B137" s="82">
        <f>IF('4 Prod Especialidades'!$A41="","",'4 Prod Especialidades'!$A41)</f>
        <v/>
      </c>
      <c r="C137" s="45">
        <f>IF('4 Prod Especialidades'!$B41="","",'4 Prod Especialidades'!$B41)</f>
        <v/>
      </c>
      <c r="D137" s="79">
        <f>'4 Prod Especialidades'!$Q41</f>
        <v/>
      </c>
      <c r="E137" s="80">
        <f>IF($B137="","",SUMIFS('8 Fudo Ventas'!$B$6:$B$305,'8 Fudo Ventas'!$D$6:$D$305,$B137,'8 Fudo Ventas'!$C$6:$C$305,$A137))</f>
        <v/>
      </c>
      <c r="F137" s="80">
        <f>IF($B137="","",SUMIFS('8 Fudo Consumos'!$D$6:$D$255,'8 Fudo Consumos'!$B$6:$B$255,$B137,'8 Fudo Consumos'!$C$6:$C$255,$A137))</f>
        <v/>
      </c>
      <c r="G137" s="79">
        <f>'4 Prod Especialidades'!$R41</f>
        <v/>
      </c>
      <c r="H137" s="80">
        <f>IF($B137="","",SUMIFS('5 Descartes'!$D$6:$D$205,'5 Descartes'!$C$6:$C$205,$B137,'5 Descartes'!$B$6:$B$205,$A137))</f>
        <v/>
      </c>
      <c r="I137" s="80">
        <f>IF($B137="","",$G137-$H137)</f>
        <v/>
      </c>
      <c r="J137" s="81">
        <f>IF($B137="","",$D137-$E137-$F137-$G137)</f>
        <v/>
      </c>
      <c r="K137" s="71">
        <f>IF(OR($B137="",$D137=0),"",$J137/$D137)</f>
        <v/>
      </c>
      <c r="L137" s="75">
        <f>IF($B137="","",IF($D137=0,"Sin produccion registrada",IF($E137=0,"Sin ventas mapeadas en Fudo",IF(AND($K137&lt;&gt;"",ABS($K137)&gt;Config!$B$48),IF($J137&gt;0,"Salida sin explicar: consumo no registrado o faltante","Se vendio mas de lo elaborado: revisar stock previo"),IF($I137&lt;&gt;0,"Hay descarte sin detallar en la planilla 5","OK")))))</f>
        <v/>
      </c>
      <c r="M137" s="76">
        <f>IF($K137="","",ABS($K137)+ROW()/1000000)</f>
        <v/>
      </c>
    </row>
    <row r="138">
      <c r="A138" s="27" t="inlineStr">
        <is>
          <t>Especialidades</t>
        </is>
      </c>
      <c r="B138" s="23">
        <f>IF('4 Prod Especialidades'!$A42="","",'4 Prod Especialidades'!$A42)</f>
        <v/>
      </c>
      <c r="C138" s="40">
        <f>IF('4 Prod Especialidades'!$B42="","",'4 Prod Especialidades'!$B42)</f>
        <v/>
      </c>
      <c r="D138" s="79">
        <f>'4 Prod Especialidades'!$Q42</f>
        <v/>
      </c>
      <c r="E138" s="80">
        <f>IF($B138="","",SUMIFS('8 Fudo Ventas'!$B$6:$B$305,'8 Fudo Ventas'!$D$6:$D$305,$B138,'8 Fudo Ventas'!$C$6:$C$305,$A138))</f>
        <v/>
      </c>
      <c r="F138" s="80">
        <f>IF($B138="","",SUMIFS('8 Fudo Consumos'!$D$6:$D$255,'8 Fudo Consumos'!$B$6:$B$255,$B138,'8 Fudo Consumos'!$C$6:$C$255,$A138))</f>
        <v/>
      </c>
      <c r="G138" s="79">
        <f>'4 Prod Especialidades'!$R42</f>
        <v/>
      </c>
      <c r="H138" s="80">
        <f>IF($B138="","",SUMIFS('5 Descartes'!$D$6:$D$205,'5 Descartes'!$C$6:$C$205,$B138,'5 Descartes'!$B$6:$B$205,$A138))</f>
        <v/>
      </c>
      <c r="I138" s="80">
        <f>IF($B138="","",$G138-$H138)</f>
        <v/>
      </c>
      <c r="J138" s="81">
        <f>IF($B138="","",$D138-$E138-$F138-$G138)</f>
        <v/>
      </c>
      <c r="K138" s="71">
        <f>IF(OR($B138="",$D138=0),"",$J138/$D138)</f>
        <v/>
      </c>
      <c r="L138" s="75">
        <f>IF($B138="","",IF($D138=0,"Sin produccion registrada",IF($E138=0,"Sin ventas mapeadas en Fudo",IF(AND($K138&lt;&gt;"",ABS($K138)&gt;Config!$B$48),IF($J138&gt;0,"Salida sin explicar: consumo no registrado o faltante","Se vendio mas de lo elaborado: revisar stock previo"),IF($I138&lt;&gt;0,"Hay descarte sin detallar en la planilla 5","OK")))))</f>
        <v/>
      </c>
      <c r="M138" s="76">
        <f>IF($K138="","",ABS($K138)+ROW()/1000000)</f>
        <v/>
      </c>
    </row>
    <row r="139">
      <c r="A139" s="31" t="inlineStr">
        <is>
          <t>Especialidades</t>
        </is>
      </c>
      <c r="B139" s="82">
        <f>IF('4 Prod Especialidades'!$A43="","",'4 Prod Especialidades'!$A43)</f>
        <v/>
      </c>
      <c r="C139" s="45">
        <f>IF('4 Prod Especialidades'!$B43="","",'4 Prod Especialidades'!$B43)</f>
        <v/>
      </c>
      <c r="D139" s="79">
        <f>'4 Prod Especialidades'!$Q43</f>
        <v/>
      </c>
      <c r="E139" s="80">
        <f>IF($B139="","",SUMIFS('8 Fudo Ventas'!$B$6:$B$305,'8 Fudo Ventas'!$D$6:$D$305,$B139,'8 Fudo Ventas'!$C$6:$C$305,$A139))</f>
        <v/>
      </c>
      <c r="F139" s="80">
        <f>IF($B139="","",SUMIFS('8 Fudo Consumos'!$D$6:$D$255,'8 Fudo Consumos'!$B$6:$B$255,$B139,'8 Fudo Consumos'!$C$6:$C$255,$A139))</f>
        <v/>
      </c>
      <c r="G139" s="79">
        <f>'4 Prod Especialidades'!$R43</f>
        <v/>
      </c>
      <c r="H139" s="80">
        <f>IF($B139="","",SUMIFS('5 Descartes'!$D$6:$D$205,'5 Descartes'!$C$6:$C$205,$B139,'5 Descartes'!$B$6:$B$205,$A139))</f>
        <v/>
      </c>
      <c r="I139" s="80">
        <f>IF($B139="","",$G139-$H139)</f>
        <v/>
      </c>
      <c r="J139" s="81">
        <f>IF($B139="","",$D139-$E139-$F139-$G139)</f>
        <v/>
      </c>
      <c r="K139" s="71">
        <f>IF(OR($B139="",$D139=0),"",$J139/$D139)</f>
        <v/>
      </c>
      <c r="L139" s="75">
        <f>IF($B139="","",IF($D139=0,"Sin produccion registrada",IF($E139=0,"Sin ventas mapeadas en Fudo",IF(AND($K139&lt;&gt;"",ABS($K139)&gt;Config!$B$48),IF($J139&gt;0,"Salida sin explicar: consumo no registrado o faltante","Se vendio mas de lo elaborado: revisar stock previo"),IF($I139&lt;&gt;0,"Hay descarte sin detallar en la planilla 5","OK")))))</f>
        <v/>
      </c>
      <c r="M139" s="76">
        <f>IF($K139="","",ABS($K139)+ROW()/1000000)</f>
        <v/>
      </c>
    </row>
    <row r="140">
      <c r="A140" s="27" t="inlineStr">
        <is>
          <t>Especialidades</t>
        </is>
      </c>
      <c r="B140" s="23">
        <f>IF('4 Prod Especialidades'!$A44="","",'4 Prod Especialidades'!$A44)</f>
        <v/>
      </c>
      <c r="C140" s="40">
        <f>IF('4 Prod Especialidades'!$B44="","",'4 Prod Especialidades'!$B44)</f>
        <v/>
      </c>
      <c r="D140" s="79">
        <f>'4 Prod Especialidades'!$Q44</f>
        <v/>
      </c>
      <c r="E140" s="80">
        <f>IF($B140="","",SUMIFS('8 Fudo Ventas'!$B$6:$B$305,'8 Fudo Ventas'!$D$6:$D$305,$B140,'8 Fudo Ventas'!$C$6:$C$305,$A140))</f>
        <v/>
      </c>
      <c r="F140" s="80">
        <f>IF($B140="","",SUMIFS('8 Fudo Consumos'!$D$6:$D$255,'8 Fudo Consumos'!$B$6:$B$255,$B140,'8 Fudo Consumos'!$C$6:$C$255,$A140))</f>
        <v/>
      </c>
      <c r="G140" s="79">
        <f>'4 Prod Especialidades'!$R44</f>
        <v/>
      </c>
      <c r="H140" s="80">
        <f>IF($B140="","",SUMIFS('5 Descartes'!$D$6:$D$205,'5 Descartes'!$C$6:$C$205,$B140,'5 Descartes'!$B$6:$B$205,$A140))</f>
        <v/>
      </c>
      <c r="I140" s="80">
        <f>IF($B140="","",$G140-$H140)</f>
        <v/>
      </c>
      <c r="J140" s="81">
        <f>IF($B140="","",$D140-$E140-$F140-$G140)</f>
        <v/>
      </c>
      <c r="K140" s="71">
        <f>IF(OR($B140="",$D140=0),"",$J140/$D140)</f>
        <v/>
      </c>
      <c r="L140" s="75">
        <f>IF($B140="","",IF($D140=0,"Sin produccion registrada",IF($E140=0,"Sin ventas mapeadas en Fudo",IF(AND($K140&lt;&gt;"",ABS($K140)&gt;Config!$B$48),IF($J140&gt;0,"Salida sin explicar: consumo no registrado o faltante","Se vendio mas de lo elaborado: revisar stock previo"),IF($I140&lt;&gt;0,"Hay descarte sin detallar en la planilla 5","OK")))))</f>
        <v/>
      </c>
      <c r="M140" s="76">
        <f>IF($K140="","",ABS($K140)+ROW()/1000000)</f>
        <v/>
      </c>
    </row>
    <row r="141">
      <c r="A141" s="31" t="inlineStr">
        <is>
          <t>Especialidades</t>
        </is>
      </c>
      <c r="B141" s="82">
        <f>IF('4 Prod Especialidades'!$A45="","",'4 Prod Especialidades'!$A45)</f>
        <v/>
      </c>
      <c r="C141" s="45">
        <f>IF('4 Prod Especialidades'!$B45="","",'4 Prod Especialidades'!$B45)</f>
        <v/>
      </c>
      <c r="D141" s="79">
        <f>'4 Prod Especialidades'!$Q45</f>
        <v/>
      </c>
      <c r="E141" s="80">
        <f>IF($B141="","",SUMIFS('8 Fudo Ventas'!$B$6:$B$305,'8 Fudo Ventas'!$D$6:$D$305,$B141,'8 Fudo Ventas'!$C$6:$C$305,$A141))</f>
        <v/>
      </c>
      <c r="F141" s="80">
        <f>IF($B141="","",SUMIFS('8 Fudo Consumos'!$D$6:$D$255,'8 Fudo Consumos'!$B$6:$B$255,$B141,'8 Fudo Consumos'!$C$6:$C$255,$A141))</f>
        <v/>
      </c>
      <c r="G141" s="79">
        <f>'4 Prod Especialidades'!$R45</f>
        <v/>
      </c>
      <c r="H141" s="80">
        <f>IF($B141="","",SUMIFS('5 Descartes'!$D$6:$D$205,'5 Descartes'!$C$6:$C$205,$B141,'5 Descartes'!$B$6:$B$205,$A141))</f>
        <v/>
      </c>
      <c r="I141" s="80">
        <f>IF($B141="","",$G141-$H141)</f>
        <v/>
      </c>
      <c r="J141" s="81">
        <f>IF($B141="","",$D141-$E141-$F141-$G141)</f>
        <v/>
      </c>
      <c r="K141" s="71">
        <f>IF(OR($B141="",$D141=0),"",$J141/$D141)</f>
        <v/>
      </c>
      <c r="L141" s="75">
        <f>IF($B141="","",IF($D141=0,"Sin produccion registrada",IF($E141=0,"Sin ventas mapeadas en Fudo",IF(AND($K141&lt;&gt;"",ABS($K141)&gt;Config!$B$48),IF($J141&gt;0,"Salida sin explicar: consumo no registrado o faltante","Se vendio mas de lo elaborado: revisar stock previo"),IF($I141&lt;&gt;0,"Hay descarte sin detallar en la planilla 5","OK")))))</f>
        <v/>
      </c>
      <c r="M141" s="76">
        <f>IF($K141="","",ABS($K141)+ROW()/1000000)</f>
        <v/>
      </c>
    </row>
    <row r="142">
      <c r="A142" s="27" t="inlineStr">
        <is>
          <t>Especialidades</t>
        </is>
      </c>
      <c r="B142" s="23">
        <f>IF('4 Prod Especialidades'!$A46="","",'4 Prod Especialidades'!$A46)</f>
        <v/>
      </c>
      <c r="C142" s="40">
        <f>IF('4 Prod Especialidades'!$B46="","",'4 Prod Especialidades'!$B46)</f>
        <v/>
      </c>
      <c r="D142" s="79">
        <f>'4 Prod Especialidades'!$Q46</f>
        <v/>
      </c>
      <c r="E142" s="80">
        <f>IF($B142="","",SUMIFS('8 Fudo Ventas'!$B$6:$B$305,'8 Fudo Ventas'!$D$6:$D$305,$B142,'8 Fudo Ventas'!$C$6:$C$305,$A142))</f>
        <v/>
      </c>
      <c r="F142" s="80">
        <f>IF($B142="","",SUMIFS('8 Fudo Consumos'!$D$6:$D$255,'8 Fudo Consumos'!$B$6:$B$255,$B142,'8 Fudo Consumos'!$C$6:$C$255,$A142))</f>
        <v/>
      </c>
      <c r="G142" s="79">
        <f>'4 Prod Especialidades'!$R46</f>
        <v/>
      </c>
      <c r="H142" s="80">
        <f>IF($B142="","",SUMIFS('5 Descartes'!$D$6:$D$205,'5 Descartes'!$C$6:$C$205,$B142,'5 Descartes'!$B$6:$B$205,$A142))</f>
        <v/>
      </c>
      <c r="I142" s="80">
        <f>IF($B142="","",$G142-$H142)</f>
        <v/>
      </c>
      <c r="J142" s="81">
        <f>IF($B142="","",$D142-$E142-$F142-$G142)</f>
        <v/>
      </c>
      <c r="K142" s="71">
        <f>IF(OR($B142="",$D142=0),"",$J142/$D142)</f>
        <v/>
      </c>
      <c r="L142" s="75">
        <f>IF($B142="","",IF($D142=0,"Sin produccion registrada",IF($E142=0,"Sin ventas mapeadas en Fudo",IF(AND($K142&lt;&gt;"",ABS($K142)&gt;Config!$B$48),IF($J142&gt;0,"Salida sin explicar: consumo no registrado o faltante","Se vendio mas de lo elaborado: revisar stock previo"),IF($I142&lt;&gt;0,"Hay descarte sin detallar en la planilla 5","OK")))))</f>
        <v/>
      </c>
      <c r="M142" s="76">
        <f>IF($K142="","",ABS($K142)+ROW()/1000000)</f>
        <v/>
      </c>
    </row>
    <row r="143">
      <c r="A143" s="31" t="inlineStr">
        <is>
          <t>Especialidades</t>
        </is>
      </c>
      <c r="B143" s="82">
        <f>IF('4 Prod Especialidades'!$A47="","",'4 Prod Especialidades'!$A47)</f>
        <v/>
      </c>
      <c r="C143" s="45">
        <f>IF('4 Prod Especialidades'!$B47="","",'4 Prod Especialidades'!$B47)</f>
        <v/>
      </c>
      <c r="D143" s="79">
        <f>'4 Prod Especialidades'!$Q47</f>
        <v/>
      </c>
      <c r="E143" s="80">
        <f>IF($B143="","",SUMIFS('8 Fudo Ventas'!$B$6:$B$305,'8 Fudo Ventas'!$D$6:$D$305,$B143,'8 Fudo Ventas'!$C$6:$C$305,$A143))</f>
        <v/>
      </c>
      <c r="F143" s="80">
        <f>IF($B143="","",SUMIFS('8 Fudo Consumos'!$D$6:$D$255,'8 Fudo Consumos'!$B$6:$B$255,$B143,'8 Fudo Consumos'!$C$6:$C$255,$A143))</f>
        <v/>
      </c>
      <c r="G143" s="79">
        <f>'4 Prod Especialidades'!$R47</f>
        <v/>
      </c>
      <c r="H143" s="80">
        <f>IF($B143="","",SUMIFS('5 Descartes'!$D$6:$D$205,'5 Descartes'!$C$6:$C$205,$B143,'5 Descartes'!$B$6:$B$205,$A143))</f>
        <v/>
      </c>
      <c r="I143" s="80">
        <f>IF($B143="","",$G143-$H143)</f>
        <v/>
      </c>
      <c r="J143" s="81">
        <f>IF($B143="","",$D143-$E143-$F143-$G143)</f>
        <v/>
      </c>
      <c r="K143" s="71">
        <f>IF(OR($B143="",$D143=0),"",$J143/$D143)</f>
        <v/>
      </c>
      <c r="L143" s="75">
        <f>IF($B143="","",IF($D143=0,"Sin produccion registrada",IF($E143=0,"Sin ventas mapeadas en Fudo",IF(AND($K143&lt;&gt;"",ABS($K143)&gt;Config!$B$48),IF($J143&gt;0,"Salida sin explicar: consumo no registrado o faltante","Se vendio mas de lo elaborado: revisar stock previo"),IF($I143&lt;&gt;0,"Hay descarte sin detallar en la planilla 5","OK")))))</f>
        <v/>
      </c>
      <c r="M143" s="76">
        <f>IF($K143="","",ABS($K143)+ROW()/1000000)</f>
        <v/>
      </c>
    </row>
    <row r="144">
      <c r="A144" s="27" t="inlineStr">
        <is>
          <t>Especialidades</t>
        </is>
      </c>
      <c r="B144" s="23">
        <f>IF('4 Prod Especialidades'!$A48="","",'4 Prod Especialidades'!$A48)</f>
        <v/>
      </c>
      <c r="C144" s="40">
        <f>IF('4 Prod Especialidades'!$B48="","",'4 Prod Especialidades'!$B48)</f>
        <v/>
      </c>
      <c r="D144" s="79">
        <f>'4 Prod Especialidades'!$Q48</f>
        <v/>
      </c>
      <c r="E144" s="80">
        <f>IF($B144="","",SUMIFS('8 Fudo Ventas'!$B$6:$B$305,'8 Fudo Ventas'!$D$6:$D$305,$B144,'8 Fudo Ventas'!$C$6:$C$305,$A144))</f>
        <v/>
      </c>
      <c r="F144" s="80">
        <f>IF($B144="","",SUMIFS('8 Fudo Consumos'!$D$6:$D$255,'8 Fudo Consumos'!$B$6:$B$255,$B144,'8 Fudo Consumos'!$C$6:$C$255,$A144))</f>
        <v/>
      </c>
      <c r="G144" s="79">
        <f>'4 Prod Especialidades'!$R48</f>
        <v/>
      </c>
      <c r="H144" s="80">
        <f>IF($B144="","",SUMIFS('5 Descartes'!$D$6:$D$205,'5 Descartes'!$C$6:$C$205,$B144,'5 Descartes'!$B$6:$B$205,$A144))</f>
        <v/>
      </c>
      <c r="I144" s="80">
        <f>IF($B144="","",$G144-$H144)</f>
        <v/>
      </c>
      <c r="J144" s="81">
        <f>IF($B144="","",$D144-$E144-$F144-$G144)</f>
        <v/>
      </c>
      <c r="K144" s="71">
        <f>IF(OR($B144="",$D144=0),"",$J144/$D144)</f>
        <v/>
      </c>
      <c r="L144" s="75">
        <f>IF($B144="","",IF($D144=0,"Sin produccion registrada",IF($E144=0,"Sin ventas mapeadas en Fudo",IF(AND($K144&lt;&gt;"",ABS($K144)&gt;Config!$B$48),IF($J144&gt;0,"Salida sin explicar: consumo no registrado o faltante","Se vendio mas de lo elaborado: revisar stock previo"),IF($I144&lt;&gt;0,"Hay descarte sin detallar en la planilla 5","OK")))))</f>
        <v/>
      </c>
      <c r="M144" s="76">
        <f>IF($K144="","",ABS($K144)+ROW()/1000000)</f>
        <v/>
      </c>
    </row>
    <row r="145">
      <c r="A145" s="31" t="inlineStr">
        <is>
          <t>Especialidades</t>
        </is>
      </c>
      <c r="B145" s="82">
        <f>IF('4 Prod Especialidades'!$A49="","",'4 Prod Especialidades'!$A49)</f>
        <v/>
      </c>
      <c r="C145" s="45">
        <f>IF('4 Prod Especialidades'!$B49="","",'4 Prod Especialidades'!$B49)</f>
        <v/>
      </c>
      <c r="D145" s="79">
        <f>'4 Prod Especialidades'!$Q49</f>
        <v/>
      </c>
      <c r="E145" s="80">
        <f>IF($B145="","",SUMIFS('8 Fudo Ventas'!$B$6:$B$305,'8 Fudo Ventas'!$D$6:$D$305,$B145,'8 Fudo Ventas'!$C$6:$C$305,$A145))</f>
        <v/>
      </c>
      <c r="F145" s="80">
        <f>IF($B145="","",SUMIFS('8 Fudo Consumos'!$D$6:$D$255,'8 Fudo Consumos'!$B$6:$B$255,$B145,'8 Fudo Consumos'!$C$6:$C$255,$A145))</f>
        <v/>
      </c>
      <c r="G145" s="79">
        <f>'4 Prod Especialidades'!$R49</f>
        <v/>
      </c>
      <c r="H145" s="80">
        <f>IF($B145="","",SUMIFS('5 Descartes'!$D$6:$D$205,'5 Descartes'!$C$6:$C$205,$B145,'5 Descartes'!$B$6:$B$205,$A145))</f>
        <v/>
      </c>
      <c r="I145" s="80">
        <f>IF($B145="","",$G145-$H145)</f>
        <v/>
      </c>
      <c r="J145" s="81">
        <f>IF($B145="","",$D145-$E145-$F145-$G145)</f>
        <v/>
      </c>
      <c r="K145" s="71">
        <f>IF(OR($B145="",$D145=0),"",$J145/$D145)</f>
        <v/>
      </c>
      <c r="L145" s="75">
        <f>IF($B145="","",IF($D145=0,"Sin produccion registrada",IF($E145=0,"Sin ventas mapeadas en Fudo",IF(AND($K145&lt;&gt;"",ABS($K145)&gt;Config!$B$48),IF($J145&gt;0,"Salida sin explicar: consumo no registrado o faltante","Se vendio mas de lo elaborado: revisar stock previo"),IF($I145&lt;&gt;0,"Hay descarte sin detallar en la planilla 5","OK")))))</f>
        <v/>
      </c>
      <c r="M145" s="76">
        <f>IF($K145="","",ABS($K145)+ROW()/1000000)</f>
        <v/>
      </c>
    </row>
    <row r="146">
      <c r="A146" s="27" t="inlineStr">
        <is>
          <t>Facturería</t>
        </is>
      </c>
      <c r="B146" s="23">
        <f>IF('4 Prod Factureria'!$A6="","",'4 Prod Factureria'!$A6)</f>
        <v/>
      </c>
      <c r="C146" s="40">
        <f>IF('4 Prod Factureria'!$B6="","",'4 Prod Factureria'!$B6)</f>
        <v/>
      </c>
      <c r="D146" s="79">
        <f>'4 Prod Factureria'!$Q6</f>
        <v/>
      </c>
      <c r="E146" s="80">
        <f>IF($B146="","",SUMIFS('8 Fudo Ventas'!$B$6:$B$305,'8 Fudo Ventas'!$D$6:$D$305,$B146,'8 Fudo Ventas'!$C$6:$C$305,$A146))</f>
        <v/>
      </c>
      <c r="F146" s="80">
        <f>IF($B146="","",SUMIFS('8 Fudo Consumos'!$D$6:$D$255,'8 Fudo Consumos'!$B$6:$B$255,$B146,'8 Fudo Consumos'!$C$6:$C$255,$A146))</f>
        <v/>
      </c>
      <c r="G146" s="79">
        <f>'4 Prod Factureria'!$R6</f>
        <v/>
      </c>
      <c r="H146" s="80">
        <f>IF($B146="","",SUMIFS('5 Descartes'!$D$6:$D$205,'5 Descartes'!$C$6:$C$205,$B146,'5 Descartes'!$B$6:$B$205,$A146))</f>
        <v/>
      </c>
      <c r="I146" s="80">
        <f>IF($B146="","",$G146-$H146)</f>
        <v/>
      </c>
      <c r="J146" s="81">
        <f>IF($B146="","",$D146-$E146-$F146-$G146)</f>
        <v/>
      </c>
      <c r="K146" s="71">
        <f>IF(OR($B146="",$D146=0),"",$J146/$D146)</f>
        <v/>
      </c>
      <c r="L146" s="75">
        <f>IF($B146="","",IF($D146=0,"Sin produccion registrada",IF($E146=0,"Sin ventas mapeadas en Fudo",IF(AND($K146&lt;&gt;"",ABS($K146)&gt;Config!$B$48),IF($J146&gt;0,"Salida sin explicar: consumo no registrado o faltante","Se vendio mas de lo elaborado: revisar stock previo"),IF($I146&lt;&gt;0,"Hay descarte sin detallar en la planilla 5","OK")))))</f>
        <v/>
      </c>
      <c r="M146" s="76">
        <f>IF($K146="","",ABS($K146)+ROW()/1000000)</f>
        <v/>
      </c>
    </row>
    <row r="147">
      <c r="A147" s="31" t="inlineStr">
        <is>
          <t>Facturería</t>
        </is>
      </c>
      <c r="B147" s="82">
        <f>IF('4 Prod Factureria'!$A7="","",'4 Prod Factureria'!$A7)</f>
        <v/>
      </c>
      <c r="C147" s="45">
        <f>IF('4 Prod Factureria'!$B7="","",'4 Prod Factureria'!$B7)</f>
        <v/>
      </c>
      <c r="D147" s="79">
        <f>'4 Prod Factureria'!$Q7</f>
        <v/>
      </c>
      <c r="E147" s="80">
        <f>IF($B147="","",SUMIFS('8 Fudo Ventas'!$B$6:$B$305,'8 Fudo Ventas'!$D$6:$D$305,$B147,'8 Fudo Ventas'!$C$6:$C$305,$A147))</f>
        <v/>
      </c>
      <c r="F147" s="80">
        <f>IF($B147="","",SUMIFS('8 Fudo Consumos'!$D$6:$D$255,'8 Fudo Consumos'!$B$6:$B$255,$B147,'8 Fudo Consumos'!$C$6:$C$255,$A147))</f>
        <v/>
      </c>
      <c r="G147" s="79">
        <f>'4 Prod Factureria'!$R7</f>
        <v/>
      </c>
      <c r="H147" s="80">
        <f>IF($B147="","",SUMIFS('5 Descartes'!$D$6:$D$205,'5 Descartes'!$C$6:$C$205,$B147,'5 Descartes'!$B$6:$B$205,$A147))</f>
        <v/>
      </c>
      <c r="I147" s="80">
        <f>IF($B147="","",$G147-$H147)</f>
        <v/>
      </c>
      <c r="J147" s="81">
        <f>IF($B147="","",$D147-$E147-$F147-$G147)</f>
        <v/>
      </c>
      <c r="K147" s="71">
        <f>IF(OR($B147="",$D147=0),"",$J147/$D147)</f>
        <v/>
      </c>
      <c r="L147" s="75">
        <f>IF($B147="","",IF($D147=0,"Sin produccion registrada",IF($E147=0,"Sin ventas mapeadas en Fudo",IF(AND($K147&lt;&gt;"",ABS($K147)&gt;Config!$B$48),IF($J147&gt;0,"Salida sin explicar: consumo no registrado o faltante","Se vendio mas de lo elaborado: revisar stock previo"),IF($I147&lt;&gt;0,"Hay descarte sin detallar en la planilla 5","OK")))))</f>
        <v/>
      </c>
      <c r="M147" s="76">
        <f>IF($K147="","",ABS($K147)+ROW()/1000000)</f>
        <v/>
      </c>
    </row>
    <row r="148">
      <c r="A148" s="27" t="inlineStr">
        <is>
          <t>Facturería</t>
        </is>
      </c>
      <c r="B148" s="23">
        <f>IF('4 Prod Factureria'!$A8="","",'4 Prod Factureria'!$A8)</f>
        <v/>
      </c>
      <c r="C148" s="40">
        <f>IF('4 Prod Factureria'!$B8="","",'4 Prod Factureria'!$B8)</f>
        <v/>
      </c>
      <c r="D148" s="79">
        <f>'4 Prod Factureria'!$Q8</f>
        <v/>
      </c>
      <c r="E148" s="80">
        <f>IF($B148="","",SUMIFS('8 Fudo Ventas'!$B$6:$B$305,'8 Fudo Ventas'!$D$6:$D$305,$B148,'8 Fudo Ventas'!$C$6:$C$305,$A148))</f>
        <v/>
      </c>
      <c r="F148" s="80">
        <f>IF($B148="","",SUMIFS('8 Fudo Consumos'!$D$6:$D$255,'8 Fudo Consumos'!$B$6:$B$255,$B148,'8 Fudo Consumos'!$C$6:$C$255,$A148))</f>
        <v/>
      </c>
      <c r="G148" s="79">
        <f>'4 Prod Factureria'!$R8</f>
        <v/>
      </c>
      <c r="H148" s="80">
        <f>IF($B148="","",SUMIFS('5 Descartes'!$D$6:$D$205,'5 Descartes'!$C$6:$C$205,$B148,'5 Descartes'!$B$6:$B$205,$A148))</f>
        <v/>
      </c>
      <c r="I148" s="80">
        <f>IF($B148="","",$G148-$H148)</f>
        <v/>
      </c>
      <c r="J148" s="81">
        <f>IF($B148="","",$D148-$E148-$F148-$G148)</f>
        <v/>
      </c>
      <c r="K148" s="71">
        <f>IF(OR($B148="",$D148=0),"",$J148/$D148)</f>
        <v/>
      </c>
      <c r="L148" s="75">
        <f>IF($B148="","",IF($D148=0,"Sin produccion registrada",IF($E148=0,"Sin ventas mapeadas en Fudo",IF(AND($K148&lt;&gt;"",ABS($K148)&gt;Config!$B$48),IF($J148&gt;0,"Salida sin explicar: consumo no registrado o faltante","Se vendio mas de lo elaborado: revisar stock previo"),IF($I148&lt;&gt;0,"Hay descarte sin detallar en la planilla 5","OK")))))</f>
        <v/>
      </c>
      <c r="M148" s="76">
        <f>IF($K148="","",ABS($K148)+ROW()/1000000)</f>
        <v/>
      </c>
    </row>
    <row r="149">
      <c r="A149" s="31" t="inlineStr">
        <is>
          <t>Facturería</t>
        </is>
      </c>
      <c r="B149" s="82">
        <f>IF('4 Prod Factureria'!$A9="","",'4 Prod Factureria'!$A9)</f>
        <v/>
      </c>
      <c r="C149" s="45">
        <f>IF('4 Prod Factureria'!$B9="","",'4 Prod Factureria'!$B9)</f>
        <v/>
      </c>
      <c r="D149" s="79">
        <f>'4 Prod Factureria'!$Q9</f>
        <v/>
      </c>
      <c r="E149" s="80">
        <f>IF($B149="","",SUMIFS('8 Fudo Ventas'!$B$6:$B$305,'8 Fudo Ventas'!$D$6:$D$305,$B149,'8 Fudo Ventas'!$C$6:$C$305,$A149))</f>
        <v/>
      </c>
      <c r="F149" s="80">
        <f>IF($B149="","",SUMIFS('8 Fudo Consumos'!$D$6:$D$255,'8 Fudo Consumos'!$B$6:$B$255,$B149,'8 Fudo Consumos'!$C$6:$C$255,$A149))</f>
        <v/>
      </c>
      <c r="G149" s="79">
        <f>'4 Prod Factureria'!$R9</f>
        <v/>
      </c>
      <c r="H149" s="80">
        <f>IF($B149="","",SUMIFS('5 Descartes'!$D$6:$D$205,'5 Descartes'!$C$6:$C$205,$B149,'5 Descartes'!$B$6:$B$205,$A149))</f>
        <v/>
      </c>
      <c r="I149" s="80">
        <f>IF($B149="","",$G149-$H149)</f>
        <v/>
      </c>
      <c r="J149" s="81">
        <f>IF($B149="","",$D149-$E149-$F149-$G149)</f>
        <v/>
      </c>
      <c r="K149" s="71">
        <f>IF(OR($B149="",$D149=0),"",$J149/$D149)</f>
        <v/>
      </c>
      <c r="L149" s="75">
        <f>IF($B149="","",IF($D149=0,"Sin produccion registrada",IF($E149=0,"Sin ventas mapeadas en Fudo",IF(AND($K149&lt;&gt;"",ABS($K149)&gt;Config!$B$48),IF($J149&gt;0,"Salida sin explicar: consumo no registrado o faltante","Se vendio mas de lo elaborado: revisar stock previo"),IF($I149&lt;&gt;0,"Hay descarte sin detallar en la planilla 5","OK")))))</f>
        <v/>
      </c>
      <c r="M149" s="76">
        <f>IF($K149="","",ABS($K149)+ROW()/1000000)</f>
        <v/>
      </c>
    </row>
    <row r="150">
      <c r="A150" s="27" t="inlineStr">
        <is>
          <t>Facturería</t>
        </is>
      </c>
      <c r="B150" s="23">
        <f>IF('4 Prod Factureria'!$A10="","",'4 Prod Factureria'!$A10)</f>
        <v/>
      </c>
      <c r="C150" s="40">
        <f>IF('4 Prod Factureria'!$B10="","",'4 Prod Factureria'!$B10)</f>
        <v/>
      </c>
      <c r="D150" s="79">
        <f>'4 Prod Factureria'!$Q10</f>
        <v/>
      </c>
      <c r="E150" s="80">
        <f>IF($B150="","",SUMIFS('8 Fudo Ventas'!$B$6:$B$305,'8 Fudo Ventas'!$D$6:$D$305,$B150,'8 Fudo Ventas'!$C$6:$C$305,$A150))</f>
        <v/>
      </c>
      <c r="F150" s="80">
        <f>IF($B150="","",SUMIFS('8 Fudo Consumos'!$D$6:$D$255,'8 Fudo Consumos'!$B$6:$B$255,$B150,'8 Fudo Consumos'!$C$6:$C$255,$A150))</f>
        <v/>
      </c>
      <c r="G150" s="79">
        <f>'4 Prod Factureria'!$R10</f>
        <v/>
      </c>
      <c r="H150" s="80">
        <f>IF($B150="","",SUMIFS('5 Descartes'!$D$6:$D$205,'5 Descartes'!$C$6:$C$205,$B150,'5 Descartes'!$B$6:$B$205,$A150))</f>
        <v/>
      </c>
      <c r="I150" s="80">
        <f>IF($B150="","",$G150-$H150)</f>
        <v/>
      </c>
      <c r="J150" s="81">
        <f>IF($B150="","",$D150-$E150-$F150-$G150)</f>
        <v/>
      </c>
      <c r="K150" s="71">
        <f>IF(OR($B150="",$D150=0),"",$J150/$D150)</f>
        <v/>
      </c>
      <c r="L150" s="75">
        <f>IF($B150="","",IF($D150=0,"Sin produccion registrada",IF($E150=0,"Sin ventas mapeadas en Fudo",IF(AND($K150&lt;&gt;"",ABS($K150)&gt;Config!$B$48),IF($J150&gt;0,"Salida sin explicar: consumo no registrado o faltante","Se vendio mas de lo elaborado: revisar stock previo"),IF($I150&lt;&gt;0,"Hay descarte sin detallar en la planilla 5","OK")))))</f>
        <v/>
      </c>
      <c r="M150" s="76">
        <f>IF($K150="","",ABS($K150)+ROW()/1000000)</f>
        <v/>
      </c>
    </row>
    <row r="151">
      <c r="A151" s="31" t="inlineStr">
        <is>
          <t>Facturería</t>
        </is>
      </c>
      <c r="B151" s="82">
        <f>IF('4 Prod Factureria'!$A11="","",'4 Prod Factureria'!$A11)</f>
        <v/>
      </c>
      <c r="C151" s="45">
        <f>IF('4 Prod Factureria'!$B11="","",'4 Prod Factureria'!$B11)</f>
        <v/>
      </c>
      <c r="D151" s="79">
        <f>'4 Prod Factureria'!$Q11</f>
        <v/>
      </c>
      <c r="E151" s="80">
        <f>IF($B151="","",SUMIFS('8 Fudo Ventas'!$B$6:$B$305,'8 Fudo Ventas'!$D$6:$D$305,$B151,'8 Fudo Ventas'!$C$6:$C$305,$A151))</f>
        <v/>
      </c>
      <c r="F151" s="80">
        <f>IF($B151="","",SUMIFS('8 Fudo Consumos'!$D$6:$D$255,'8 Fudo Consumos'!$B$6:$B$255,$B151,'8 Fudo Consumos'!$C$6:$C$255,$A151))</f>
        <v/>
      </c>
      <c r="G151" s="79">
        <f>'4 Prod Factureria'!$R11</f>
        <v/>
      </c>
      <c r="H151" s="80">
        <f>IF($B151="","",SUMIFS('5 Descartes'!$D$6:$D$205,'5 Descartes'!$C$6:$C$205,$B151,'5 Descartes'!$B$6:$B$205,$A151))</f>
        <v/>
      </c>
      <c r="I151" s="80">
        <f>IF($B151="","",$G151-$H151)</f>
        <v/>
      </c>
      <c r="J151" s="81">
        <f>IF($B151="","",$D151-$E151-$F151-$G151)</f>
        <v/>
      </c>
      <c r="K151" s="71">
        <f>IF(OR($B151="",$D151=0),"",$J151/$D151)</f>
        <v/>
      </c>
      <c r="L151" s="75">
        <f>IF($B151="","",IF($D151=0,"Sin produccion registrada",IF($E151=0,"Sin ventas mapeadas en Fudo",IF(AND($K151&lt;&gt;"",ABS($K151)&gt;Config!$B$48),IF($J151&gt;0,"Salida sin explicar: consumo no registrado o faltante","Se vendio mas de lo elaborado: revisar stock previo"),IF($I151&lt;&gt;0,"Hay descarte sin detallar en la planilla 5","OK")))))</f>
        <v/>
      </c>
      <c r="M151" s="76">
        <f>IF($K151="","",ABS($K151)+ROW()/1000000)</f>
        <v/>
      </c>
    </row>
    <row r="152">
      <c r="A152" s="27" t="inlineStr">
        <is>
          <t>Facturería</t>
        </is>
      </c>
      <c r="B152" s="23">
        <f>IF('4 Prod Factureria'!$A12="","",'4 Prod Factureria'!$A12)</f>
        <v/>
      </c>
      <c r="C152" s="40">
        <f>IF('4 Prod Factureria'!$B12="","",'4 Prod Factureria'!$B12)</f>
        <v/>
      </c>
      <c r="D152" s="79">
        <f>'4 Prod Factureria'!$Q12</f>
        <v/>
      </c>
      <c r="E152" s="80">
        <f>IF($B152="","",SUMIFS('8 Fudo Ventas'!$B$6:$B$305,'8 Fudo Ventas'!$D$6:$D$305,$B152,'8 Fudo Ventas'!$C$6:$C$305,$A152))</f>
        <v/>
      </c>
      <c r="F152" s="80">
        <f>IF($B152="","",SUMIFS('8 Fudo Consumos'!$D$6:$D$255,'8 Fudo Consumos'!$B$6:$B$255,$B152,'8 Fudo Consumos'!$C$6:$C$255,$A152))</f>
        <v/>
      </c>
      <c r="G152" s="79">
        <f>'4 Prod Factureria'!$R12</f>
        <v/>
      </c>
      <c r="H152" s="80">
        <f>IF($B152="","",SUMIFS('5 Descartes'!$D$6:$D$205,'5 Descartes'!$C$6:$C$205,$B152,'5 Descartes'!$B$6:$B$205,$A152))</f>
        <v/>
      </c>
      <c r="I152" s="80">
        <f>IF($B152="","",$G152-$H152)</f>
        <v/>
      </c>
      <c r="J152" s="81">
        <f>IF($B152="","",$D152-$E152-$F152-$G152)</f>
        <v/>
      </c>
      <c r="K152" s="71">
        <f>IF(OR($B152="",$D152=0),"",$J152/$D152)</f>
        <v/>
      </c>
      <c r="L152" s="75">
        <f>IF($B152="","",IF($D152=0,"Sin produccion registrada",IF($E152=0,"Sin ventas mapeadas en Fudo",IF(AND($K152&lt;&gt;"",ABS($K152)&gt;Config!$B$48),IF($J152&gt;0,"Salida sin explicar: consumo no registrado o faltante","Se vendio mas de lo elaborado: revisar stock previo"),IF($I152&lt;&gt;0,"Hay descarte sin detallar en la planilla 5","OK")))))</f>
        <v/>
      </c>
      <c r="M152" s="76">
        <f>IF($K152="","",ABS($K152)+ROW()/1000000)</f>
        <v/>
      </c>
    </row>
    <row r="153">
      <c r="A153" s="31" t="inlineStr">
        <is>
          <t>Facturería</t>
        </is>
      </c>
      <c r="B153" s="82">
        <f>IF('4 Prod Factureria'!$A13="","",'4 Prod Factureria'!$A13)</f>
        <v/>
      </c>
      <c r="C153" s="45">
        <f>IF('4 Prod Factureria'!$B13="","",'4 Prod Factureria'!$B13)</f>
        <v/>
      </c>
      <c r="D153" s="79">
        <f>'4 Prod Factureria'!$Q13</f>
        <v/>
      </c>
      <c r="E153" s="80">
        <f>IF($B153="","",SUMIFS('8 Fudo Ventas'!$B$6:$B$305,'8 Fudo Ventas'!$D$6:$D$305,$B153,'8 Fudo Ventas'!$C$6:$C$305,$A153))</f>
        <v/>
      </c>
      <c r="F153" s="80">
        <f>IF($B153="","",SUMIFS('8 Fudo Consumos'!$D$6:$D$255,'8 Fudo Consumos'!$B$6:$B$255,$B153,'8 Fudo Consumos'!$C$6:$C$255,$A153))</f>
        <v/>
      </c>
      <c r="G153" s="79">
        <f>'4 Prod Factureria'!$R13</f>
        <v/>
      </c>
      <c r="H153" s="80">
        <f>IF($B153="","",SUMIFS('5 Descartes'!$D$6:$D$205,'5 Descartes'!$C$6:$C$205,$B153,'5 Descartes'!$B$6:$B$205,$A153))</f>
        <v/>
      </c>
      <c r="I153" s="80">
        <f>IF($B153="","",$G153-$H153)</f>
        <v/>
      </c>
      <c r="J153" s="81">
        <f>IF($B153="","",$D153-$E153-$F153-$G153)</f>
        <v/>
      </c>
      <c r="K153" s="71">
        <f>IF(OR($B153="",$D153=0),"",$J153/$D153)</f>
        <v/>
      </c>
      <c r="L153" s="75">
        <f>IF($B153="","",IF($D153=0,"Sin produccion registrada",IF($E153=0,"Sin ventas mapeadas en Fudo",IF(AND($K153&lt;&gt;"",ABS($K153)&gt;Config!$B$48),IF($J153&gt;0,"Salida sin explicar: consumo no registrado o faltante","Se vendio mas de lo elaborado: revisar stock previo"),IF($I153&lt;&gt;0,"Hay descarte sin detallar en la planilla 5","OK")))))</f>
        <v/>
      </c>
      <c r="M153" s="76">
        <f>IF($K153="","",ABS($K153)+ROW()/1000000)</f>
        <v/>
      </c>
    </row>
    <row r="154">
      <c r="A154" s="27" t="inlineStr">
        <is>
          <t>Facturería</t>
        </is>
      </c>
      <c r="B154" s="23">
        <f>IF('4 Prod Factureria'!$A14="","",'4 Prod Factureria'!$A14)</f>
        <v/>
      </c>
      <c r="C154" s="40">
        <f>IF('4 Prod Factureria'!$B14="","",'4 Prod Factureria'!$B14)</f>
        <v/>
      </c>
      <c r="D154" s="79">
        <f>'4 Prod Factureria'!$Q14</f>
        <v/>
      </c>
      <c r="E154" s="80">
        <f>IF($B154="","",SUMIFS('8 Fudo Ventas'!$B$6:$B$305,'8 Fudo Ventas'!$D$6:$D$305,$B154,'8 Fudo Ventas'!$C$6:$C$305,$A154))</f>
        <v/>
      </c>
      <c r="F154" s="80">
        <f>IF($B154="","",SUMIFS('8 Fudo Consumos'!$D$6:$D$255,'8 Fudo Consumos'!$B$6:$B$255,$B154,'8 Fudo Consumos'!$C$6:$C$255,$A154))</f>
        <v/>
      </c>
      <c r="G154" s="79">
        <f>'4 Prod Factureria'!$R14</f>
        <v/>
      </c>
      <c r="H154" s="80">
        <f>IF($B154="","",SUMIFS('5 Descartes'!$D$6:$D$205,'5 Descartes'!$C$6:$C$205,$B154,'5 Descartes'!$B$6:$B$205,$A154))</f>
        <v/>
      </c>
      <c r="I154" s="80">
        <f>IF($B154="","",$G154-$H154)</f>
        <v/>
      </c>
      <c r="J154" s="81">
        <f>IF($B154="","",$D154-$E154-$F154-$G154)</f>
        <v/>
      </c>
      <c r="K154" s="71">
        <f>IF(OR($B154="",$D154=0),"",$J154/$D154)</f>
        <v/>
      </c>
      <c r="L154" s="75">
        <f>IF($B154="","",IF($D154=0,"Sin produccion registrada",IF($E154=0,"Sin ventas mapeadas en Fudo",IF(AND($K154&lt;&gt;"",ABS($K154)&gt;Config!$B$48),IF($J154&gt;0,"Salida sin explicar: consumo no registrado o faltante","Se vendio mas de lo elaborado: revisar stock previo"),IF($I154&lt;&gt;0,"Hay descarte sin detallar en la planilla 5","OK")))))</f>
        <v/>
      </c>
      <c r="M154" s="76">
        <f>IF($K154="","",ABS($K154)+ROW()/1000000)</f>
        <v/>
      </c>
    </row>
    <row r="155">
      <c r="A155" s="31" t="inlineStr">
        <is>
          <t>Facturería</t>
        </is>
      </c>
      <c r="B155" s="82">
        <f>IF('4 Prod Factureria'!$A15="","",'4 Prod Factureria'!$A15)</f>
        <v/>
      </c>
      <c r="C155" s="45">
        <f>IF('4 Prod Factureria'!$B15="","",'4 Prod Factureria'!$B15)</f>
        <v/>
      </c>
      <c r="D155" s="79">
        <f>'4 Prod Factureria'!$Q15</f>
        <v/>
      </c>
      <c r="E155" s="80">
        <f>IF($B155="","",SUMIFS('8 Fudo Ventas'!$B$6:$B$305,'8 Fudo Ventas'!$D$6:$D$305,$B155,'8 Fudo Ventas'!$C$6:$C$305,$A155))</f>
        <v/>
      </c>
      <c r="F155" s="80">
        <f>IF($B155="","",SUMIFS('8 Fudo Consumos'!$D$6:$D$255,'8 Fudo Consumos'!$B$6:$B$255,$B155,'8 Fudo Consumos'!$C$6:$C$255,$A155))</f>
        <v/>
      </c>
      <c r="G155" s="79">
        <f>'4 Prod Factureria'!$R15</f>
        <v/>
      </c>
      <c r="H155" s="80">
        <f>IF($B155="","",SUMIFS('5 Descartes'!$D$6:$D$205,'5 Descartes'!$C$6:$C$205,$B155,'5 Descartes'!$B$6:$B$205,$A155))</f>
        <v/>
      </c>
      <c r="I155" s="80">
        <f>IF($B155="","",$G155-$H155)</f>
        <v/>
      </c>
      <c r="J155" s="81">
        <f>IF($B155="","",$D155-$E155-$F155-$G155)</f>
        <v/>
      </c>
      <c r="K155" s="71">
        <f>IF(OR($B155="",$D155=0),"",$J155/$D155)</f>
        <v/>
      </c>
      <c r="L155" s="75">
        <f>IF($B155="","",IF($D155=0,"Sin produccion registrada",IF($E155=0,"Sin ventas mapeadas en Fudo",IF(AND($K155&lt;&gt;"",ABS($K155)&gt;Config!$B$48),IF($J155&gt;0,"Salida sin explicar: consumo no registrado o faltante","Se vendio mas de lo elaborado: revisar stock previo"),IF($I155&lt;&gt;0,"Hay descarte sin detallar en la planilla 5","OK")))))</f>
        <v/>
      </c>
      <c r="M155" s="76">
        <f>IF($K155="","",ABS($K155)+ROW()/1000000)</f>
        <v/>
      </c>
    </row>
    <row r="156">
      <c r="A156" s="27" t="inlineStr">
        <is>
          <t>Facturería</t>
        </is>
      </c>
      <c r="B156" s="23">
        <f>IF('4 Prod Factureria'!$A16="","",'4 Prod Factureria'!$A16)</f>
        <v/>
      </c>
      <c r="C156" s="40">
        <f>IF('4 Prod Factureria'!$B16="","",'4 Prod Factureria'!$B16)</f>
        <v/>
      </c>
      <c r="D156" s="79">
        <f>'4 Prod Factureria'!$Q16</f>
        <v/>
      </c>
      <c r="E156" s="80">
        <f>IF($B156="","",SUMIFS('8 Fudo Ventas'!$B$6:$B$305,'8 Fudo Ventas'!$D$6:$D$305,$B156,'8 Fudo Ventas'!$C$6:$C$305,$A156))</f>
        <v/>
      </c>
      <c r="F156" s="80">
        <f>IF($B156="","",SUMIFS('8 Fudo Consumos'!$D$6:$D$255,'8 Fudo Consumos'!$B$6:$B$255,$B156,'8 Fudo Consumos'!$C$6:$C$255,$A156))</f>
        <v/>
      </c>
      <c r="G156" s="79">
        <f>'4 Prod Factureria'!$R16</f>
        <v/>
      </c>
      <c r="H156" s="80">
        <f>IF($B156="","",SUMIFS('5 Descartes'!$D$6:$D$205,'5 Descartes'!$C$6:$C$205,$B156,'5 Descartes'!$B$6:$B$205,$A156))</f>
        <v/>
      </c>
      <c r="I156" s="80">
        <f>IF($B156="","",$G156-$H156)</f>
        <v/>
      </c>
      <c r="J156" s="81">
        <f>IF($B156="","",$D156-$E156-$F156-$G156)</f>
        <v/>
      </c>
      <c r="K156" s="71">
        <f>IF(OR($B156="",$D156=0),"",$J156/$D156)</f>
        <v/>
      </c>
      <c r="L156" s="75">
        <f>IF($B156="","",IF($D156=0,"Sin produccion registrada",IF($E156=0,"Sin ventas mapeadas en Fudo",IF(AND($K156&lt;&gt;"",ABS($K156)&gt;Config!$B$48),IF($J156&gt;0,"Salida sin explicar: consumo no registrado o faltante","Se vendio mas de lo elaborado: revisar stock previo"),IF($I156&lt;&gt;0,"Hay descarte sin detallar en la planilla 5","OK")))))</f>
        <v/>
      </c>
      <c r="M156" s="76">
        <f>IF($K156="","",ABS($K156)+ROW()/1000000)</f>
        <v/>
      </c>
    </row>
    <row r="157">
      <c r="A157" s="31" t="inlineStr">
        <is>
          <t>Facturería</t>
        </is>
      </c>
      <c r="B157" s="82">
        <f>IF('4 Prod Factureria'!$A17="","",'4 Prod Factureria'!$A17)</f>
        <v/>
      </c>
      <c r="C157" s="45">
        <f>IF('4 Prod Factureria'!$B17="","",'4 Prod Factureria'!$B17)</f>
        <v/>
      </c>
      <c r="D157" s="79">
        <f>'4 Prod Factureria'!$Q17</f>
        <v/>
      </c>
      <c r="E157" s="80">
        <f>IF($B157="","",SUMIFS('8 Fudo Ventas'!$B$6:$B$305,'8 Fudo Ventas'!$D$6:$D$305,$B157,'8 Fudo Ventas'!$C$6:$C$305,$A157))</f>
        <v/>
      </c>
      <c r="F157" s="80">
        <f>IF($B157="","",SUMIFS('8 Fudo Consumos'!$D$6:$D$255,'8 Fudo Consumos'!$B$6:$B$255,$B157,'8 Fudo Consumos'!$C$6:$C$255,$A157))</f>
        <v/>
      </c>
      <c r="G157" s="79">
        <f>'4 Prod Factureria'!$R17</f>
        <v/>
      </c>
      <c r="H157" s="80">
        <f>IF($B157="","",SUMIFS('5 Descartes'!$D$6:$D$205,'5 Descartes'!$C$6:$C$205,$B157,'5 Descartes'!$B$6:$B$205,$A157))</f>
        <v/>
      </c>
      <c r="I157" s="80">
        <f>IF($B157="","",$G157-$H157)</f>
        <v/>
      </c>
      <c r="J157" s="81">
        <f>IF($B157="","",$D157-$E157-$F157-$G157)</f>
        <v/>
      </c>
      <c r="K157" s="71">
        <f>IF(OR($B157="",$D157=0),"",$J157/$D157)</f>
        <v/>
      </c>
      <c r="L157" s="75">
        <f>IF($B157="","",IF($D157=0,"Sin produccion registrada",IF($E157=0,"Sin ventas mapeadas en Fudo",IF(AND($K157&lt;&gt;"",ABS($K157)&gt;Config!$B$48),IF($J157&gt;0,"Salida sin explicar: consumo no registrado o faltante","Se vendio mas de lo elaborado: revisar stock previo"),IF($I157&lt;&gt;0,"Hay descarte sin detallar en la planilla 5","OK")))))</f>
        <v/>
      </c>
      <c r="M157" s="76">
        <f>IF($K157="","",ABS($K157)+ROW()/1000000)</f>
        <v/>
      </c>
    </row>
    <row r="158">
      <c r="A158" s="27" t="inlineStr">
        <is>
          <t>Facturería</t>
        </is>
      </c>
      <c r="B158" s="23">
        <f>IF('4 Prod Factureria'!$A18="","",'4 Prod Factureria'!$A18)</f>
        <v/>
      </c>
      <c r="C158" s="40">
        <f>IF('4 Prod Factureria'!$B18="","",'4 Prod Factureria'!$B18)</f>
        <v/>
      </c>
      <c r="D158" s="79">
        <f>'4 Prod Factureria'!$Q18</f>
        <v/>
      </c>
      <c r="E158" s="80">
        <f>IF($B158="","",SUMIFS('8 Fudo Ventas'!$B$6:$B$305,'8 Fudo Ventas'!$D$6:$D$305,$B158,'8 Fudo Ventas'!$C$6:$C$305,$A158))</f>
        <v/>
      </c>
      <c r="F158" s="80">
        <f>IF($B158="","",SUMIFS('8 Fudo Consumos'!$D$6:$D$255,'8 Fudo Consumos'!$B$6:$B$255,$B158,'8 Fudo Consumos'!$C$6:$C$255,$A158))</f>
        <v/>
      </c>
      <c r="G158" s="79">
        <f>'4 Prod Factureria'!$R18</f>
        <v/>
      </c>
      <c r="H158" s="80">
        <f>IF($B158="","",SUMIFS('5 Descartes'!$D$6:$D$205,'5 Descartes'!$C$6:$C$205,$B158,'5 Descartes'!$B$6:$B$205,$A158))</f>
        <v/>
      </c>
      <c r="I158" s="80">
        <f>IF($B158="","",$G158-$H158)</f>
        <v/>
      </c>
      <c r="J158" s="81">
        <f>IF($B158="","",$D158-$E158-$F158-$G158)</f>
        <v/>
      </c>
      <c r="K158" s="71">
        <f>IF(OR($B158="",$D158=0),"",$J158/$D158)</f>
        <v/>
      </c>
      <c r="L158" s="75">
        <f>IF($B158="","",IF($D158=0,"Sin produccion registrada",IF($E158=0,"Sin ventas mapeadas en Fudo",IF(AND($K158&lt;&gt;"",ABS($K158)&gt;Config!$B$48),IF($J158&gt;0,"Salida sin explicar: consumo no registrado o faltante","Se vendio mas de lo elaborado: revisar stock previo"),IF($I158&lt;&gt;0,"Hay descarte sin detallar en la planilla 5","OK")))))</f>
        <v/>
      </c>
      <c r="M158" s="76">
        <f>IF($K158="","",ABS($K158)+ROW()/1000000)</f>
        <v/>
      </c>
    </row>
    <row r="159">
      <c r="A159" s="31" t="inlineStr">
        <is>
          <t>Facturería</t>
        </is>
      </c>
      <c r="B159" s="82">
        <f>IF('4 Prod Factureria'!$A19="","",'4 Prod Factureria'!$A19)</f>
        <v/>
      </c>
      <c r="C159" s="45">
        <f>IF('4 Prod Factureria'!$B19="","",'4 Prod Factureria'!$B19)</f>
        <v/>
      </c>
      <c r="D159" s="79">
        <f>'4 Prod Factureria'!$Q19</f>
        <v/>
      </c>
      <c r="E159" s="80">
        <f>IF($B159="","",SUMIFS('8 Fudo Ventas'!$B$6:$B$305,'8 Fudo Ventas'!$D$6:$D$305,$B159,'8 Fudo Ventas'!$C$6:$C$305,$A159))</f>
        <v/>
      </c>
      <c r="F159" s="80">
        <f>IF($B159="","",SUMIFS('8 Fudo Consumos'!$D$6:$D$255,'8 Fudo Consumos'!$B$6:$B$255,$B159,'8 Fudo Consumos'!$C$6:$C$255,$A159))</f>
        <v/>
      </c>
      <c r="G159" s="79">
        <f>'4 Prod Factureria'!$R19</f>
        <v/>
      </c>
      <c r="H159" s="80">
        <f>IF($B159="","",SUMIFS('5 Descartes'!$D$6:$D$205,'5 Descartes'!$C$6:$C$205,$B159,'5 Descartes'!$B$6:$B$205,$A159))</f>
        <v/>
      </c>
      <c r="I159" s="80">
        <f>IF($B159="","",$G159-$H159)</f>
        <v/>
      </c>
      <c r="J159" s="81">
        <f>IF($B159="","",$D159-$E159-$F159-$G159)</f>
        <v/>
      </c>
      <c r="K159" s="71">
        <f>IF(OR($B159="",$D159=0),"",$J159/$D159)</f>
        <v/>
      </c>
      <c r="L159" s="75">
        <f>IF($B159="","",IF($D159=0,"Sin produccion registrada",IF($E159=0,"Sin ventas mapeadas en Fudo",IF(AND($K159&lt;&gt;"",ABS($K159)&gt;Config!$B$48),IF($J159&gt;0,"Salida sin explicar: consumo no registrado o faltante","Se vendio mas de lo elaborado: revisar stock previo"),IF($I159&lt;&gt;0,"Hay descarte sin detallar en la planilla 5","OK")))))</f>
        <v/>
      </c>
      <c r="M159" s="76">
        <f>IF($K159="","",ABS($K159)+ROW()/1000000)</f>
        <v/>
      </c>
    </row>
    <row r="160">
      <c r="A160" s="27" t="inlineStr">
        <is>
          <t>Facturería</t>
        </is>
      </c>
      <c r="B160" s="23">
        <f>IF('4 Prod Factureria'!$A20="","",'4 Prod Factureria'!$A20)</f>
        <v/>
      </c>
      <c r="C160" s="40">
        <f>IF('4 Prod Factureria'!$B20="","",'4 Prod Factureria'!$B20)</f>
        <v/>
      </c>
      <c r="D160" s="79">
        <f>'4 Prod Factureria'!$Q20</f>
        <v/>
      </c>
      <c r="E160" s="80">
        <f>IF($B160="","",SUMIFS('8 Fudo Ventas'!$B$6:$B$305,'8 Fudo Ventas'!$D$6:$D$305,$B160,'8 Fudo Ventas'!$C$6:$C$305,$A160))</f>
        <v/>
      </c>
      <c r="F160" s="80">
        <f>IF($B160="","",SUMIFS('8 Fudo Consumos'!$D$6:$D$255,'8 Fudo Consumos'!$B$6:$B$255,$B160,'8 Fudo Consumos'!$C$6:$C$255,$A160))</f>
        <v/>
      </c>
      <c r="G160" s="79">
        <f>'4 Prod Factureria'!$R20</f>
        <v/>
      </c>
      <c r="H160" s="80">
        <f>IF($B160="","",SUMIFS('5 Descartes'!$D$6:$D$205,'5 Descartes'!$C$6:$C$205,$B160,'5 Descartes'!$B$6:$B$205,$A160))</f>
        <v/>
      </c>
      <c r="I160" s="80">
        <f>IF($B160="","",$G160-$H160)</f>
        <v/>
      </c>
      <c r="J160" s="81">
        <f>IF($B160="","",$D160-$E160-$F160-$G160)</f>
        <v/>
      </c>
      <c r="K160" s="71">
        <f>IF(OR($B160="",$D160=0),"",$J160/$D160)</f>
        <v/>
      </c>
      <c r="L160" s="75">
        <f>IF($B160="","",IF($D160=0,"Sin produccion registrada",IF($E160=0,"Sin ventas mapeadas en Fudo",IF(AND($K160&lt;&gt;"",ABS($K160)&gt;Config!$B$48),IF($J160&gt;0,"Salida sin explicar: consumo no registrado o faltante","Se vendio mas de lo elaborado: revisar stock previo"),IF($I160&lt;&gt;0,"Hay descarte sin detallar en la planilla 5","OK")))))</f>
        <v/>
      </c>
      <c r="M160" s="76">
        <f>IF($K160="","",ABS($K160)+ROW()/1000000)</f>
        <v/>
      </c>
    </row>
    <row r="161">
      <c r="A161" s="31" t="inlineStr">
        <is>
          <t>Facturería</t>
        </is>
      </c>
      <c r="B161" s="82">
        <f>IF('4 Prod Factureria'!$A21="","",'4 Prod Factureria'!$A21)</f>
        <v/>
      </c>
      <c r="C161" s="45">
        <f>IF('4 Prod Factureria'!$B21="","",'4 Prod Factureria'!$B21)</f>
        <v/>
      </c>
      <c r="D161" s="79">
        <f>'4 Prod Factureria'!$Q21</f>
        <v/>
      </c>
      <c r="E161" s="80">
        <f>IF($B161="","",SUMIFS('8 Fudo Ventas'!$B$6:$B$305,'8 Fudo Ventas'!$D$6:$D$305,$B161,'8 Fudo Ventas'!$C$6:$C$305,$A161))</f>
        <v/>
      </c>
      <c r="F161" s="80">
        <f>IF($B161="","",SUMIFS('8 Fudo Consumos'!$D$6:$D$255,'8 Fudo Consumos'!$B$6:$B$255,$B161,'8 Fudo Consumos'!$C$6:$C$255,$A161))</f>
        <v/>
      </c>
      <c r="G161" s="79">
        <f>'4 Prod Factureria'!$R21</f>
        <v/>
      </c>
      <c r="H161" s="80">
        <f>IF($B161="","",SUMIFS('5 Descartes'!$D$6:$D$205,'5 Descartes'!$C$6:$C$205,$B161,'5 Descartes'!$B$6:$B$205,$A161))</f>
        <v/>
      </c>
      <c r="I161" s="80">
        <f>IF($B161="","",$G161-$H161)</f>
        <v/>
      </c>
      <c r="J161" s="81">
        <f>IF($B161="","",$D161-$E161-$F161-$G161)</f>
        <v/>
      </c>
      <c r="K161" s="71">
        <f>IF(OR($B161="",$D161=0),"",$J161/$D161)</f>
        <v/>
      </c>
      <c r="L161" s="75">
        <f>IF($B161="","",IF($D161=0,"Sin produccion registrada",IF($E161=0,"Sin ventas mapeadas en Fudo",IF(AND($K161&lt;&gt;"",ABS($K161)&gt;Config!$B$48),IF($J161&gt;0,"Salida sin explicar: consumo no registrado o faltante","Se vendio mas de lo elaborado: revisar stock previo"),IF($I161&lt;&gt;0,"Hay descarte sin detallar en la planilla 5","OK")))))</f>
        <v/>
      </c>
      <c r="M161" s="76">
        <f>IF($K161="","",ABS($K161)+ROW()/1000000)</f>
        <v/>
      </c>
    </row>
    <row r="162">
      <c r="A162" s="27" t="inlineStr">
        <is>
          <t>Facturería</t>
        </is>
      </c>
      <c r="B162" s="23">
        <f>IF('4 Prod Factureria'!$A22="","",'4 Prod Factureria'!$A22)</f>
        <v/>
      </c>
      <c r="C162" s="40">
        <f>IF('4 Prod Factureria'!$B22="","",'4 Prod Factureria'!$B22)</f>
        <v/>
      </c>
      <c r="D162" s="79">
        <f>'4 Prod Factureria'!$Q22</f>
        <v/>
      </c>
      <c r="E162" s="80">
        <f>IF($B162="","",SUMIFS('8 Fudo Ventas'!$B$6:$B$305,'8 Fudo Ventas'!$D$6:$D$305,$B162,'8 Fudo Ventas'!$C$6:$C$305,$A162))</f>
        <v/>
      </c>
      <c r="F162" s="80">
        <f>IF($B162="","",SUMIFS('8 Fudo Consumos'!$D$6:$D$255,'8 Fudo Consumos'!$B$6:$B$255,$B162,'8 Fudo Consumos'!$C$6:$C$255,$A162))</f>
        <v/>
      </c>
      <c r="G162" s="79">
        <f>'4 Prod Factureria'!$R22</f>
        <v/>
      </c>
      <c r="H162" s="80">
        <f>IF($B162="","",SUMIFS('5 Descartes'!$D$6:$D$205,'5 Descartes'!$C$6:$C$205,$B162,'5 Descartes'!$B$6:$B$205,$A162))</f>
        <v/>
      </c>
      <c r="I162" s="80">
        <f>IF($B162="","",$G162-$H162)</f>
        <v/>
      </c>
      <c r="J162" s="81">
        <f>IF($B162="","",$D162-$E162-$F162-$G162)</f>
        <v/>
      </c>
      <c r="K162" s="71">
        <f>IF(OR($B162="",$D162=0),"",$J162/$D162)</f>
        <v/>
      </c>
      <c r="L162" s="75">
        <f>IF($B162="","",IF($D162=0,"Sin produccion registrada",IF($E162=0,"Sin ventas mapeadas en Fudo",IF(AND($K162&lt;&gt;"",ABS($K162)&gt;Config!$B$48),IF($J162&gt;0,"Salida sin explicar: consumo no registrado o faltante","Se vendio mas de lo elaborado: revisar stock previo"),IF($I162&lt;&gt;0,"Hay descarte sin detallar en la planilla 5","OK")))))</f>
        <v/>
      </c>
      <c r="M162" s="76">
        <f>IF($K162="","",ABS($K162)+ROW()/1000000)</f>
        <v/>
      </c>
    </row>
    <row r="163">
      <c r="A163" s="31" t="inlineStr">
        <is>
          <t>Facturería</t>
        </is>
      </c>
      <c r="B163" s="82">
        <f>IF('4 Prod Factureria'!$A23="","",'4 Prod Factureria'!$A23)</f>
        <v/>
      </c>
      <c r="C163" s="45">
        <f>IF('4 Prod Factureria'!$B23="","",'4 Prod Factureria'!$B23)</f>
        <v/>
      </c>
      <c r="D163" s="79">
        <f>'4 Prod Factureria'!$Q23</f>
        <v/>
      </c>
      <c r="E163" s="80">
        <f>IF($B163="","",SUMIFS('8 Fudo Ventas'!$B$6:$B$305,'8 Fudo Ventas'!$D$6:$D$305,$B163,'8 Fudo Ventas'!$C$6:$C$305,$A163))</f>
        <v/>
      </c>
      <c r="F163" s="80">
        <f>IF($B163="","",SUMIFS('8 Fudo Consumos'!$D$6:$D$255,'8 Fudo Consumos'!$B$6:$B$255,$B163,'8 Fudo Consumos'!$C$6:$C$255,$A163))</f>
        <v/>
      </c>
      <c r="G163" s="79">
        <f>'4 Prod Factureria'!$R23</f>
        <v/>
      </c>
      <c r="H163" s="80">
        <f>IF($B163="","",SUMIFS('5 Descartes'!$D$6:$D$205,'5 Descartes'!$C$6:$C$205,$B163,'5 Descartes'!$B$6:$B$205,$A163))</f>
        <v/>
      </c>
      <c r="I163" s="80">
        <f>IF($B163="","",$G163-$H163)</f>
        <v/>
      </c>
      <c r="J163" s="81">
        <f>IF($B163="","",$D163-$E163-$F163-$G163)</f>
        <v/>
      </c>
      <c r="K163" s="71">
        <f>IF(OR($B163="",$D163=0),"",$J163/$D163)</f>
        <v/>
      </c>
      <c r="L163" s="75">
        <f>IF($B163="","",IF($D163=0,"Sin produccion registrada",IF($E163=0,"Sin ventas mapeadas en Fudo",IF(AND($K163&lt;&gt;"",ABS($K163)&gt;Config!$B$48),IF($J163&gt;0,"Salida sin explicar: consumo no registrado o faltante","Se vendio mas de lo elaborado: revisar stock previo"),IF($I163&lt;&gt;0,"Hay descarte sin detallar en la planilla 5","OK")))))</f>
        <v/>
      </c>
      <c r="M163" s="76">
        <f>IF($K163="","",ABS($K163)+ROW()/1000000)</f>
        <v/>
      </c>
    </row>
    <row r="164">
      <c r="A164" s="27" t="inlineStr">
        <is>
          <t>Facturería</t>
        </is>
      </c>
      <c r="B164" s="23">
        <f>IF('4 Prod Factureria'!$A24="","",'4 Prod Factureria'!$A24)</f>
        <v/>
      </c>
      <c r="C164" s="40">
        <f>IF('4 Prod Factureria'!$B24="","",'4 Prod Factureria'!$B24)</f>
        <v/>
      </c>
      <c r="D164" s="79">
        <f>'4 Prod Factureria'!$Q24</f>
        <v/>
      </c>
      <c r="E164" s="80">
        <f>IF($B164="","",SUMIFS('8 Fudo Ventas'!$B$6:$B$305,'8 Fudo Ventas'!$D$6:$D$305,$B164,'8 Fudo Ventas'!$C$6:$C$305,$A164))</f>
        <v/>
      </c>
      <c r="F164" s="80">
        <f>IF($B164="","",SUMIFS('8 Fudo Consumos'!$D$6:$D$255,'8 Fudo Consumos'!$B$6:$B$255,$B164,'8 Fudo Consumos'!$C$6:$C$255,$A164))</f>
        <v/>
      </c>
      <c r="G164" s="79">
        <f>'4 Prod Factureria'!$R24</f>
        <v/>
      </c>
      <c r="H164" s="80">
        <f>IF($B164="","",SUMIFS('5 Descartes'!$D$6:$D$205,'5 Descartes'!$C$6:$C$205,$B164,'5 Descartes'!$B$6:$B$205,$A164))</f>
        <v/>
      </c>
      <c r="I164" s="80">
        <f>IF($B164="","",$G164-$H164)</f>
        <v/>
      </c>
      <c r="J164" s="81">
        <f>IF($B164="","",$D164-$E164-$F164-$G164)</f>
        <v/>
      </c>
      <c r="K164" s="71">
        <f>IF(OR($B164="",$D164=0),"",$J164/$D164)</f>
        <v/>
      </c>
      <c r="L164" s="75">
        <f>IF($B164="","",IF($D164=0,"Sin produccion registrada",IF($E164=0,"Sin ventas mapeadas en Fudo",IF(AND($K164&lt;&gt;"",ABS($K164)&gt;Config!$B$48),IF($J164&gt;0,"Salida sin explicar: consumo no registrado o faltante","Se vendio mas de lo elaborado: revisar stock previo"),IF($I164&lt;&gt;0,"Hay descarte sin detallar en la planilla 5","OK")))))</f>
        <v/>
      </c>
      <c r="M164" s="76">
        <f>IF($K164="","",ABS($K164)+ROW()/1000000)</f>
        <v/>
      </c>
    </row>
    <row r="165">
      <c r="A165" s="31" t="inlineStr">
        <is>
          <t>Facturería</t>
        </is>
      </c>
      <c r="B165" s="82">
        <f>IF('4 Prod Factureria'!$A25="","",'4 Prod Factureria'!$A25)</f>
        <v/>
      </c>
      <c r="C165" s="45">
        <f>IF('4 Prod Factureria'!$B25="","",'4 Prod Factureria'!$B25)</f>
        <v/>
      </c>
      <c r="D165" s="79">
        <f>'4 Prod Factureria'!$Q25</f>
        <v/>
      </c>
      <c r="E165" s="80">
        <f>IF($B165="","",SUMIFS('8 Fudo Ventas'!$B$6:$B$305,'8 Fudo Ventas'!$D$6:$D$305,$B165,'8 Fudo Ventas'!$C$6:$C$305,$A165))</f>
        <v/>
      </c>
      <c r="F165" s="80">
        <f>IF($B165="","",SUMIFS('8 Fudo Consumos'!$D$6:$D$255,'8 Fudo Consumos'!$B$6:$B$255,$B165,'8 Fudo Consumos'!$C$6:$C$255,$A165))</f>
        <v/>
      </c>
      <c r="G165" s="79">
        <f>'4 Prod Factureria'!$R25</f>
        <v/>
      </c>
      <c r="H165" s="80">
        <f>IF($B165="","",SUMIFS('5 Descartes'!$D$6:$D$205,'5 Descartes'!$C$6:$C$205,$B165,'5 Descartes'!$B$6:$B$205,$A165))</f>
        <v/>
      </c>
      <c r="I165" s="80">
        <f>IF($B165="","",$G165-$H165)</f>
        <v/>
      </c>
      <c r="J165" s="81">
        <f>IF($B165="","",$D165-$E165-$F165-$G165)</f>
        <v/>
      </c>
      <c r="K165" s="71">
        <f>IF(OR($B165="",$D165=0),"",$J165/$D165)</f>
        <v/>
      </c>
      <c r="L165" s="75">
        <f>IF($B165="","",IF($D165=0,"Sin produccion registrada",IF($E165=0,"Sin ventas mapeadas en Fudo",IF(AND($K165&lt;&gt;"",ABS($K165)&gt;Config!$B$48),IF($J165&gt;0,"Salida sin explicar: consumo no registrado o faltante","Se vendio mas de lo elaborado: revisar stock previo"),IF($I165&lt;&gt;0,"Hay descarte sin detallar en la planilla 5","OK")))))</f>
        <v/>
      </c>
      <c r="M165" s="76">
        <f>IF($K165="","",ABS($K165)+ROW()/1000000)</f>
        <v/>
      </c>
    </row>
    <row r="166">
      <c r="A166" s="27" t="inlineStr">
        <is>
          <t>Facturería</t>
        </is>
      </c>
      <c r="B166" s="23">
        <f>IF('4 Prod Factureria'!$A26="","",'4 Prod Factureria'!$A26)</f>
        <v/>
      </c>
      <c r="C166" s="40">
        <f>IF('4 Prod Factureria'!$B26="","",'4 Prod Factureria'!$B26)</f>
        <v/>
      </c>
      <c r="D166" s="79">
        <f>'4 Prod Factureria'!$Q26</f>
        <v/>
      </c>
      <c r="E166" s="80">
        <f>IF($B166="","",SUMIFS('8 Fudo Ventas'!$B$6:$B$305,'8 Fudo Ventas'!$D$6:$D$305,$B166,'8 Fudo Ventas'!$C$6:$C$305,$A166))</f>
        <v/>
      </c>
      <c r="F166" s="80">
        <f>IF($B166="","",SUMIFS('8 Fudo Consumos'!$D$6:$D$255,'8 Fudo Consumos'!$B$6:$B$255,$B166,'8 Fudo Consumos'!$C$6:$C$255,$A166))</f>
        <v/>
      </c>
      <c r="G166" s="79">
        <f>'4 Prod Factureria'!$R26</f>
        <v/>
      </c>
      <c r="H166" s="80">
        <f>IF($B166="","",SUMIFS('5 Descartes'!$D$6:$D$205,'5 Descartes'!$C$6:$C$205,$B166,'5 Descartes'!$B$6:$B$205,$A166))</f>
        <v/>
      </c>
      <c r="I166" s="80">
        <f>IF($B166="","",$G166-$H166)</f>
        <v/>
      </c>
      <c r="J166" s="81">
        <f>IF($B166="","",$D166-$E166-$F166-$G166)</f>
        <v/>
      </c>
      <c r="K166" s="71">
        <f>IF(OR($B166="",$D166=0),"",$J166/$D166)</f>
        <v/>
      </c>
      <c r="L166" s="75">
        <f>IF($B166="","",IF($D166=0,"Sin produccion registrada",IF($E166=0,"Sin ventas mapeadas en Fudo",IF(AND($K166&lt;&gt;"",ABS($K166)&gt;Config!$B$48),IF($J166&gt;0,"Salida sin explicar: consumo no registrado o faltante","Se vendio mas de lo elaborado: revisar stock previo"),IF($I166&lt;&gt;0,"Hay descarte sin detallar en la planilla 5","OK")))))</f>
        <v/>
      </c>
      <c r="M166" s="76">
        <f>IF($K166="","",ABS($K166)+ROW()/1000000)</f>
        <v/>
      </c>
    </row>
    <row r="167">
      <c r="A167" s="31" t="inlineStr">
        <is>
          <t>Facturería</t>
        </is>
      </c>
      <c r="B167" s="82">
        <f>IF('4 Prod Factureria'!$A27="","",'4 Prod Factureria'!$A27)</f>
        <v/>
      </c>
      <c r="C167" s="45">
        <f>IF('4 Prod Factureria'!$B27="","",'4 Prod Factureria'!$B27)</f>
        <v/>
      </c>
      <c r="D167" s="79">
        <f>'4 Prod Factureria'!$Q27</f>
        <v/>
      </c>
      <c r="E167" s="80">
        <f>IF($B167="","",SUMIFS('8 Fudo Ventas'!$B$6:$B$305,'8 Fudo Ventas'!$D$6:$D$305,$B167,'8 Fudo Ventas'!$C$6:$C$305,$A167))</f>
        <v/>
      </c>
      <c r="F167" s="80">
        <f>IF($B167="","",SUMIFS('8 Fudo Consumos'!$D$6:$D$255,'8 Fudo Consumos'!$B$6:$B$255,$B167,'8 Fudo Consumos'!$C$6:$C$255,$A167))</f>
        <v/>
      </c>
      <c r="G167" s="79">
        <f>'4 Prod Factureria'!$R27</f>
        <v/>
      </c>
      <c r="H167" s="80">
        <f>IF($B167="","",SUMIFS('5 Descartes'!$D$6:$D$205,'5 Descartes'!$C$6:$C$205,$B167,'5 Descartes'!$B$6:$B$205,$A167))</f>
        <v/>
      </c>
      <c r="I167" s="80">
        <f>IF($B167="","",$G167-$H167)</f>
        <v/>
      </c>
      <c r="J167" s="81">
        <f>IF($B167="","",$D167-$E167-$F167-$G167)</f>
        <v/>
      </c>
      <c r="K167" s="71">
        <f>IF(OR($B167="",$D167=0),"",$J167/$D167)</f>
        <v/>
      </c>
      <c r="L167" s="75">
        <f>IF($B167="","",IF($D167=0,"Sin produccion registrada",IF($E167=0,"Sin ventas mapeadas en Fudo",IF(AND($K167&lt;&gt;"",ABS($K167)&gt;Config!$B$48),IF($J167&gt;0,"Salida sin explicar: consumo no registrado o faltante","Se vendio mas de lo elaborado: revisar stock previo"),IF($I167&lt;&gt;0,"Hay descarte sin detallar en la planilla 5","OK")))))</f>
        <v/>
      </c>
      <c r="M167" s="76">
        <f>IF($K167="","",ABS($K167)+ROW()/1000000)</f>
        <v/>
      </c>
    </row>
    <row r="168">
      <c r="A168" s="27" t="inlineStr">
        <is>
          <t>Facturería</t>
        </is>
      </c>
      <c r="B168" s="23">
        <f>IF('4 Prod Factureria'!$A28="","",'4 Prod Factureria'!$A28)</f>
        <v/>
      </c>
      <c r="C168" s="40">
        <f>IF('4 Prod Factureria'!$B28="","",'4 Prod Factureria'!$B28)</f>
        <v/>
      </c>
      <c r="D168" s="79">
        <f>'4 Prod Factureria'!$Q28</f>
        <v/>
      </c>
      <c r="E168" s="80">
        <f>IF($B168="","",SUMIFS('8 Fudo Ventas'!$B$6:$B$305,'8 Fudo Ventas'!$D$6:$D$305,$B168,'8 Fudo Ventas'!$C$6:$C$305,$A168))</f>
        <v/>
      </c>
      <c r="F168" s="80">
        <f>IF($B168="","",SUMIFS('8 Fudo Consumos'!$D$6:$D$255,'8 Fudo Consumos'!$B$6:$B$255,$B168,'8 Fudo Consumos'!$C$6:$C$255,$A168))</f>
        <v/>
      </c>
      <c r="G168" s="79">
        <f>'4 Prod Factureria'!$R28</f>
        <v/>
      </c>
      <c r="H168" s="80">
        <f>IF($B168="","",SUMIFS('5 Descartes'!$D$6:$D$205,'5 Descartes'!$C$6:$C$205,$B168,'5 Descartes'!$B$6:$B$205,$A168))</f>
        <v/>
      </c>
      <c r="I168" s="80">
        <f>IF($B168="","",$G168-$H168)</f>
        <v/>
      </c>
      <c r="J168" s="81">
        <f>IF($B168="","",$D168-$E168-$F168-$G168)</f>
        <v/>
      </c>
      <c r="K168" s="71">
        <f>IF(OR($B168="",$D168=0),"",$J168/$D168)</f>
        <v/>
      </c>
      <c r="L168" s="75">
        <f>IF($B168="","",IF($D168=0,"Sin produccion registrada",IF($E168=0,"Sin ventas mapeadas en Fudo",IF(AND($K168&lt;&gt;"",ABS($K168)&gt;Config!$B$48),IF($J168&gt;0,"Salida sin explicar: consumo no registrado o faltante","Se vendio mas de lo elaborado: revisar stock previo"),IF($I168&lt;&gt;0,"Hay descarte sin detallar en la planilla 5","OK")))))</f>
        <v/>
      </c>
      <c r="M168" s="76">
        <f>IF($K168="","",ABS($K168)+ROW()/1000000)</f>
        <v/>
      </c>
    </row>
    <row r="169">
      <c r="A169" s="31" t="inlineStr">
        <is>
          <t>Facturería</t>
        </is>
      </c>
      <c r="B169" s="82">
        <f>IF('4 Prod Factureria'!$A29="","",'4 Prod Factureria'!$A29)</f>
        <v/>
      </c>
      <c r="C169" s="45">
        <f>IF('4 Prod Factureria'!$B29="","",'4 Prod Factureria'!$B29)</f>
        <v/>
      </c>
      <c r="D169" s="79">
        <f>'4 Prod Factureria'!$Q29</f>
        <v/>
      </c>
      <c r="E169" s="80">
        <f>IF($B169="","",SUMIFS('8 Fudo Ventas'!$B$6:$B$305,'8 Fudo Ventas'!$D$6:$D$305,$B169,'8 Fudo Ventas'!$C$6:$C$305,$A169))</f>
        <v/>
      </c>
      <c r="F169" s="80">
        <f>IF($B169="","",SUMIFS('8 Fudo Consumos'!$D$6:$D$255,'8 Fudo Consumos'!$B$6:$B$255,$B169,'8 Fudo Consumos'!$C$6:$C$255,$A169))</f>
        <v/>
      </c>
      <c r="G169" s="79">
        <f>'4 Prod Factureria'!$R29</f>
        <v/>
      </c>
      <c r="H169" s="80">
        <f>IF($B169="","",SUMIFS('5 Descartes'!$D$6:$D$205,'5 Descartes'!$C$6:$C$205,$B169,'5 Descartes'!$B$6:$B$205,$A169))</f>
        <v/>
      </c>
      <c r="I169" s="80">
        <f>IF($B169="","",$G169-$H169)</f>
        <v/>
      </c>
      <c r="J169" s="81">
        <f>IF($B169="","",$D169-$E169-$F169-$G169)</f>
        <v/>
      </c>
      <c r="K169" s="71">
        <f>IF(OR($B169="",$D169=0),"",$J169/$D169)</f>
        <v/>
      </c>
      <c r="L169" s="75">
        <f>IF($B169="","",IF($D169=0,"Sin produccion registrada",IF($E169=0,"Sin ventas mapeadas en Fudo",IF(AND($K169&lt;&gt;"",ABS($K169)&gt;Config!$B$48),IF($J169&gt;0,"Salida sin explicar: consumo no registrado o faltante","Se vendio mas de lo elaborado: revisar stock previo"),IF($I169&lt;&gt;0,"Hay descarte sin detallar en la planilla 5","OK")))))</f>
        <v/>
      </c>
      <c r="M169" s="76">
        <f>IF($K169="","",ABS($K169)+ROW()/1000000)</f>
        <v/>
      </c>
    </row>
    <row r="170">
      <c r="A170" s="27" t="inlineStr">
        <is>
          <t>Sandwiches</t>
        </is>
      </c>
      <c r="B170" s="23">
        <f>IF('4 Prod Sandwiches'!$A6="","",'4 Prod Sandwiches'!$A6)</f>
        <v/>
      </c>
      <c r="C170" s="40">
        <f>IF('4 Prod Sandwiches'!$B6="","",'4 Prod Sandwiches'!$B6)</f>
        <v/>
      </c>
      <c r="D170" s="79">
        <f>'4 Prod Sandwiches'!$Q6</f>
        <v/>
      </c>
      <c r="E170" s="80">
        <f>IF($B170="","",SUMIFS('8 Fudo Ventas'!$B$6:$B$305,'8 Fudo Ventas'!$D$6:$D$305,$B170,'8 Fudo Ventas'!$C$6:$C$305,$A170))</f>
        <v/>
      </c>
      <c r="F170" s="80">
        <f>IF($B170="","",SUMIFS('8 Fudo Consumos'!$D$6:$D$255,'8 Fudo Consumos'!$B$6:$B$255,$B170,'8 Fudo Consumos'!$C$6:$C$255,$A170))</f>
        <v/>
      </c>
      <c r="G170" s="79">
        <f>'4 Prod Sandwiches'!$R6</f>
        <v/>
      </c>
      <c r="H170" s="80">
        <f>IF($B170="","",SUMIFS('5 Descartes'!$D$6:$D$205,'5 Descartes'!$C$6:$C$205,$B170,'5 Descartes'!$B$6:$B$205,$A170))</f>
        <v/>
      </c>
      <c r="I170" s="80">
        <f>IF($B170="","",$G170-$H170)</f>
        <v/>
      </c>
      <c r="J170" s="81">
        <f>IF($B170="","",$D170-$E170-$F170-$G170)</f>
        <v/>
      </c>
      <c r="K170" s="71">
        <f>IF(OR($B170="",$D170=0),"",$J170/$D170)</f>
        <v/>
      </c>
      <c r="L170" s="75">
        <f>IF($B170="","",IF($D170=0,"Sin produccion registrada",IF($E170=0,"Sin ventas mapeadas en Fudo",IF(AND($K170&lt;&gt;"",ABS($K170)&gt;Config!$B$48),IF($J170&gt;0,"Salida sin explicar: consumo no registrado o faltante","Se vendio mas de lo elaborado: revisar stock previo"),IF($I170&lt;&gt;0,"Hay descarte sin detallar en la planilla 5","OK")))))</f>
        <v/>
      </c>
      <c r="M170" s="76">
        <f>IF($K170="","",ABS($K170)+ROW()/1000000)</f>
        <v/>
      </c>
    </row>
    <row r="171">
      <c r="A171" s="31" t="inlineStr">
        <is>
          <t>Sandwiches</t>
        </is>
      </c>
      <c r="B171" s="82">
        <f>IF('4 Prod Sandwiches'!$A7="","",'4 Prod Sandwiches'!$A7)</f>
        <v/>
      </c>
      <c r="C171" s="45">
        <f>IF('4 Prod Sandwiches'!$B7="","",'4 Prod Sandwiches'!$B7)</f>
        <v/>
      </c>
      <c r="D171" s="79">
        <f>'4 Prod Sandwiches'!$Q7</f>
        <v/>
      </c>
      <c r="E171" s="80">
        <f>IF($B171="","",SUMIFS('8 Fudo Ventas'!$B$6:$B$305,'8 Fudo Ventas'!$D$6:$D$305,$B171,'8 Fudo Ventas'!$C$6:$C$305,$A171))</f>
        <v/>
      </c>
      <c r="F171" s="80">
        <f>IF($B171="","",SUMIFS('8 Fudo Consumos'!$D$6:$D$255,'8 Fudo Consumos'!$B$6:$B$255,$B171,'8 Fudo Consumos'!$C$6:$C$255,$A171))</f>
        <v/>
      </c>
      <c r="G171" s="79">
        <f>'4 Prod Sandwiches'!$R7</f>
        <v/>
      </c>
      <c r="H171" s="80">
        <f>IF($B171="","",SUMIFS('5 Descartes'!$D$6:$D$205,'5 Descartes'!$C$6:$C$205,$B171,'5 Descartes'!$B$6:$B$205,$A171))</f>
        <v/>
      </c>
      <c r="I171" s="80">
        <f>IF($B171="","",$G171-$H171)</f>
        <v/>
      </c>
      <c r="J171" s="81">
        <f>IF($B171="","",$D171-$E171-$F171-$G171)</f>
        <v/>
      </c>
      <c r="K171" s="71">
        <f>IF(OR($B171="",$D171=0),"",$J171/$D171)</f>
        <v/>
      </c>
      <c r="L171" s="75">
        <f>IF($B171="","",IF($D171=0,"Sin produccion registrada",IF($E171=0,"Sin ventas mapeadas en Fudo",IF(AND($K171&lt;&gt;"",ABS($K171)&gt;Config!$B$48),IF($J171&gt;0,"Salida sin explicar: consumo no registrado o faltante","Se vendio mas de lo elaborado: revisar stock previo"),IF($I171&lt;&gt;0,"Hay descarte sin detallar en la planilla 5","OK")))))</f>
        <v/>
      </c>
      <c r="M171" s="76">
        <f>IF($K171="","",ABS($K171)+ROW()/1000000)</f>
        <v/>
      </c>
    </row>
    <row r="172">
      <c r="A172" s="27" t="inlineStr">
        <is>
          <t>Sandwiches</t>
        </is>
      </c>
      <c r="B172" s="23">
        <f>IF('4 Prod Sandwiches'!$A8="","",'4 Prod Sandwiches'!$A8)</f>
        <v/>
      </c>
      <c r="C172" s="40">
        <f>IF('4 Prod Sandwiches'!$B8="","",'4 Prod Sandwiches'!$B8)</f>
        <v/>
      </c>
      <c r="D172" s="79">
        <f>'4 Prod Sandwiches'!$Q8</f>
        <v/>
      </c>
      <c r="E172" s="80">
        <f>IF($B172="","",SUMIFS('8 Fudo Ventas'!$B$6:$B$305,'8 Fudo Ventas'!$D$6:$D$305,$B172,'8 Fudo Ventas'!$C$6:$C$305,$A172))</f>
        <v/>
      </c>
      <c r="F172" s="80">
        <f>IF($B172="","",SUMIFS('8 Fudo Consumos'!$D$6:$D$255,'8 Fudo Consumos'!$B$6:$B$255,$B172,'8 Fudo Consumos'!$C$6:$C$255,$A172))</f>
        <v/>
      </c>
      <c r="G172" s="79">
        <f>'4 Prod Sandwiches'!$R8</f>
        <v/>
      </c>
      <c r="H172" s="80">
        <f>IF($B172="","",SUMIFS('5 Descartes'!$D$6:$D$205,'5 Descartes'!$C$6:$C$205,$B172,'5 Descartes'!$B$6:$B$205,$A172))</f>
        <v/>
      </c>
      <c r="I172" s="80">
        <f>IF($B172="","",$G172-$H172)</f>
        <v/>
      </c>
      <c r="J172" s="81">
        <f>IF($B172="","",$D172-$E172-$F172-$G172)</f>
        <v/>
      </c>
      <c r="K172" s="71">
        <f>IF(OR($B172="",$D172=0),"",$J172/$D172)</f>
        <v/>
      </c>
      <c r="L172" s="75">
        <f>IF($B172="","",IF($D172=0,"Sin produccion registrada",IF($E172=0,"Sin ventas mapeadas en Fudo",IF(AND($K172&lt;&gt;"",ABS($K172)&gt;Config!$B$48),IF($J172&gt;0,"Salida sin explicar: consumo no registrado o faltante","Se vendio mas de lo elaborado: revisar stock previo"),IF($I172&lt;&gt;0,"Hay descarte sin detallar en la planilla 5","OK")))))</f>
        <v/>
      </c>
      <c r="M172" s="76">
        <f>IF($K172="","",ABS($K172)+ROW()/1000000)</f>
        <v/>
      </c>
    </row>
    <row r="173">
      <c r="A173" s="31" t="inlineStr">
        <is>
          <t>Sandwiches</t>
        </is>
      </c>
      <c r="B173" s="82">
        <f>IF('4 Prod Sandwiches'!$A9="","",'4 Prod Sandwiches'!$A9)</f>
        <v/>
      </c>
      <c r="C173" s="45">
        <f>IF('4 Prod Sandwiches'!$B9="","",'4 Prod Sandwiches'!$B9)</f>
        <v/>
      </c>
      <c r="D173" s="79">
        <f>'4 Prod Sandwiches'!$Q9</f>
        <v/>
      </c>
      <c r="E173" s="80">
        <f>IF($B173="","",SUMIFS('8 Fudo Ventas'!$B$6:$B$305,'8 Fudo Ventas'!$D$6:$D$305,$B173,'8 Fudo Ventas'!$C$6:$C$305,$A173))</f>
        <v/>
      </c>
      <c r="F173" s="80">
        <f>IF($B173="","",SUMIFS('8 Fudo Consumos'!$D$6:$D$255,'8 Fudo Consumos'!$B$6:$B$255,$B173,'8 Fudo Consumos'!$C$6:$C$255,$A173))</f>
        <v/>
      </c>
      <c r="G173" s="79">
        <f>'4 Prod Sandwiches'!$R9</f>
        <v/>
      </c>
      <c r="H173" s="80">
        <f>IF($B173="","",SUMIFS('5 Descartes'!$D$6:$D$205,'5 Descartes'!$C$6:$C$205,$B173,'5 Descartes'!$B$6:$B$205,$A173))</f>
        <v/>
      </c>
      <c r="I173" s="80">
        <f>IF($B173="","",$G173-$H173)</f>
        <v/>
      </c>
      <c r="J173" s="81">
        <f>IF($B173="","",$D173-$E173-$F173-$G173)</f>
        <v/>
      </c>
      <c r="K173" s="71">
        <f>IF(OR($B173="",$D173=0),"",$J173/$D173)</f>
        <v/>
      </c>
      <c r="L173" s="75">
        <f>IF($B173="","",IF($D173=0,"Sin produccion registrada",IF($E173=0,"Sin ventas mapeadas en Fudo",IF(AND($K173&lt;&gt;"",ABS($K173)&gt;Config!$B$48),IF($J173&gt;0,"Salida sin explicar: consumo no registrado o faltante","Se vendio mas de lo elaborado: revisar stock previo"),IF($I173&lt;&gt;0,"Hay descarte sin detallar en la planilla 5","OK")))))</f>
        <v/>
      </c>
      <c r="M173" s="76">
        <f>IF($K173="","",ABS($K173)+ROW()/1000000)</f>
        <v/>
      </c>
    </row>
    <row r="174">
      <c r="A174" s="27" t="inlineStr">
        <is>
          <t>Sandwiches</t>
        </is>
      </c>
      <c r="B174" s="23">
        <f>IF('4 Prod Sandwiches'!$A10="","",'4 Prod Sandwiches'!$A10)</f>
        <v/>
      </c>
      <c r="C174" s="40">
        <f>IF('4 Prod Sandwiches'!$B10="","",'4 Prod Sandwiches'!$B10)</f>
        <v/>
      </c>
      <c r="D174" s="79">
        <f>'4 Prod Sandwiches'!$Q10</f>
        <v/>
      </c>
      <c r="E174" s="80">
        <f>IF($B174="","",SUMIFS('8 Fudo Ventas'!$B$6:$B$305,'8 Fudo Ventas'!$D$6:$D$305,$B174,'8 Fudo Ventas'!$C$6:$C$305,$A174))</f>
        <v/>
      </c>
      <c r="F174" s="80">
        <f>IF($B174="","",SUMIFS('8 Fudo Consumos'!$D$6:$D$255,'8 Fudo Consumos'!$B$6:$B$255,$B174,'8 Fudo Consumos'!$C$6:$C$255,$A174))</f>
        <v/>
      </c>
      <c r="G174" s="79">
        <f>'4 Prod Sandwiches'!$R10</f>
        <v/>
      </c>
      <c r="H174" s="80">
        <f>IF($B174="","",SUMIFS('5 Descartes'!$D$6:$D$205,'5 Descartes'!$C$6:$C$205,$B174,'5 Descartes'!$B$6:$B$205,$A174))</f>
        <v/>
      </c>
      <c r="I174" s="80">
        <f>IF($B174="","",$G174-$H174)</f>
        <v/>
      </c>
      <c r="J174" s="81">
        <f>IF($B174="","",$D174-$E174-$F174-$G174)</f>
        <v/>
      </c>
      <c r="K174" s="71">
        <f>IF(OR($B174="",$D174=0),"",$J174/$D174)</f>
        <v/>
      </c>
      <c r="L174" s="75">
        <f>IF($B174="","",IF($D174=0,"Sin produccion registrada",IF($E174=0,"Sin ventas mapeadas en Fudo",IF(AND($K174&lt;&gt;"",ABS($K174)&gt;Config!$B$48),IF($J174&gt;0,"Salida sin explicar: consumo no registrado o faltante","Se vendio mas de lo elaborado: revisar stock previo"),IF($I174&lt;&gt;0,"Hay descarte sin detallar en la planilla 5","OK")))))</f>
        <v/>
      </c>
      <c r="M174" s="76">
        <f>IF($K174="","",ABS($K174)+ROW()/1000000)</f>
        <v/>
      </c>
    </row>
    <row r="175">
      <c r="A175" s="31" t="inlineStr">
        <is>
          <t>Sandwiches</t>
        </is>
      </c>
      <c r="B175" s="82">
        <f>IF('4 Prod Sandwiches'!$A11="","",'4 Prod Sandwiches'!$A11)</f>
        <v/>
      </c>
      <c r="C175" s="45">
        <f>IF('4 Prod Sandwiches'!$B11="","",'4 Prod Sandwiches'!$B11)</f>
        <v/>
      </c>
      <c r="D175" s="79">
        <f>'4 Prod Sandwiches'!$Q11</f>
        <v/>
      </c>
      <c r="E175" s="80">
        <f>IF($B175="","",SUMIFS('8 Fudo Ventas'!$B$6:$B$305,'8 Fudo Ventas'!$D$6:$D$305,$B175,'8 Fudo Ventas'!$C$6:$C$305,$A175))</f>
        <v/>
      </c>
      <c r="F175" s="80">
        <f>IF($B175="","",SUMIFS('8 Fudo Consumos'!$D$6:$D$255,'8 Fudo Consumos'!$B$6:$B$255,$B175,'8 Fudo Consumos'!$C$6:$C$255,$A175))</f>
        <v/>
      </c>
      <c r="G175" s="79">
        <f>'4 Prod Sandwiches'!$R11</f>
        <v/>
      </c>
      <c r="H175" s="80">
        <f>IF($B175="","",SUMIFS('5 Descartes'!$D$6:$D$205,'5 Descartes'!$C$6:$C$205,$B175,'5 Descartes'!$B$6:$B$205,$A175))</f>
        <v/>
      </c>
      <c r="I175" s="80">
        <f>IF($B175="","",$G175-$H175)</f>
        <v/>
      </c>
      <c r="J175" s="81">
        <f>IF($B175="","",$D175-$E175-$F175-$G175)</f>
        <v/>
      </c>
      <c r="K175" s="71">
        <f>IF(OR($B175="",$D175=0),"",$J175/$D175)</f>
        <v/>
      </c>
      <c r="L175" s="75">
        <f>IF($B175="","",IF($D175=0,"Sin produccion registrada",IF($E175=0,"Sin ventas mapeadas en Fudo",IF(AND($K175&lt;&gt;"",ABS($K175)&gt;Config!$B$48),IF($J175&gt;0,"Salida sin explicar: consumo no registrado o faltante","Se vendio mas de lo elaborado: revisar stock previo"),IF($I175&lt;&gt;0,"Hay descarte sin detallar en la planilla 5","OK")))))</f>
        <v/>
      </c>
      <c r="M175" s="76">
        <f>IF($K175="","",ABS($K175)+ROW()/1000000)</f>
        <v/>
      </c>
    </row>
    <row r="176">
      <c r="A176" s="27" t="inlineStr">
        <is>
          <t>Sandwiches</t>
        </is>
      </c>
      <c r="B176" s="23">
        <f>IF('4 Prod Sandwiches'!$A12="","",'4 Prod Sandwiches'!$A12)</f>
        <v/>
      </c>
      <c r="C176" s="40">
        <f>IF('4 Prod Sandwiches'!$B12="","",'4 Prod Sandwiches'!$B12)</f>
        <v/>
      </c>
      <c r="D176" s="79">
        <f>'4 Prod Sandwiches'!$Q12</f>
        <v/>
      </c>
      <c r="E176" s="80">
        <f>IF($B176="","",SUMIFS('8 Fudo Ventas'!$B$6:$B$305,'8 Fudo Ventas'!$D$6:$D$305,$B176,'8 Fudo Ventas'!$C$6:$C$305,$A176))</f>
        <v/>
      </c>
      <c r="F176" s="80">
        <f>IF($B176="","",SUMIFS('8 Fudo Consumos'!$D$6:$D$255,'8 Fudo Consumos'!$B$6:$B$255,$B176,'8 Fudo Consumos'!$C$6:$C$255,$A176))</f>
        <v/>
      </c>
      <c r="G176" s="79">
        <f>'4 Prod Sandwiches'!$R12</f>
        <v/>
      </c>
      <c r="H176" s="80">
        <f>IF($B176="","",SUMIFS('5 Descartes'!$D$6:$D$205,'5 Descartes'!$C$6:$C$205,$B176,'5 Descartes'!$B$6:$B$205,$A176))</f>
        <v/>
      </c>
      <c r="I176" s="80">
        <f>IF($B176="","",$G176-$H176)</f>
        <v/>
      </c>
      <c r="J176" s="81">
        <f>IF($B176="","",$D176-$E176-$F176-$G176)</f>
        <v/>
      </c>
      <c r="K176" s="71">
        <f>IF(OR($B176="",$D176=0),"",$J176/$D176)</f>
        <v/>
      </c>
      <c r="L176" s="75">
        <f>IF($B176="","",IF($D176=0,"Sin produccion registrada",IF($E176=0,"Sin ventas mapeadas en Fudo",IF(AND($K176&lt;&gt;"",ABS($K176)&gt;Config!$B$48),IF($J176&gt;0,"Salida sin explicar: consumo no registrado o faltante","Se vendio mas de lo elaborado: revisar stock previo"),IF($I176&lt;&gt;0,"Hay descarte sin detallar en la planilla 5","OK")))))</f>
        <v/>
      </c>
      <c r="M176" s="76">
        <f>IF($K176="","",ABS($K176)+ROW()/1000000)</f>
        <v/>
      </c>
    </row>
    <row r="177">
      <c r="A177" s="31" t="inlineStr">
        <is>
          <t>Sandwiches</t>
        </is>
      </c>
      <c r="B177" s="82">
        <f>IF('4 Prod Sandwiches'!$A13="","",'4 Prod Sandwiches'!$A13)</f>
        <v/>
      </c>
      <c r="C177" s="45">
        <f>IF('4 Prod Sandwiches'!$B13="","",'4 Prod Sandwiches'!$B13)</f>
        <v/>
      </c>
      <c r="D177" s="79">
        <f>'4 Prod Sandwiches'!$Q13</f>
        <v/>
      </c>
      <c r="E177" s="80">
        <f>IF($B177="","",SUMIFS('8 Fudo Ventas'!$B$6:$B$305,'8 Fudo Ventas'!$D$6:$D$305,$B177,'8 Fudo Ventas'!$C$6:$C$305,$A177))</f>
        <v/>
      </c>
      <c r="F177" s="80">
        <f>IF($B177="","",SUMIFS('8 Fudo Consumos'!$D$6:$D$255,'8 Fudo Consumos'!$B$6:$B$255,$B177,'8 Fudo Consumos'!$C$6:$C$255,$A177))</f>
        <v/>
      </c>
      <c r="G177" s="79">
        <f>'4 Prod Sandwiches'!$R13</f>
        <v/>
      </c>
      <c r="H177" s="80">
        <f>IF($B177="","",SUMIFS('5 Descartes'!$D$6:$D$205,'5 Descartes'!$C$6:$C$205,$B177,'5 Descartes'!$B$6:$B$205,$A177))</f>
        <v/>
      </c>
      <c r="I177" s="80">
        <f>IF($B177="","",$G177-$H177)</f>
        <v/>
      </c>
      <c r="J177" s="81">
        <f>IF($B177="","",$D177-$E177-$F177-$G177)</f>
        <v/>
      </c>
      <c r="K177" s="71">
        <f>IF(OR($B177="",$D177=0),"",$J177/$D177)</f>
        <v/>
      </c>
      <c r="L177" s="75">
        <f>IF($B177="","",IF($D177=0,"Sin produccion registrada",IF($E177=0,"Sin ventas mapeadas en Fudo",IF(AND($K177&lt;&gt;"",ABS($K177)&gt;Config!$B$48),IF($J177&gt;0,"Salida sin explicar: consumo no registrado o faltante","Se vendio mas de lo elaborado: revisar stock previo"),IF($I177&lt;&gt;0,"Hay descarte sin detallar en la planilla 5","OK")))))</f>
        <v/>
      </c>
      <c r="M177" s="76">
        <f>IF($K177="","",ABS($K177)+ROW()/1000000)</f>
        <v/>
      </c>
    </row>
    <row r="178">
      <c r="A178" s="27" t="inlineStr">
        <is>
          <t>Sandwiches</t>
        </is>
      </c>
      <c r="B178" s="23">
        <f>IF('4 Prod Sandwiches'!$A14="","",'4 Prod Sandwiches'!$A14)</f>
        <v/>
      </c>
      <c r="C178" s="40">
        <f>IF('4 Prod Sandwiches'!$B14="","",'4 Prod Sandwiches'!$B14)</f>
        <v/>
      </c>
      <c r="D178" s="79">
        <f>'4 Prod Sandwiches'!$Q14</f>
        <v/>
      </c>
      <c r="E178" s="80">
        <f>IF($B178="","",SUMIFS('8 Fudo Ventas'!$B$6:$B$305,'8 Fudo Ventas'!$D$6:$D$305,$B178,'8 Fudo Ventas'!$C$6:$C$305,$A178))</f>
        <v/>
      </c>
      <c r="F178" s="80">
        <f>IF($B178="","",SUMIFS('8 Fudo Consumos'!$D$6:$D$255,'8 Fudo Consumos'!$B$6:$B$255,$B178,'8 Fudo Consumos'!$C$6:$C$255,$A178))</f>
        <v/>
      </c>
      <c r="G178" s="79">
        <f>'4 Prod Sandwiches'!$R14</f>
        <v/>
      </c>
      <c r="H178" s="80">
        <f>IF($B178="","",SUMIFS('5 Descartes'!$D$6:$D$205,'5 Descartes'!$C$6:$C$205,$B178,'5 Descartes'!$B$6:$B$205,$A178))</f>
        <v/>
      </c>
      <c r="I178" s="80">
        <f>IF($B178="","",$G178-$H178)</f>
        <v/>
      </c>
      <c r="J178" s="81">
        <f>IF($B178="","",$D178-$E178-$F178-$G178)</f>
        <v/>
      </c>
      <c r="K178" s="71">
        <f>IF(OR($B178="",$D178=0),"",$J178/$D178)</f>
        <v/>
      </c>
      <c r="L178" s="75">
        <f>IF($B178="","",IF($D178=0,"Sin produccion registrada",IF($E178=0,"Sin ventas mapeadas en Fudo",IF(AND($K178&lt;&gt;"",ABS($K178)&gt;Config!$B$48),IF($J178&gt;0,"Salida sin explicar: consumo no registrado o faltante","Se vendio mas de lo elaborado: revisar stock previo"),IF($I178&lt;&gt;0,"Hay descarte sin detallar en la planilla 5","OK")))))</f>
        <v/>
      </c>
      <c r="M178" s="76">
        <f>IF($K178="","",ABS($K178)+ROW()/1000000)</f>
        <v/>
      </c>
    </row>
    <row r="179">
      <c r="A179" s="31" t="inlineStr">
        <is>
          <t>Sandwiches</t>
        </is>
      </c>
      <c r="B179" s="82">
        <f>IF('4 Prod Sandwiches'!$A15="","",'4 Prod Sandwiches'!$A15)</f>
        <v/>
      </c>
      <c r="C179" s="45">
        <f>IF('4 Prod Sandwiches'!$B15="","",'4 Prod Sandwiches'!$B15)</f>
        <v/>
      </c>
      <c r="D179" s="79">
        <f>'4 Prod Sandwiches'!$Q15</f>
        <v/>
      </c>
      <c r="E179" s="80">
        <f>IF($B179="","",SUMIFS('8 Fudo Ventas'!$B$6:$B$305,'8 Fudo Ventas'!$D$6:$D$305,$B179,'8 Fudo Ventas'!$C$6:$C$305,$A179))</f>
        <v/>
      </c>
      <c r="F179" s="80">
        <f>IF($B179="","",SUMIFS('8 Fudo Consumos'!$D$6:$D$255,'8 Fudo Consumos'!$B$6:$B$255,$B179,'8 Fudo Consumos'!$C$6:$C$255,$A179))</f>
        <v/>
      </c>
      <c r="G179" s="79">
        <f>'4 Prod Sandwiches'!$R15</f>
        <v/>
      </c>
      <c r="H179" s="80">
        <f>IF($B179="","",SUMIFS('5 Descartes'!$D$6:$D$205,'5 Descartes'!$C$6:$C$205,$B179,'5 Descartes'!$B$6:$B$205,$A179))</f>
        <v/>
      </c>
      <c r="I179" s="80">
        <f>IF($B179="","",$G179-$H179)</f>
        <v/>
      </c>
      <c r="J179" s="81">
        <f>IF($B179="","",$D179-$E179-$F179-$G179)</f>
        <v/>
      </c>
      <c r="K179" s="71">
        <f>IF(OR($B179="",$D179=0),"",$J179/$D179)</f>
        <v/>
      </c>
      <c r="L179" s="75">
        <f>IF($B179="","",IF($D179=0,"Sin produccion registrada",IF($E179=0,"Sin ventas mapeadas en Fudo",IF(AND($K179&lt;&gt;"",ABS($K179)&gt;Config!$B$48),IF($J179&gt;0,"Salida sin explicar: consumo no registrado o faltante","Se vendio mas de lo elaborado: revisar stock previo"),IF($I179&lt;&gt;0,"Hay descarte sin detallar en la planilla 5","OK")))))</f>
        <v/>
      </c>
      <c r="M179" s="76">
        <f>IF($K179="","",ABS($K179)+ROW()/1000000)</f>
        <v/>
      </c>
    </row>
    <row r="180">
      <c r="A180" s="27" t="inlineStr">
        <is>
          <t>Sandwiches</t>
        </is>
      </c>
      <c r="B180" s="23">
        <f>IF('4 Prod Sandwiches'!$A16="","",'4 Prod Sandwiches'!$A16)</f>
        <v/>
      </c>
      <c r="C180" s="40">
        <f>IF('4 Prod Sandwiches'!$B16="","",'4 Prod Sandwiches'!$B16)</f>
        <v/>
      </c>
      <c r="D180" s="79">
        <f>'4 Prod Sandwiches'!$Q16</f>
        <v/>
      </c>
      <c r="E180" s="80">
        <f>IF($B180="","",SUMIFS('8 Fudo Ventas'!$B$6:$B$305,'8 Fudo Ventas'!$D$6:$D$305,$B180,'8 Fudo Ventas'!$C$6:$C$305,$A180))</f>
        <v/>
      </c>
      <c r="F180" s="80">
        <f>IF($B180="","",SUMIFS('8 Fudo Consumos'!$D$6:$D$255,'8 Fudo Consumos'!$B$6:$B$255,$B180,'8 Fudo Consumos'!$C$6:$C$255,$A180))</f>
        <v/>
      </c>
      <c r="G180" s="79">
        <f>'4 Prod Sandwiches'!$R16</f>
        <v/>
      </c>
      <c r="H180" s="80">
        <f>IF($B180="","",SUMIFS('5 Descartes'!$D$6:$D$205,'5 Descartes'!$C$6:$C$205,$B180,'5 Descartes'!$B$6:$B$205,$A180))</f>
        <v/>
      </c>
      <c r="I180" s="80">
        <f>IF($B180="","",$G180-$H180)</f>
        <v/>
      </c>
      <c r="J180" s="81">
        <f>IF($B180="","",$D180-$E180-$F180-$G180)</f>
        <v/>
      </c>
      <c r="K180" s="71">
        <f>IF(OR($B180="",$D180=0),"",$J180/$D180)</f>
        <v/>
      </c>
      <c r="L180" s="75">
        <f>IF($B180="","",IF($D180=0,"Sin produccion registrada",IF($E180=0,"Sin ventas mapeadas en Fudo",IF(AND($K180&lt;&gt;"",ABS($K180)&gt;Config!$B$48),IF($J180&gt;0,"Salida sin explicar: consumo no registrado o faltante","Se vendio mas de lo elaborado: revisar stock previo"),IF($I180&lt;&gt;0,"Hay descarte sin detallar en la planilla 5","OK")))))</f>
        <v/>
      </c>
      <c r="M180" s="76">
        <f>IF($K180="","",ABS($K180)+ROW()/1000000)</f>
        <v/>
      </c>
    </row>
    <row r="181">
      <c r="A181" s="31" t="inlineStr">
        <is>
          <t>Sandwiches</t>
        </is>
      </c>
      <c r="B181" s="82">
        <f>IF('4 Prod Sandwiches'!$A17="","",'4 Prod Sandwiches'!$A17)</f>
        <v/>
      </c>
      <c r="C181" s="45">
        <f>IF('4 Prod Sandwiches'!$B17="","",'4 Prod Sandwiches'!$B17)</f>
        <v/>
      </c>
      <c r="D181" s="79">
        <f>'4 Prod Sandwiches'!$Q17</f>
        <v/>
      </c>
      <c r="E181" s="80">
        <f>IF($B181="","",SUMIFS('8 Fudo Ventas'!$B$6:$B$305,'8 Fudo Ventas'!$D$6:$D$305,$B181,'8 Fudo Ventas'!$C$6:$C$305,$A181))</f>
        <v/>
      </c>
      <c r="F181" s="80">
        <f>IF($B181="","",SUMIFS('8 Fudo Consumos'!$D$6:$D$255,'8 Fudo Consumos'!$B$6:$B$255,$B181,'8 Fudo Consumos'!$C$6:$C$255,$A181))</f>
        <v/>
      </c>
      <c r="G181" s="79">
        <f>'4 Prod Sandwiches'!$R17</f>
        <v/>
      </c>
      <c r="H181" s="80">
        <f>IF($B181="","",SUMIFS('5 Descartes'!$D$6:$D$205,'5 Descartes'!$C$6:$C$205,$B181,'5 Descartes'!$B$6:$B$205,$A181))</f>
        <v/>
      </c>
      <c r="I181" s="80">
        <f>IF($B181="","",$G181-$H181)</f>
        <v/>
      </c>
      <c r="J181" s="81">
        <f>IF($B181="","",$D181-$E181-$F181-$G181)</f>
        <v/>
      </c>
      <c r="K181" s="71">
        <f>IF(OR($B181="",$D181=0),"",$J181/$D181)</f>
        <v/>
      </c>
      <c r="L181" s="75">
        <f>IF($B181="","",IF($D181=0,"Sin produccion registrada",IF($E181=0,"Sin ventas mapeadas en Fudo",IF(AND($K181&lt;&gt;"",ABS($K181)&gt;Config!$B$48),IF($J181&gt;0,"Salida sin explicar: consumo no registrado o faltante","Se vendio mas de lo elaborado: revisar stock previo"),IF($I181&lt;&gt;0,"Hay descarte sin detallar en la planilla 5","OK")))))</f>
        <v/>
      </c>
      <c r="M181" s="76">
        <f>IF($K181="","",ABS($K181)+ROW()/1000000)</f>
        <v/>
      </c>
    </row>
    <row r="182">
      <c r="A182" s="27" t="inlineStr">
        <is>
          <t>Sandwiches</t>
        </is>
      </c>
      <c r="B182" s="23">
        <f>IF('4 Prod Sandwiches'!$A18="","",'4 Prod Sandwiches'!$A18)</f>
        <v/>
      </c>
      <c r="C182" s="40">
        <f>IF('4 Prod Sandwiches'!$B18="","",'4 Prod Sandwiches'!$B18)</f>
        <v/>
      </c>
      <c r="D182" s="79">
        <f>'4 Prod Sandwiches'!$Q18</f>
        <v/>
      </c>
      <c r="E182" s="80">
        <f>IF($B182="","",SUMIFS('8 Fudo Ventas'!$B$6:$B$305,'8 Fudo Ventas'!$D$6:$D$305,$B182,'8 Fudo Ventas'!$C$6:$C$305,$A182))</f>
        <v/>
      </c>
      <c r="F182" s="80">
        <f>IF($B182="","",SUMIFS('8 Fudo Consumos'!$D$6:$D$255,'8 Fudo Consumos'!$B$6:$B$255,$B182,'8 Fudo Consumos'!$C$6:$C$255,$A182))</f>
        <v/>
      </c>
      <c r="G182" s="79">
        <f>'4 Prod Sandwiches'!$R18</f>
        <v/>
      </c>
      <c r="H182" s="80">
        <f>IF($B182="","",SUMIFS('5 Descartes'!$D$6:$D$205,'5 Descartes'!$C$6:$C$205,$B182,'5 Descartes'!$B$6:$B$205,$A182))</f>
        <v/>
      </c>
      <c r="I182" s="80">
        <f>IF($B182="","",$G182-$H182)</f>
        <v/>
      </c>
      <c r="J182" s="81">
        <f>IF($B182="","",$D182-$E182-$F182-$G182)</f>
        <v/>
      </c>
      <c r="K182" s="71">
        <f>IF(OR($B182="",$D182=0),"",$J182/$D182)</f>
        <v/>
      </c>
      <c r="L182" s="75">
        <f>IF($B182="","",IF($D182=0,"Sin produccion registrada",IF($E182=0,"Sin ventas mapeadas en Fudo",IF(AND($K182&lt;&gt;"",ABS($K182)&gt;Config!$B$48),IF($J182&gt;0,"Salida sin explicar: consumo no registrado o faltante","Se vendio mas de lo elaborado: revisar stock previo"),IF($I182&lt;&gt;0,"Hay descarte sin detallar en la planilla 5","OK")))))</f>
        <v/>
      </c>
      <c r="M182" s="76">
        <f>IF($K182="","",ABS($K182)+ROW()/1000000)</f>
        <v/>
      </c>
    </row>
    <row r="183">
      <c r="A183" s="31" t="inlineStr">
        <is>
          <t>Sandwiches</t>
        </is>
      </c>
      <c r="B183" s="82">
        <f>IF('4 Prod Sandwiches'!$A19="","",'4 Prod Sandwiches'!$A19)</f>
        <v/>
      </c>
      <c r="C183" s="45">
        <f>IF('4 Prod Sandwiches'!$B19="","",'4 Prod Sandwiches'!$B19)</f>
        <v/>
      </c>
      <c r="D183" s="79">
        <f>'4 Prod Sandwiches'!$Q19</f>
        <v/>
      </c>
      <c r="E183" s="80">
        <f>IF($B183="","",SUMIFS('8 Fudo Ventas'!$B$6:$B$305,'8 Fudo Ventas'!$D$6:$D$305,$B183,'8 Fudo Ventas'!$C$6:$C$305,$A183))</f>
        <v/>
      </c>
      <c r="F183" s="80">
        <f>IF($B183="","",SUMIFS('8 Fudo Consumos'!$D$6:$D$255,'8 Fudo Consumos'!$B$6:$B$255,$B183,'8 Fudo Consumos'!$C$6:$C$255,$A183))</f>
        <v/>
      </c>
      <c r="G183" s="79">
        <f>'4 Prod Sandwiches'!$R19</f>
        <v/>
      </c>
      <c r="H183" s="80">
        <f>IF($B183="","",SUMIFS('5 Descartes'!$D$6:$D$205,'5 Descartes'!$C$6:$C$205,$B183,'5 Descartes'!$B$6:$B$205,$A183))</f>
        <v/>
      </c>
      <c r="I183" s="80">
        <f>IF($B183="","",$G183-$H183)</f>
        <v/>
      </c>
      <c r="J183" s="81">
        <f>IF($B183="","",$D183-$E183-$F183-$G183)</f>
        <v/>
      </c>
      <c r="K183" s="71">
        <f>IF(OR($B183="",$D183=0),"",$J183/$D183)</f>
        <v/>
      </c>
      <c r="L183" s="75">
        <f>IF($B183="","",IF($D183=0,"Sin produccion registrada",IF($E183=0,"Sin ventas mapeadas en Fudo",IF(AND($K183&lt;&gt;"",ABS($K183)&gt;Config!$B$48),IF($J183&gt;0,"Salida sin explicar: consumo no registrado o faltante","Se vendio mas de lo elaborado: revisar stock previo"),IF($I183&lt;&gt;0,"Hay descarte sin detallar en la planilla 5","OK")))))</f>
        <v/>
      </c>
      <c r="M183" s="76">
        <f>IF($K183="","",ABS($K183)+ROW()/1000000)</f>
        <v/>
      </c>
    </row>
    <row r="184">
      <c r="A184" s="27" t="inlineStr">
        <is>
          <t>Sandwiches</t>
        </is>
      </c>
      <c r="B184" s="23">
        <f>IF('4 Prod Sandwiches'!$A20="","",'4 Prod Sandwiches'!$A20)</f>
        <v/>
      </c>
      <c r="C184" s="40">
        <f>IF('4 Prod Sandwiches'!$B20="","",'4 Prod Sandwiches'!$B20)</f>
        <v/>
      </c>
      <c r="D184" s="79">
        <f>'4 Prod Sandwiches'!$Q20</f>
        <v/>
      </c>
      <c r="E184" s="80">
        <f>IF($B184="","",SUMIFS('8 Fudo Ventas'!$B$6:$B$305,'8 Fudo Ventas'!$D$6:$D$305,$B184,'8 Fudo Ventas'!$C$6:$C$305,$A184))</f>
        <v/>
      </c>
      <c r="F184" s="80">
        <f>IF($B184="","",SUMIFS('8 Fudo Consumos'!$D$6:$D$255,'8 Fudo Consumos'!$B$6:$B$255,$B184,'8 Fudo Consumos'!$C$6:$C$255,$A184))</f>
        <v/>
      </c>
      <c r="G184" s="79">
        <f>'4 Prod Sandwiches'!$R20</f>
        <v/>
      </c>
      <c r="H184" s="80">
        <f>IF($B184="","",SUMIFS('5 Descartes'!$D$6:$D$205,'5 Descartes'!$C$6:$C$205,$B184,'5 Descartes'!$B$6:$B$205,$A184))</f>
        <v/>
      </c>
      <c r="I184" s="80">
        <f>IF($B184="","",$G184-$H184)</f>
        <v/>
      </c>
      <c r="J184" s="81">
        <f>IF($B184="","",$D184-$E184-$F184-$G184)</f>
        <v/>
      </c>
      <c r="K184" s="71">
        <f>IF(OR($B184="",$D184=0),"",$J184/$D184)</f>
        <v/>
      </c>
      <c r="L184" s="75">
        <f>IF($B184="","",IF($D184=0,"Sin produccion registrada",IF($E184=0,"Sin ventas mapeadas en Fudo",IF(AND($K184&lt;&gt;"",ABS($K184)&gt;Config!$B$48),IF($J184&gt;0,"Salida sin explicar: consumo no registrado o faltante","Se vendio mas de lo elaborado: revisar stock previo"),IF($I184&lt;&gt;0,"Hay descarte sin detallar en la planilla 5","OK")))))</f>
        <v/>
      </c>
      <c r="M184" s="76">
        <f>IF($K184="","",ABS($K184)+ROW()/1000000)</f>
        <v/>
      </c>
    </row>
    <row r="185">
      <c r="A185" s="31" t="inlineStr">
        <is>
          <t>Sandwiches</t>
        </is>
      </c>
      <c r="B185" s="82">
        <f>IF('4 Prod Sandwiches'!$A21="","",'4 Prod Sandwiches'!$A21)</f>
        <v/>
      </c>
      <c r="C185" s="45">
        <f>IF('4 Prod Sandwiches'!$B21="","",'4 Prod Sandwiches'!$B21)</f>
        <v/>
      </c>
      <c r="D185" s="79">
        <f>'4 Prod Sandwiches'!$Q21</f>
        <v/>
      </c>
      <c r="E185" s="80">
        <f>IF($B185="","",SUMIFS('8 Fudo Ventas'!$B$6:$B$305,'8 Fudo Ventas'!$D$6:$D$305,$B185,'8 Fudo Ventas'!$C$6:$C$305,$A185))</f>
        <v/>
      </c>
      <c r="F185" s="80">
        <f>IF($B185="","",SUMIFS('8 Fudo Consumos'!$D$6:$D$255,'8 Fudo Consumos'!$B$6:$B$255,$B185,'8 Fudo Consumos'!$C$6:$C$255,$A185))</f>
        <v/>
      </c>
      <c r="G185" s="79">
        <f>'4 Prod Sandwiches'!$R21</f>
        <v/>
      </c>
      <c r="H185" s="80">
        <f>IF($B185="","",SUMIFS('5 Descartes'!$D$6:$D$205,'5 Descartes'!$C$6:$C$205,$B185,'5 Descartes'!$B$6:$B$205,$A185))</f>
        <v/>
      </c>
      <c r="I185" s="80">
        <f>IF($B185="","",$G185-$H185)</f>
        <v/>
      </c>
      <c r="J185" s="81">
        <f>IF($B185="","",$D185-$E185-$F185-$G185)</f>
        <v/>
      </c>
      <c r="K185" s="71">
        <f>IF(OR($B185="",$D185=0),"",$J185/$D185)</f>
        <v/>
      </c>
      <c r="L185" s="75">
        <f>IF($B185="","",IF($D185=0,"Sin produccion registrada",IF($E185=0,"Sin ventas mapeadas en Fudo",IF(AND($K185&lt;&gt;"",ABS($K185)&gt;Config!$B$48),IF($J185&gt;0,"Salida sin explicar: consumo no registrado o faltante","Se vendio mas de lo elaborado: revisar stock previo"),IF($I185&lt;&gt;0,"Hay descarte sin detallar en la planilla 5","OK")))))</f>
        <v/>
      </c>
      <c r="M185" s="76">
        <f>IF($K185="","",ABS($K185)+ROW()/1000000)</f>
        <v/>
      </c>
    </row>
    <row r="186">
      <c r="A186" s="27" t="inlineStr">
        <is>
          <t>Sandwiches</t>
        </is>
      </c>
      <c r="B186" s="23">
        <f>IF('4 Prod Sandwiches'!$A22="","",'4 Prod Sandwiches'!$A22)</f>
        <v/>
      </c>
      <c r="C186" s="40">
        <f>IF('4 Prod Sandwiches'!$B22="","",'4 Prod Sandwiches'!$B22)</f>
        <v/>
      </c>
      <c r="D186" s="79">
        <f>'4 Prod Sandwiches'!$Q22</f>
        <v/>
      </c>
      <c r="E186" s="80">
        <f>IF($B186="","",SUMIFS('8 Fudo Ventas'!$B$6:$B$305,'8 Fudo Ventas'!$D$6:$D$305,$B186,'8 Fudo Ventas'!$C$6:$C$305,$A186))</f>
        <v/>
      </c>
      <c r="F186" s="80">
        <f>IF($B186="","",SUMIFS('8 Fudo Consumos'!$D$6:$D$255,'8 Fudo Consumos'!$B$6:$B$255,$B186,'8 Fudo Consumos'!$C$6:$C$255,$A186))</f>
        <v/>
      </c>
      <c r="G186" s="79">
        <f>'4 Prod Sandwiches'!$R22</f>
        <v/>
      </c>
      <c r="H186" s="80">
        <f>IF($B186="","",SUMIFS('5 Descartes'!$D$6:$D$205,'5 Descartes'!$C$6:$C$205,$B186,'5 Descartes'!$B$6:$B$205,$A186))</f>
        <v/>
      </c>
      <c r="I186" s="80">
        <f>IF($B186="","",$G186-$H186)</f>
        <v/>
      </c>
      <c r="J186" s="81">
        <f>IF($B186="","",$D186-$E186-$F186-$G186)</f>
        <v/>
      </c>
      <c r="K186" s="71">
        <f>IF(OR($B186="",$D186=0),"",$J186/$D186)</f>
        <v/>
      </c>
      <c r="L186" s="75">
        <f>IF($B186="","",IF($D186=0,"Sin produccion registrada",IF($E186=0,"Sin ventas mapeadas en Fudo",IF(AND($K186&lt;&gt;"",ABS($K186)&gt;Config!$B$48),IF($J186&gt;0,"Salida sin explicar: consumo no registrado o faltante","Se vendio mas de lo elaborado: revisar stock previo"),IF($I186&lt;&gt;0,"Hay descarte sin detallar en la planilla 5","OK")))))</f>
        <v/>
      </c>
      <c r="M186" s="76">
        <f>IF($K186="","",ABS($K186)+ROW()/1000000)</f>
        <v/>
      </c>
    </row>
    <row r="187">
      <c r="A187" s="31" t="inlineStr">
        <is>
          <t>Cocina San Luis</t>
        </is>
      </c>
      <c r="B187" s="82">
        <f>IF('4 Prod Cocina SL'!$A6="","",'4 Prod Cocina SL'!$A6)</f>
        <v/>
      </c>
      <c r="C187" s="45">
        <f>IF('4 Prod Cocina SL'!$B6="","",'4 Prod Cocina SL'!$B6)</f>
        <v/>
      </c>
      <c r="D187" s="79">
        <f>'4 Prod Cocina SL'!$Q6</f>
        <v/>
      </c>
      <c r="E187" s="80">
        <f>IF($B187="","",SUMIFS('8 Fudo Ventas'!$B$6:$B$305,'8 Fudo Ventas'!$D$6:$D$305,$B187,'8 Fudo Ventas'!$C$6:$C$305,$A187))</f>
        <v/>
      </c>
      <c r="F187" s="80">
        <f>IF($B187="","",SUMIFS('8 Fudo Consumos'!$D$6:$D$255,'8 Fudo Consumos'!$B$6:$B$255,$B187,'8 Fudo Consumos'!$C$6:$C$255,$A187))</f>
        <v/>
      </c>
      <c r="G187" s="79">
        <f>'4 Prod Cocina SL'!$R6</f>
        <v/>
      </c>
      <c r="H187" s="80">
        <f>IF($B187="","",SUMIFS('5 Descartes'!$D$6:$D$205,'5 Descartes'!$C$6:$C$205,$B187,'5 Descartes'!$B$6:$B$205,$A187))</f>
        <v/>
      </c>
      <c r="I187" s="80">
        <f>IF($B187="","",$G187-$H187)</f>
        <v/>
      </c>
      <c r="J187" s="81">
        <f>IF($B187="","",$D187-$E187-$F187-$G187)</f>
        <v/>
      </c>
      <c r="K187" s="71">
        <f>IF(OR($B187="",$D187=0),"",$J187/$D187)</f>
        <v/>
      </c>
      <c r="L187" s="75">
        <f>IF($B187="","",IF($D187=0,"Sin produccion registrada",IF($E187=0,"Sin ventas mapeadas en Fudo",IF(AND($K187&lt;&gt;"",ABS($K187)&gt;Config!$B$48),IF($J187&gt;0,"Salida sin explicar: consumo no registrado o faltante","Se vendio mas de lo elaborado: revisar stock previo"),IF($I187&lt;&gt;0,"Hay descarte sin detallar en la planilla 5","OK")))))</f>
        <v/>
      </c>
      <c r="M187" s="76">
        <f>IF($K187="","",ABS($K187)+ROW()/1000000)</f>
        <v/>
      </c>
    </row>
    <row r="188">
      <c r="A188" s="27" t="inlineStr">
        <is>
          <t>Cocina San Luis</t>
        </is>
      </c>
      <c r="B188" s="23">
        <f>IF('4 Prod Cocina SL'!$A7="","",'4 Prod Cocina SL'!$A7)</f>
        <v/>
      </c>
      <c r="C188" s="40">
        <f>IF('4 Prod Cocina SL'!$B7="","",'4 Prod Cocina SL'!$B7)</f>
        <v/>
      </c>
      <c r="D188" s="79">
        <f>'4 Prod Cocina SL'!$Q7</f>
        <v/>
      </c>
      <c r="E188" s="80">
        <f>IF($B188="","",SUMIFS('8 Fudo Ventas'!$B$6:$B$305,'8 Fudo Ventas'!$D$6:$D$305,$B188,'8 Fudo Ventas'!$C$6:$C$305,$A188))</f>
        <v/>
      </c>
      <c r="F188" s="80">
        <f>IF($B188="","",SUMIFS('8 Fudo Consumos'!$D$6:$D$255,'8 Fudo Consumos'!$B$6:$B$255,$B188,'8 Fudo Consumos'!$C$6:$C$255,$A188))</f>
        <v/>
      </c>
      <c r="G188" s="79">
        <f>'4 Prod Cocina SL'!$R7</f>
        <v/>
      </c>
      <c r="H188" s="80">
        <f>IF($B188="","",SUMIFS('5 Descartes'!$D$6:$D$205,'5 Descartes'!$C$6:$C$205,$B188,'5 Descartes'!$B$6:$B$205,$A188))</f>
        <v/>
      </c>
      <c r="I188" s="80">
        <f>IF($B188="","",$G188-$H188)</f>
        <v/>
      </c>
      <c r="J188" s="81">
        <f>IF($B188="","",$D188-$E188-$F188-$G188)</f>
        <v/>
      </c>
      <c r="K188" s="71">
        <f>IF(OR($B188="",$D188=0),"",$J188/$D188)</f>
        <v/>
      </c>
      <c r="L188" s="75">
        <f>IF($B188="","",IF($D188=0,"Sin produccion registrada",IF($E188=0,"Sin ventas mapeadas en Fudo",IF(AND($K188&lt;&gt;"",ABS($K188)&gt;Config!$B$48),IF($J188&gt;0,"Salida sin explicar: consumo no registrado o faltante","Se vendio mas de lo elaborado: revisar stock previo"),IF($I188&lt;&gt;0,"Hay descarte sin detallar en la planilla 5","OK")))))</f>
        <v/>
      </c>
      <c r="M188" s="76">
        <f>IF($K188="","",ABS($K188)+ROW()/1000000)</f>
        <v/>
      </c>
    </row>
    <row r="189">
      <c r="A189" s="31" t="inlineStr">
        <is>
          <t>Cocina San Luis</t>
        </is>
      </c>
      <c r="B189" s="82">
        <f>IF('4 Prod Cocina SL'!$A8="","",'4 Prod Cocina SL'!$A8)</f>
        <v/>
      </c>
      <c r="C189" s="45">
        <f>IF('4 Prod Cocina SL'!$B8="","",'4 Prod Cocina SL'!$B8)</f>
        <v/>
      </c>
      <c r="D189" s="79">
        <f>'4 Prod Cocina SL'!$Q8</f>
        <v/>
      </c>
      <c r="E189" s="80">
        <f>IF($B189="","",SUMIFS('8 Fudo Ventas'!$B$6:$B$305,'8 Fudo Ventas'!$D$6:$D$305,$B189,'8 Fudo Ventas'!$C$6:$C$305,$A189))</f>
        <v/>
      </c>
      <c r="F189" s="80">
        <f>IF($B189="","",SUMIFS('8 Fudo Consumos'!$D$6:$D$255,'8 Fudo Consumos'!$B$6:$B$255,$B189,'8 Fudo Consumos'!$C$6:$C$255,$A189))</f>
        <v/>
      </c>
      <c r="G189" s="79">
        <f>'4 Prod Cocina SL'!$R8</f>
        <v/>
      </c>
      <c r="H189" s="80">
        <f>IF($B189="","",SUMIFS('5 Descartes'!$D$6:$D$205,'5 Descartes'!$C$6:$C$205,$B189,'5 Descartes'!$B$6:$B$205,$A189))</f>
        <v/>
      </c>
      <c r="I189" s="80">
        <f>IF($B189="","",$G189-$H189)</f>
        <v/>
      </c>
      <c r="J189" s="81">
        <f>IF($B189="","",$D189-$E189-$F189-$G189)</f>
        <v/>
      </c>
      <c r="K189" s="71">
        <f>IF(OR($B189="",$D189=0),"",$J189/$D189)</f>
        <v/>
      </c>
      <c r="L189" s="75">
        <f>IF($B189="","",IF($D189=0,"Sin produccion registrada",IF($E189=0,"Sin ventas mapeadas en Fudo",IF(AND($K189&lt;&gt;"",ABS($K189)&gt;Config!$B$48),IF($J189&gt;0,"Salida sin explicar: consumo no registrado o faltante","Se vendio mas de lo elaborado: revisar stock previo"),IF($I189&lt;&gt;0,"Hay descarte sin detallar en la planilla 5","OK")))))</f>
        <v/>
      </c>
      <c r="M189" s="76">
        <f>IF($K189="","",ABS($K189)+ROW()/1000000)</f>
        <v/>
      </c>
    </row>
    <row r="190">
      <c r="A190" s="27" t="inlineStr">
        <is>
          <t>Cocina San Luis</t>
        </is>
      </c>
      <c r="B190" s="23">
        <f>IF('4 Prod Cocina SL'!$A9="","",'4 Prod Cocina SL'!$A9)</f>
        <v/>
      </c>
      <c r="C190" s="40">
        <f>IF('4 Prod Cocina SL'!$B9="","",'4 Prod Cocina SL'!$B9)</f>
        <v/>
      </c>
      <c r="D190" s="79">
        <f>'4 Prod Cocina SL'!$Q9</f>
        <v/>
      </c>
      <c r="E190" s="80">
        <f>IF($B190="","",SUMIFS('8 Fudo Ventas'!$B$6:$B$305,'8 Fudo Ventas'!$D$6:$D$305,$B190,'8 Fudo Ventas'!$C$6:$C$305,$A190))</f>
        <v/>
      </c>
      <c r="F190" s="80">
        <f>IF($B190="","",SUMIFS('8 Fudo Consumos'!$D$6:$D$255,'8 Fudo Consumos'!$B$6:$B$255,$B190,'8 Fudo Consumos'!$C$6:$C$255,$A190))</f>
        <v/>
      </c>
      <c r="G190" s="79">
        <f>'4 Prod Cocina SL'!$R9</f>
        <v/>
      </c>
      <c r="H190" s="80">
        <f>IF($B190="","",SUMIFS('5 Descartes'!$D$6:$D$205,'5 Descartes'!$C$6:$C$205,$B190,'5 Descartes'!$B$6:$B$205,$A190))</f>
        <v/>
      </c>
      <c r="I190" s="80">
        <f>IF($B190="","",$G190-$H190)</f>
        <v/>
      </c>
      <c r="J190" s="81">
        <f>IF($B190="","",$D190-$E190-$F190-$G190)</f>
        <v/>
      </c>
      <c r="K190" s="71">
        <f>IF(OR($B190="",$D190=0),"",$J190/$D190)</f>
        <v/>
      </c>
      <c r="L190" s="75">
        <f>IF($B190="","",IF($D190=0,"Sin produccion registrada",IF($E190=0,"Sin ventas mapeadas en Fudo",IF(AND($K190&lt;&gt;"",ABS($K190)&gt;Config!$B$48),IF($J190&gt;0,"Salida sin explicar: consumo no registrado o faltante","Se vendio mas de lo elaborado: revisar stock previo"),IF($I190&lt;&gt;0,"Hay descarte sin detallar en la planilla 5","OK")))))</f>
        <v/>
      </c>
      <c r="M190" s="76">
        <f>IF($K190="","",ABS($K190)+ROW()/1000000)</f>
        <v/>
      </c>
    </row>
    <row r="191">
      <c r="A191" s="31" t="inlineStr">
        <is>
          <t>Cocina San Luis</t>
        </is>
      </c>
      <c r="B191" s="82">
        <f>IF('4 Prod Cocina SL'!$A10="","",'4 Prod Cocina SL'!$A10)</f>
        <v/>
      </c>
      <c r="C191" s="45">
        <f>IF('4 Prod Cocina SL'!$B10="","",'4 Prod Cocina SL'!$B10)</f>
        <v/>
      </c>
      <c r="D191" s="79">
        <f>'4 Prod Cocina SL'!$Q10</f>
        <v/>
      </c>
      <c r="E191" s="80">
        <f>IF($B191="","",SUMIFS('8 Fudo Ventas'!$B$6:$B$305,'8 Fudo Ventas'!$D$6:$D$305,$B191,'8 Fudo Ventas'!$C$6:$C$305,$A191))</f>
        <v/>
      </c>
      <c r="F191" s="80">
        <f>IF($B191="","",SUMIFS('8 Fudo Consumos'!$D$6:$D$255,'8 Fudo Consumos'!$B$6:$B$255,$B191,'8 Fudo Consumos'!$C$6:$C$255,$A191))</f>
        <v/>
      </c>
      <c r="G191" s="79">
        <f>'4 Prod Cocina SL'!$R10</f>
        <v/>
      </c>
      <c r="H191" s="80">
        <f>IF($B191="","",SUMIFS('5 Descartes'!$D$6:$D$205,'5 Descartes'!$C$6:$C$205,$B191,'5 Descartes'!$B$6:$B$205,$A191))</f>
        <v/>
      </c>
      <c r="I191" s="80">
        <f>IF($B191="","",$G191-$H191)</f>
        <v/>
      </c>
      <c r="J191" s="81">
        <f>IF($B191="","",$D191-$E191-$F191-$G191)</f>
        <v/>
      </c>
      <c r="K191" s="71">
        <f>IF(OR($B191="",$D191=0),"",$J191/$D191)</f>
        <v/>
      </c>
      <c r="L191" s="75">
        <f>IF($B191="","",IF($D191=0,"Sin produccion registrada",IF($E191=0,"Sin ventas mapeadas en Fudo",IF(AND($K191&lt;&gt;"",ABS($K191)&gt;Config!$B$48),IF($J191&gt;0,"Salida sin explicar: consumo no registrado o faltante","Se vendio mas de lo elaborado: revisar stock previo"),IF($I191&lt;&gt;0,"Hay descarte sin detallar en la planilla 5","OK")))))</f>
        <v/>
      </c>
      <c r="M191" s="76">
        <f>IF($K191="","",ABS($K191)+ROW()/1000000)</f>
        <v/>
      </c>
    </row>
    <row r="192">
      <c r="A192" s="27" t="inlineStr">
        <is>
          <t>Cocina San Luis</t>
        </is>
      </c>
      <c r="B192" s="23">
        <f>IF('4 Prod Cocina SL'!$A11="","",'4 Prod Cocina SL'!$A11)</f>
        <v/>
      </c>
      <c r="C192" s="40">
        <f>IF('4 Prod Cocina SL'!$B11="","",'4 Prod Cocina SL'!$B11)</f>
        <v/>
      </c>
      <c r="D192" s="79">
        <f>'4 Prod Cocina SL'!$Q11</f>
        <v/>
      </c>
      <c r="E192" s="80">
        <f>IF($B192="","",SUMIFS('8 Fudo Ventas'!$B$6:$B$305,'8 Fudo Ventas'!$D$6:$D$305,$B192,'8 Fudo Ventas'!$C$6:$C$305,$A192))</f>
        <v/>
      </c>
      <c r="F192" s="80">
        <f>IF($B192="","",SUMIFS('8 Fudo Consumos'!$D$6:$D$255,'8 Fudo Consumos'!$B$6:$B$255,$B192,'8 Fudo Consumos'!$C$6:$C$255,$A192))</f>
        <v/>
      </c>
      <c r="G192" s="79">
        <f>'4 Prod Cocina SL'!$R11</f>
        <v/>
      </c>
      <c r="H192" s="80">
        <f>IF($B192="","",SUMIFS('5 Descartes'!$D$6:$D$205,'5 Descartes'!$C$6:$C$205,$B192,'5 Descartes'!$B$6:$B$205,$A192))</f>
        <v/>
      </c>
      <c r="I192" s="80">
        <f>IF($B192="","",$G192-$H192)</f>
        <v/>
      </c>
      <c r="J192" s="81">
        <f>IF($B192="","",$D192-$E192-$F192-$G192)</f>
        <v/>
      </c>
      <c r="K192" s="71">
        <f>IF(OR($B192="",$D192=0),"",$J192/$D192)</f>
        <v/>
      </c>
      <c r="L192" s="75">
        <f>IF($B192="","",IF($D192=0,"Sin produccion registrada",IF($E192=0,"Sin ventas mapeadas en Fudo",IF(AND($K192&lt;&gt;"",ABS($K192)&gt;Config!$B$48),IF($J192&gt;0,"Salida sin explicar: consumo no registrado o faltante","Se vendio mas de lo elaborado: revisar stock previo"),IF($I192&lt;&gt;0,"Hay descarte sin detallar en la planilla 5","OK")))))</f>
        <v/>
      </c>
      <c r="M192" s="76">
        <f>IF($K192="","",ABS($K192)+ROW()/1000000)</f>
        <v/>
      </c>
    </row>
    <row r="193">
      <c r="A193" s="31" t="inlineStr">
        <is>
          <t>Cocina San Luis</t>
        </is>
      </c>
      <c r="B193" s="82">
        <f>IF('4 Prod Cocina SL'!$A12="","",'4 Prod Cocina SL'!$A12)</f>
        <v/>
      </c>
      <c r="C193" s="45">
        <f>IF('4 Prod Cocina SL'!$B12="","",'4 Prod Cocina SL'!$B12)</f>
        <v/>
      </c>
      <c r="D193" s="79">
        <f>'4 Prod Cocina SL'!$Q12</f>
        <v/>
      </c>
      <c r="E193" s="80">
        <f>IF($B193="","",SUMIFS('8 Fudo Ventas'!$B$6:$B$305,'8 Fudo Ventas'!$D$6:$D$305,$B193,'8 Fudo Ventas'!$C$6:$C$305,$A193))</f>
        <v/>
      </c>
      <c r="F193" s="80">
        <f>IF($B193="","",SUMIFS('8 Fudo Consumos'!$D$6:$D$255,'8 Fudo Consumos'!$B$6:$B$255,$B193,'8 Fudo Consumos'!$C$6:$C$255,$A193))</f>
        <v/>
      </c>
      <c r="G193" s="79">
        <f>'4 Prod Cocina SL'!$R12</f>
        <v/>
      </c>
      <c r="H193" s="80">
        <f>IF($B193="","",SUMIFS('5 Descartes'!$D$6:$D$205,'5 Descartes'!$C$6:$C$205,$B193,'5 Descartes'!$B$6:$B$205,$A193))</f>
        <v/>
      </c>
      <c r="I193" s="80">
        <f>IF($B193="","",$G193-$H193)</f>
        <v/>
      </c>
      <c r="J193" s="81">
        <f>IF($B193="","",$D193-$E193-$F193-$G193)</f>
        <v/>
      </c>
      <c r="K193" s="71">
        <f>IF(OR($B193="",$D193=0),"",$J193/$D193)</f>
        <v/>
      </c>
      <c r="L193" s="75">
        <f>IF($B193="","",IF($D193=0,"Sin produccion registrada",IF($E193=0,"Sin ventas mapeadas en Fudo",IF(AND($K193&lt;&gt;"",ABS($K193)&gt;Config!$B$48),IF($J193&gt;0,"Salida sin explicar: consumo no registrado o faltante","Se vendio mas de lo elaborado: revisar stock previo"),IF($I193&lt;&gt;0,"Hay descarte sin detallar en la planilla 5","OK")))))</f>
        <v/>
      </c>
      <c r="M193" s="76">
        <f>IF($K193="","",ABS($K193)+ROW()/1000000)</f>
        <v/>
      </c>
    </row>
    <row r="194">
      <c r="A194" s="27" t="inlineStr">
        <is>
          <t>Cocina San Luis</t>
        </is>
      </c>
      <c r="B194" s="23">
        <f>IF('4 Prod Cocina SL'!$A13="","",'4 Prod Cocina SL'!$A13)</f>
        <v/>
      </c>
      <c r="C194" s="40">
        <f>IF('4 Prod Cocina SL'!$B13="","",'4 Prod Cocina SL'!$B13)</f>
        <v/>
      </c>
      <c r="D194" s="79">
        <f>'4 Prod Cocina SL'!$Q13</f>
        <v/>
      </c>
      <c r="E194" s="80">
        <f>IF($B194="","",SUMIFS('8 Fudo Ventas'!$B$6:$B$305,'8 Fudo Ventas'!$D$6:$D$305,$B194,'8 Fudo Ventas'!$C$6:$C$305,$A194))</f>
        <v/>
      </c>
      <c r="F194" s="80">
        <f>IF($B194="","",SUMIFS('8 Fudo Consumos'!$D$6:$D$255,'8 Fudo Consumos'!$B$6:$B$255,$B194,'8 Fudo Consumos'!$C$6:$C$255,$A194))</f>
        <v/>
      </c>
      <c r="G194" s="79">
        <f>'4 Prod Cocina SL'!$R13</f>
        <v/>
      </c>
      <c r="H194" s="80">
        <f>IF($B194="","",SUMIFS('5 Descartes'!$D$6:$D$205,'5 Descartes'!$C$6:$C$205,$B194,'5 Descartes'!$B$6:$B$205,$A194))</f>
        <v/>
      </c>
      <c r="I194" s="80">
        <f>IF($B194="","",$G194-$H194)</f>
        <v/>
      </c>
      <c r="J194" s="81">
        <f>IF($B194="","",$D194-$E194-$F194-$G194)</f>
        <v/>
      </c>
      <c r="K194" s="71">
        <f>IF(OR($B194="",$D194=0),"",$J194/$D194)</f>
        <v/>
      </c>
      <c r="L194" s="75">
        <f>IF($B194="","",IF($D194=0,"Sin produccion registrada",IF($E194=0,"Sin ventas mapeadas en Fudo",IF(AND($K194&lt;&gt;"",ABS($K194)&gt;Config!$B$48),IF($J194&gt;0,"Salida sin explicar: consumo no registrado o faltante","Se vendio mas de lo elaborado: revisar stock previo"),IF($I194&lt;&gt;0,"Hay descarte sin detallar en la planilla 5","OK")))))</f>
        <v/>
      </c>
      <c r="M194" s="76">
        <f>IF($K194="","",ABS($K194)+ROW()/1000000)</f>
        <v/>
      </c>
    </row>
    <row r="195">
      <c r="A195" s="31" t="inlineStr">
        <is>
          <t>Cocina San Luis</t>
        </is>
      </c>
      <c r="B195" s="82">
        <f>IF('4 Prod Cocina SL'!$A14="","",'4 Prod Cocina SL'!$A14)</f>
        <v/>
      </c>
      <c r="C195" s="45">
        <f>IF('4 Prod Cocina SL'!$B14="","",'4 Prod Cocina SL'!$B14)</f>
        <v/>
      </c>
      <c r="D195" s="79">
        <f>'4 Prod Cocina SL'!$Q14</f>
        <v/>
      </c>
      <c r="E195" s="80">
        <f>IF($B195="","",SUMIFS('8 Fudo Ventas'!$B$6:$B$305,'8 Fudo Ventas'!$D$6:$D$305,$B195,'8 Fudo Ventas'!$C$6:$C$305,$A195))</f>
        <v/>
      </c>
      <c r="F195" s="80">
        <f>IF($B195="","",SUMIFS('8 Fudo Consumos'!$D$6:$D$255,'8 Fudo Consumos'!$B$6:$B$255,$B195,'8 Fudo Consumos'!$C$6:$C$255,$A195))</f>
        <v/>
      </c>
      <c r="G195" s="79">
        <f>'4 Prod Cocina SL'!$R14</f>
        <v/>
      </c>
      <c r="H195" s="80">
        <f>IF($B195="","",SUMIFS('5 Descartes'!$D$6:$D$205,'5 Descartes'!$C$6:$C$205,$B195,'5 Descartes'!$B$6:$B$205,$A195))</f>
        <v/>
      </c>
      <c r="I195" s="80">
        <f>IF($B195="","",$G195-$H195)</f>
        <v/>
      </c>
      <c r="J195" s="81">
        <f>IF($B195="","",$D195-$E195-$F195-$G195)</f>
        <v/>
      </c>
      <c r="K195" s="71">
        <f>IF(OR($B195="",$D195=0),"",$J195/$D195)</f>
        <v/>
      </c>
      <c r="L195" s="75">
        <f>IF($B195="","",IF($D195=0,"Sin produccion registrada",IF($E195=0,"Sin ventas mapeadas en Fudo",IF(AND($K195&lt;&gt;"",ABS($K195)&gt;Config!$B$48),IF($J195&gt;0,"Salida sin explicar: consumo no registrado o faltante","Se vendio mas de lo elaborado: revisar stock previo"),IF($I195&lt;&gt;0,"Hay descarte sin detallar en la planilla 5","OK")))))</f>
        <v/>
      </c>
      <c r="M195" s="76">
        <f>IF($K195="","",ABS($K195)+ROW()/1000000)</f>
        <v/>
      </c>
    </row>
    <row r="196">
      <c r="A196" s="27" t="inlineStr">
        <is>
          <t>Cocina San Luis</t>
        </is>
      </c>
      <c r="B196" s="23">
        <f>IF('4 Prod Cocina SL'!$A15="","",'4 Prod Cocina SL'!$A15)</f>
        <v/>
      </c>
      <c r="C196" s="40">
        <f>IF('4 Prod Cocina SL'!$B15="","",'4 Prod Cocina SL'!$B15)</f>
        <v/>
      </c>
      <c r="D196" s="79">
        <f>'4 Prod Cocina SL'!$Q15</f>
        <v/>
      </c>
      <c r="E196" s="80">
        <f>IF($B196="","",SUMIFS('8 Fudo Ventas'!$B$6:$B$305,'8 Fudo Ventas'!$D$6:$D$305,$B196,'8 Fudo Ventas'!$C$6:$C$305,$A196))</f>
        <v/>
      </c>
      <c r="F196" s="80">
        <f>IF($B196="","",SUMIFS('8 Fudo Consumos'!$D$6:$D$255,'8 Fudo Consumos'!$B$6:$B$255,$B196,'8 Fudo Consumos'!$C$6:$C$255,$A196))</f>
        <v/>
      </c>
      <c r="G196" s="79">
        <f>'4 Prod Cocina SL'!$R15</f>
        <v/>
      </c>
      <c r="H196" s="80">
        <f>IF($B196="","",SUMIFS('5 Descartes'!$D$6:$D$205,'5 Descartes'!$C$6:$C$205,$B196,'5 Descartes'!$B$6:$B$205,$A196))</f>
        <v/>
      </c>
      <c r="I196" s="80">
        <f>IF($B196="","",$G196-$H196)</f>
        <v/>
      </c>
      <c r="J196" s="81">
        <f>IF($B196="","",$D196-$E196-$F196-$G196)</f>
        <v/>
      </c>
      <c r="K196" s="71">
        <f>IF(OR($B196="",$D196=0),"",$J196/$D196)</f>
        <v/>
      </c>
      <c r="L196" s="75">
        <f>IF($B196="","",IF($D196=0,"Sin produccion registrada",IF($E196=0,"Sin ventas mapeadas en Fudo",IF(AND($K196&lt;&gt;"",ABS($K196)&gt;Config!$B$48),IF($J196&gt;0,"Salida sin explicar: consumo no registrado o faltante","Se vendio mas de lo elaborado: revisar stock previo"),IF($I196&lt;&gt;0,"Hay descarte sin detallar en la planilla 5","OK")))))</f>
        <v/>
      </c>
      <c r="M196" s="76">
        <f>IF($K196="","",ABS($K196)+ROW()/1000000)</f>
        <v/>
      </c>
    </row>
    <row r="197">
      <c r="A197" s="31" t="inlineStr">
        <is>
          <t>Cocina San Luis</t>
        </is>
      </c>
      <c r="B197" s="82">
        <f>IF('4 Prod Cocina SL'!$A16="","",'4 Prod Cocina SL'!$A16)</f>
        <v/>
      </c>
      <c r="C197" s="45">
        <f>IF('4 Prod Cocina SL'!$B16="","",'4 Prod Cocina SL'!$B16)</f>
        <v/>
      </c>
      <c r="D197" s="79">
        <f>'4 Prod Cocina SL'!$Q16</f>
        <v/>
      </c>
      <c r="E197" s="80">
        <f>IF($B197="","",SUMIFS('8 Fudo Ventas'!$B$6:$B$305,'8 Fudo Ventas'!$D$6:$D$305,$B197,'8 Fudo Ventas'!$C$6:$C$305,$A197))</f>
        <v/>
      </c>
      <c r="F197" s="80">
        <f>IF($B197="","",SUMIFS('8 Fudo Consumos'!$D$6:$D$255,'8 Fudo Consumos'!$B$6:$B$255,$B197,'8 Fudo Consumos'!$C$6:$C$255,$A197))</f>
        <v/>
      </c>
      <c r="G197" s="79">
        <f>'4 Prod Cocina SL'!$R16</f>
        <v/>
      </c>
      <c r="H197" s="80">
        <f>IF($B197="","",SUMIFS('5 Descartes'!$D$6:$D$205,'5 Descartes'!$C$6:$C$205,$B197,'5 Descartes'!$B$6:$B$205,$A197))</f>
        <v/>
      </c>
      <c r="I197" s="80">
        <f>IF($B197="","",$G197-$H197)</f>
        <v/>
      </c>
      <c r="J197" s="81">
        <f>IF($B197="","",$D197-$E197-$F197-$G197)</f>
        <v/>
      </c>
      <c r="K197" s="71">
        <f>IF(OR($B197="",$D197=0),"",$J197/$D197)</f>
        <v/>
      </c>
      <c r="L197" s="75">
        <f>IF($B197="","",IF($D197=0,"Sin produccion registrada",IF($E197=0,"Sin ventas mapeadas en Fudo",IF(AND($K197&lt;&gt;"",ABS($K197)&gt;Config!$B$48),IF($J197&gt;0,"Salida sin explicar: consumo no registrado o faltante","Se vendio mas de lo elaborado: revisar stock previo"),IF($I197&lt;&gt;0,"Hay descarte sin detallar en la planilla 5","OK")))))</f>
        <v/>
      </c>
      <c r="M197" s="76">
        <f>IF($K197="","",ABS($K197)+ROW()/1000000)</f>
        <v/>
      </c>
    </row>
    <row r="198">
      <c r="A198" s="27" t="inlineStr">
        <is>
          <t>Cocina San Luis</t>
        </is>
      </c>
      <c r="B198" s="23">
        <f>IF('4 Prod Cocina SL'!$A17="","",'4 Prod Cocina SL'!$A17)</f>
        <v/>
      </c>
      <c r="C198" s="40">
        <f>IF('4 Prod Cocina SL'!$B17="","",'4 Prod Cocina SL'!$B17)</f>
        <v/>
      </c>
      <c r="D198" s="79">
        <f>'4 Prod Cocina SL'!$Q17</f>
        <v/>
      </c>
      <c r="E198" s="80">
        <f>IF($B198="","",SUMIFS('8 Fudo Ventas'!$B$6:$B$305,'8 Fudo Ventas'!$D$6:$D$305,$B198,'8 Fudo Ventas'!$C$6:$C$305,$A198))</f>
        <v/>
      </c>
      <c r="F198" s="80">
        <f>IF($B198="","",SUMIFS('8 Fudo Consumos'!$D$6:$D$255,'8 Fudo Consumos'!$B$6:$B$255,$B198,'8 Fudo Consumos'!$C$6:$C$255,$A198))</f>
        <v/>
      </c>
      <c r="G198" s="79">
        <f>'4 Prod Cocina SL'!$R17</f>
        <v/>
      </c>
      <c r="H198" s="80">
        <f>IF($B198="","",SUMIFS('5 Descartes'!$D$6:$D$205,'5 Descartes'!$C$6:$C$205,$B198,'5 Descartes'!$B$6:$B$205,$A198))</f>
        <v/>
      </c>
      <c r="I198" s="80">
        <f>IF($B198="","",$G198-$H198)</f>
        <v/>
      </c>
      <c r="J198" s="81">
        <f>IF($B198="","",$D198-$E198-$F198-$G198)</f>
        <v/>
      </c>
      <c r="K198" s="71">
        <f>IF(OR($B198="",$D198=0),"",$J198/$D198)</f>
        <v/>
      </c>
      <c r="L198" s="75">
        <f>IF($B198="","",IF($D198=0,"Sin produccion registrada",IF($E198=0,"Sin ventas mapeadas en Fudo",IF(AND($K198&lt;&gt;"",ABS($K198)&gt;Config!$B$48),IF($J198&gt;0,"Salida sin explicar: consumo no registrado o faltante","Se vendio mas de lo elaborado: revisar stock previo"),IF($I198&lt;&gt;0,"Hay descarte sin detallar en la planilla 5","OK")))))</f>
        <v/>
      </c>
      <c r="M198" s="76">
        <f>IF($K198="","",ABS($K198)+ROW()/1000000)</f>
        <v/>
      </c>
    </row>
    <row r="199">
      <c r="A199" s="31" t="inlineStr">
        <is>
          <t>Cocina San Luis</t>
        </is>
      </c>
      <c r="B199" s="82">
        <f>IF('4 Prod Cocina SL'!$A18="","",'4 Prod Cocina SL'!$A18)</f>
        <v/>
      </c>
      <c r="C199" s="45">
        <f>IF('4 Prod Cocina SL'!$B18="","",'4 Prod Cocina SL'!$B18)</f>
        <v/>
      </c>
      <c r="D199" s="79">
        <f>'4 Prod Cocina SL'!$Q18</f>
        <v/>
      </c>
      <c r="E199" s="80">
        <f>IF($B199="","",SUMIFS('8 Fudo Ventas'!$B$6:$B$305,'8 Fudo Ventas'!$D$6:$D$305,$B199,'8 Fudo Ventas'!$C$6:$C$305,$A199))</f>
        <v/>
      </c>
      <c r="F199" s="80">
        <f>IF($B199="","",SUMIFS('8 Fudo Consumos'!$D$6:$D$255,'8 Fudo Consumos'!$B$6:$B$255,$B199,'8 Fudo Consumos'!$C$6:$C$255,$A199))</f>
        <v/>
      </c>
      <c r="G199" s="79">
        <f>'4 Prod Cocina SL'!$R18</f>
        <v/>
      </c>
      <c r="H199" s="80">
        <f>IF($B199="","",SUMIFS('5 Descartes'!$D$6:$D$205,'5 Descartes'!$C$6:$C$205,$B199,'5 Descartes'!$B$6:$B$205,$A199))</f>
        <v/>
      </c>
      <c r="I199" s="80">
        <f>IF($B199="","",$G199-$H199)</f>
        <v/>
      </c>
      <c r="J199" s="81">
        <f>IF($B199="","",$D199-$E199-$F199-$G199)</f>
        <v/>
      </c>
      <c r="K199" s="71">
        <f>IF(OR($B199="",$D199=0),"",$J199/$D199)</f>
        <v/>
      </c>
      <c r="L199" s="75">
        <f>IF($B199="","",IF($D199=0,"Sin produccion registrada",IF($E199=0,"Sin ventas mapeadas en Fudo",IF(AND($K199&lt;&gt;"",ABS($K199)&gt;Config!$B$48),IF($J199&gt;0,"Salida sin explicar: consumo no registrado o faltante","Se vendio mas de lo elaborado: revisar stock previo"),IF($I199&lt;&gt;0,"Hay descarte sin detallar en la planilla 5","OK")))))</f>
        <v/>
      </c>
      <c r="M199" s="76">
        <f>IF($K199="","",ABS($K199)+ROW()/1000000)</f>
        <v/>
      </c>
    </row>
    <row r="200">
      <c r="A200" s="27" t="inlineStr">
        <is>
          <t>Cocina San Luis</t>
        </is>
      </c>
      <c r="B200" s="23">
        <f>IF('4 Prod Cocina SL'!$A19="","",'4 Prod Cocina SL'!$A19)</f>
        <v/>
      </c>
      <c r="C200" s="40">
        <f>IF('4 Prod Cocina SL'!$B19="","",'4 Prod Cocina SL'!$B19)</f>
        <v/>
      </c>
      <c r="D200" s="79">
        <f>'4 Prod Cocina SL'!$Q19</f>
        <v/>
      </c>
      <c r="E200" s="80">
        <f>IF($B200="","",SUMIFS('8 Fudo Ventas'!$B$6:$B$305,'8 Fudo Ventas'!$D$6:$D$305,$B200,'8 Fudo Ventas'!$C$6:$C$305,$A200))</f>
        <v/>
      </c>
      <c r="F200" s="80">
        <f>IF($B200="","",SUMIFS('8 Fudo Consumos'!$D$6:$D$255,'8 Fudo Consumos'!$B$6:$B$255,$B200,'8 Fudo Consumos'!$C$6:$C$255,$A200))</f>
        <v/>
      </c>
      <c r="G200" s="79">
        <f>'4 Prod Cocina SL'!$R19</f>
        <v/>
      </c>
      <c r="H200" s="80">
        <f>IF($B200="","",SUMIFS('5 Descartes'!$D$6:$D$205,'5 Descartes'!$C$6:$C$205,$B200,'5 Descartes'!$B$6:$B$205,$A200))</f>
        <v/>
      </c>
      <c r="I200" s="80">
        <f>IF($B200="","",$G200-$H200)</f>
        <v/>
      </c>
      <c r="J200" s="81">
        <f>IF($B200="","",$D200-$E200-$F200-$G200)</f>
        <v/>
      </c>
      <c r="K200" s="71">
        <f>IF(OR($B200="",$D200=0),"",$J200/$D200)</f>
        <v/>
      </c>
      <c r="L200" s="75">
        <f>IF($B200="","",IF($D200=0,"Sin produccion registrada",IF($E200=0,"Sin ventas mapeadas en Fudo",IF(AND($K200&lt;&gt;"",ABS($K200)&gt;Config!$B$48),IF($J200&gt;0,"Salida sin explicar: consumo no registrado o faltante","Se vendio mas de lo elaborado: revisar stock previo"),IF($I200&lt;&gt;0,"Hay descarte sin detallar en la planilla 5","OK")))))</f>
        <v/>
      </c>
      <c r="M200" s="76">
        <f>IF($K200="","",ABS($K200)+ROW()/1000000)</f>
        <v/>
      </c>
    </row>
    <row r="201">
      <c r="A201" s="31" t="inlineStr">
        <is>
          <t>Cocina San Luis</t>
        </is>
      </c>
      <c r="B201" s="82">
        <f>IF('4 Prod Cocina SL'!$A20="","",'4 Prod Cocina SL'!$A20)</f>
        <v/>
      </c>
      <c r="C201" s="45">
        <f>IF('4 Prod Cocina SL'!$B20="","",'4 Prod Cocina SL'!$B20)</f>
        <v/>
      </c>
      <c r="D201" s="79">
        <f>'4 Prod Cocina SL'!$Q20</f>
        <v/>
      </c>
      <c r="E201" s="80">
        <f>IF($B201="","",SUMIFS('8 Fudo Ventas'!$B$6:$B$305,'8 Fudo Ventas'!$D$6:$D$305,$B201,'8 Fudo Ventas'!$C$6:$C$305,$A201))</f>
        <v/>
      </c>
      <c r="F201" s="80">
        <f>IF($B201="","",SUMIFS('8 Fudo Consumos'!$D$6:$D$255,'8 Fudo Consumos'!$B$6:$B$255,$B201,'8 Fudo Consumos'!$C$6:$C$255,$A201))</f>
        <v/>
      </c>
      <c r="G201" s="79">
        <f>'4 Prod Cocina SL'!$R20</f>
        <v/>
      </c>
      <c r="H201" s="80">
        <f>IF($B201="","",SUMIFS('5 Descartes'!$D$6:$D$205,'5 Descartes'!$C$6:$C$205,$B201,'5 Descartes'!$B$6:$B$205,$A201))</f>
        <v/>
      </c>
      <c r="I201" s="80">
        <f>IF($B201="","",$G201-$H201)</f>
        <v/>
      </c>
      <c r="J201" s="81">
        <f>IF($B201="","",$D201-$E201-$F201-$G201)</f>
        <v/>
      </c>
      <c r="K201" s="71">
        <f>IF(OR($B201="",$D201=0),"",$J201/$D201)</f>
        <v/>
      </c>
      <c r="L201" s="75">
        <f>IF($B201="","",IF($D201=0,"Sin produccion registrada",IF($E201=0,"Sin ventas mapeadas en Fudo",IF(AND($K201&lt;&gt;"",ABS($K201)&gt;Config!$B$48),IF($J201&gt;0,"Salida sin explicar: consumo no registrado o faltante","Se vendio mas de lo elaborado: revisar stock previo"),IF($I201&lt;&gt;0,"Hay descarte sin detallar en la planilla 5","OK")))))</f>
        <v/>
      </c>
      <c r="M201" s="76">
        <f>IF($K201="","",ABS($K201)+ROW()/1000000)</f>
        <v/>
      </c>
    </row>
    <row r="202">
      <c r="A202" s="27" t="inlineStr">
        <is>
          <t>Cocina San Luis</t>
        </is>
      </c>
      <c r="B202" s="23">
        <f>IF('4 Prod Cocina SL'!$A21="","",'4 Prod Cocina SL'!$A21)</f>
        <v/>
      </c>
      <c r="C202" s="40">
        <f>IF('4 Prod Cocina SL'!$B21="","",'4 Prod Cocina SL'!$B21)</f>
        <v/>
      </c>
      <c r="D202" s="79">
        <f>'4 Prod Cocina SL'!$Q21</f>
        <v/>
      </c>
      <c r="E202" s="80">
        <f>IF($B202="","",SUMIFS('8 Fudo Ventas'!$B$6:$B$305,'8 Fudo Ventas'!$D$6:$D$305,$B202,'8 Fudo Ventas'!$C$6:$C$305,$A202))</f>
        <v/>
      </c>
      <c r="F202" s="80">
        <f>IF($B202="","",SUMIFS('8 Fudo Consumos'!$D$6:$D$255,'8 Fudo Consumos'!$B$6:$B$255,$B202,'8 Fudo Consumos'!$C$6:$C$255,$A202))</f>
        <v/>
      </c>
      <c r="G202" s="79">
        <f>'4 Prod Cocina SL'!$R21</f>
        <v/>
      </c>
      <c r="H202" s="80">
        <f>IF($B202="","",SUMIFS('5 Descartes'!$D$6:$D$205,'5 Descartes'!$C$6:$C$205,$B202,'5 Descartes'!$B$6:$B$205,$A202))</f>
        <v/>
      </c>
      <c r="I202" s="80">
        <f>IF($B202="","",$G202-$H202)</f>
        <v/>
      </c>
      <c r="J202" s="81">
        <f>IF($B202="","",$D202-$E202-$F202-$G202)</f>
        <v/>
      </c>
      <c r="K202" s="71">
        <f>IF(OR($B202="",$D202=0),"",$J202/$D202)</f>
        <v/>
      </c>
      <c r="L202" s="75">
        <f>IF($B202="","",IF($D202=0,"Sin produccion registrada",IF($E202=0,"Sin ventas mapeadas en Fudo",IF(AND($K202&lt;&gt;"",ABS($K202)&gt;Config!$B$48),IF($J202&gt;0,"Salida sin explicar: consumo no registrado o faltante","Se vendio mas de lo elaborado: revisar stock previo"),IF($I202&lt;&gt;0,"Hay descarte sin detallar en la planilla 5","OK")))))</f>
        <v/>
      </c>
      <c r="M202" s="76">
        <f>IF($K202="","",ABS($K202)+ROW()/1000000)</f>
        <v/>
      </c>
    </row>
    <row r="203">
      <c r="A203" s="31" t="inlineStr">
        <is>
          <t>Cocina San Luis</t>
        </is>
      </c>
      <c r="B203" s="82">
        <f>IF('4 Prod Cocina SL'!$A22="","",'4 Prod Cocina SL'!$A22)</f>
        <v/>
      </c>
      <c r="C203" s="45">
        <f>IF('4 Prod Cocina SL'!$B22="","",'4 Prod Cocina SL'!$B22)</f>
        <v/>
      </c>
      <c r="D203" s="79">
        <f>'4 Prod Cocina SL'!$Q22</f>
        <v/>
      </c>
      <c r="E203" s="80">
        <f>IF($B203="","",SUMIFS('8 Fudo Ventas'!$B$6:$B$305,'8 Fudo Ventas'!$D$6:$D$305,$B203,'8 Fudo Ventas'!$C$6:$C$305,$A203))</f>
        <v/>
      </c>
      <c r="F203" s="80">
        <f>IF($B203="","",SUMIFS('8 Fudo Consumos'!$D$6:$D$255,'8 Fudo Consumos'!$B$6:$B$255,$B203,'8 Fudo Consumos'!$C$6:$C$255,$A203))</f>
        <v/>
      </c>
      <c r="G203" s="79">
        <f>'4 Prod Cocina SL'!$R22</f>
        <v/>
      </c>
      <c r="H203" s="80">
        <f>IF($B203="","",SUMIFS('5 Descartes'!$D$6:$D$205,'5 Descartes'!$C$6:$C$205,$B203,'5 Descartes'!$B$6:$B$205,$A203))</f>
        <v/>
      </c>
      <c r="I203" s="80">
        <f>IF($B203="","",$G203-$H203)</f>
        <v/>
      </c>
      <c r="J203" s="81">
        <f>IF($B203="","",$D203-$E203-$F203-$G203)</f>
        <v/>
      </c>
      <c r="K203" s="71">
        <f>IF(OR($B203="",$D203=0),"",$J203/$D203)</f>
        <v/>
      </c>
      <c r="L203" s="75">
        <f>IF($B203="","",IF($D203=0,"Sin produccion registrada",IF($E203=0,"Sin ventas mapeadas en Fudo",IF(AND($K203&lt;&gt;"",ABS($K203)&gt;Config!$B$48),IF($J203&gt;0,"Salida sin explicar: consumo no registrado o faltante","Se vendio mas de lo elaborado: revisar stock previo"),IF($I203&lt;&gt;0,"Hay descarte sin detallar en la planilla 5","OK")))))</f>
        <v/>
      </c>
      <c r="M203" s="76">
        <f>IF($K203="","",ABS($K203)+ROW()/1000000)</f>
        <v/>
      </c>
    </row>
    <row r="204">
      <c r="A204" s="27" t="inlineStr">
        <is>
          <t>Cocina San Luis</t>
        </is>
      </c>
      <c r="B204" s="23">
        <f>IF('4 Prod Cocina SL'!$A23="","",'4 Prod Cocina SL'!$A23)</f>
        <v/>
      </c>
      <c r="C204" s="40">
        <f>IF('4 Prod Cocina SL'!$B23="","",'4 Prod Cocina SL'!$B23)</f>
        <v/>
      </c>
      <c r="D204" s="79">
        <f>'4 Prod Cocina SL'!$Q23</f>
        <v/>
      </c>
      <c r="E204" s="80">
        <f>IF($B204="","",SUMIFS('8 Fudo Ventas'!$B$6:$B$305,'8 Fudo Ventas'!$D$6:$D$305,$B204,'8 Fudo Ventas'!$C$6:$C$305,$A204))</f>
        <v/>
      </c>
      <c r="F204" s="80">
        <f>IF($B204="","",SUMIFS('8 Fudo Consumos'!$D$6:$D$255,'8 Fudo Consumos'!$B$6:$B$255,$B204,'8 Fudo Consumos'!$C$6:$C$255,$A204))</f>
        <v/>
      </c>
      <c r="G204" s="79">
        <f>'4 Prod Cocina SL'!$R23</f>
        <v/>
      </c>
      <c r="H204" s="80">
        <f>IF($B204="","",SUMIFS('5 Descartes'!$D$6:$D$205,'5 Descartes'!$C$6:$C$205,$B204,'5 Descartes'!$B$6:$B$205,$A204))</f>
        <v/>
      </c>
      <c r="I204" s="80">
        <f>IF($B204="","",$G204-$H204)</f>
        <v/>
      </c>
      <c r="J204" s="81">
        <f>IF($B204="","",$D204-$E204-$F204-$G204)</f>
        <v/>
      </c>
      <c r="K204" s="71">
        <f>IF(OR($B204="",$D204=0),"",$J204/$D204)</f>
        <v/>
      </c>
      <c r="L204" s="75">
        <f>IF($B204="","",IF($D204=0,"Sin produccion registrada",IF($E204=0,"Sin ventas mapeadas en Fudo",IF(AND($K204&lt;&gt;"",ABS($K204)&gt;Config!$B$48),IF($J204&gt;0,"Salida sin explicar: consumo no registrado o faltante","Se vendio mas de lo elaborado: revisar stock previo"),IF($I204&lt;&gt;0,"Hay descarte sin detallar en la planilla 5","OK")))))</f>
        <v/>
      </c>
      <c r="M204" s="76">
        <f>IF($K204="","",ABS($K204)+ROW()/1000000)</f>
        <v/>
      </c>
    </row>
    <row r="205">
      <c r="A205" s="31" t="inlineStr">
        <is>
          <t>Cocina San Luis</t>
        </is>
      </c>
      <c r="B205" s="82">
        <f>IF('4 Prod Cocina SL'!$A24="","",'4 Prod Cocina SL'!$A24)</f>
        <v/>
      </c>
      <c r="C205" s="45">
        <f>IF('4 Prod Cocina SL'!$B24="","",'4 Prod Cocina SL'!$B24)</f>
        <v/>
      </c>
      <c r="D205" s="79">
        <f>'4 Prod Cocina SL'!$Q24</f>
        <v/>
      </c>
      <c r="E205" s="80">
        <f>IF($B205="","",SUMIFS('8 Fudo Ventas'!$B$6:$B$305,'8 Fudo Ventas'!$D$6:$D$305,$B205,'8 Fudo Ventas'!$C$6:$C$305,$A205))</f>
        <v/>
      </c>
      <c r="F205" s="80">
        <f>IF($B205="","",SUMIFS('8 Fudo Consumos'!$D$6:$D$255,'8 Fudo Consumos'!$B$6:$B$255,$B205,'8 Fudo Consumos'!$C$6:$C$255,$A205))</f>
        <v/>
      </c>
      <c r="G205" s="79">
        <f>'4 Prod Cocina SL'!$R24</f>
        <v/>
      </c>
      <c r="H205" s="80">
        <f>IF($B205="","",SUMIFS('5 Descartes'!$D$6:$D$205,'5 Descartes'!$C$6:$C$205,$B205,'5 Descartes'!$B$6:$B$205,$A205))</f>
        <v/>
      </c>
      <c r="I205" s="80">
        <f>IF($B205="","",$G205-$H205)</f>
        <v/>
      </c>
      <c r="J205" s="81">
        <f>IF($B205="","",$D205-$E205-$F205-$G205)</f>
        <v/>
      </c>
      <c r="K205" s="71">
        <f>IF(OR($B205="",$D205=0),"",$J205/$D205)</f>
        <v/>
      </c>
      <c r="L205" s="75">
        <f>IF($B205="","",IF($D205=0,"Sin produccion registrada",IF($E205=0,"Sin ventas mapeadas en Fudo",IF(AND($K205&lt;&gt;"",ABS($K205)&gt;Config!$B$48),IF($J205&gt;0,"Salida sin explicar: consumo no registrado o faltante","Se vendio mas de lo elaborado: revisar stock previo"),IF($I205&lt;&gt;0,"Hay descarte sin detallar en la planilla 5","OK")))))</f>
        <v/>
      </c>
      <c r="M205" s="76">
        <f>IF($K205="","",ABS($K205)+ROW()/1000000)</f>
        <v/>
      </c>
    </row>
    <row r="206">
      <c r="A206" s="27" t="inlineStr">
        <is>
          <t>Cocina San Luis</t>
        </is>
      </c>
      <c r="B206" s="23">
        <f>IF('4 Prod Cocina SL'!$A25="","",'4 Prod Cocina SL'!$A25)</f>
        <v/>
      </c>
      <c r="C206" s="40">
        <f>IF('4 Prod Cocina SL'!$B25="","",'4 Prod Cocina SL'!$B25)</f>
        <v/>
      </c>
      <c r="D206" s="79">
        <f>'4 Prod Cocina SL'!$Q25</f>
        <v/>
      </c>
      <c r="E206" s="80">
        <f>IF($B206="","",SUMIFS('8 Fudo Ventas'!$B$6:$B$305,'8 Fudo Ventas'!$D$6:$D$305,$B206,'8 Fudo Ventas'!$C$6:$C$305,$A206))</f>
        <v/>
      </c>
      <c r="F206" s="80">
        <f>IF($B206="","",SUMIFS('8 Fudo Consumos'!$D$6:$D$255,'8 Fudo Consumos'!$B$6:$B$255,$B206,'8 Fudo Consumos'!$C$6:$C$255,$A206))</f>
        <v/>
      </c>
      <c r="G206" s="79">
        <f>'4 Prod Cocina SL'!$R25</f>
        <v/>
      </c>
      <c r="H206" s="80">
        <f>IF($B206="","",SUMIFS('5 Descartes'!$D$6:$D$205,'5 Descartes'!$C$6:$C$205,$B206,'5 Descartes'!$B$6:$B$205,$A206))</f>
        <v/>
      </c>
      <c r="I206" s="80">
        <f>IF($B206="","",$G206-$H206)</f>
        <v/>
      </c>
      <c r="J206" s="81">
        <f>IF($B206="","",$D206-$E206-$F206-$G206)</f>
        <v/>
      </c>
      <c r="K206" s="71">
        <f>IF(OR($B206="",$D206=0),"",$J206/$D206)</f>
        <v/>
      </c>
      <c r="L206" s="75">
        <f>IF($B206="","",IF($D206=0,"Sin produccion registrada",IF($E206=0,"Sin ventas mapeadas en Fudo",IF(AND($K206&lt;&gt;"",ABS($K206)&gt;Config!$B$48),IF($J206&gt;0,"Salida sin explicar: consumo no registrado o faltante","Se vendio mas de lo elaborado: revisar stock previo"),IF($I206&lt;&gt;0,"Hay descarte sin detallar en la planilla 5","OK")))))</f>
        <v/>
      </c>
      <c r="M206" s="76">
        <f>IF($K206="","",ABS($K206)+ROW()/1000000)</f>
        <v/>
      </c>
    </row>
    <row r="207">
      <c r="A207" s="31" t="inlineStr">
        <is>
          <t>Cocina San Luis</t>
        </is>
      </c>
      <c r="B207" s="82">
        <f>IF('4 Prod Cocina SL'!$A26="","",'4 Prod Cocina SL'!$A26)</f>
        <v/>
      </c>
      <c r="C207" s="45">
        <f>IF('4 Prod Cocina SL'!$B26="","",'4 Prod Cocina SL'!$B26)</f>
        <v/>
      </c>
      <c r="D207" s="79">
        <f>'4 Prod Cocina SL'!$Q26</f>
        <v/>
      </c>
      <c r="E207" s="80">
        <f>IF($B207="","",SUMIFS('8 Fudo Ventas'!$B$6:$B$305,'8 Fudo Ventas'!$D$6:$D$305,$B207,'8 Fudo Ventas'!$C$6:$C$305,$A207))</f>
        <v/>
      </c>
      <c r="F207" s="80">
        <f>IF($B207="","",SUMIFS('8 Fudo Consumos'!$D$6:$D$255,'8 Fudo Consumos'!$B$6:$B$255,$B207,'8 Fudo Consumos'!$C$6:$C$255,$A207))</f>
        <v/>
      </c>
      <c r="G207" s="79">
        <f>'4 Prod Cocina SL'!$R26</f>
        <v/>
      </c>
      <c r="H207" s="80">
        <f>IF($B207="","",SUMIFS('5 Descartes'!$D$6:$D$205,'5 Descartes'!$C$6:$C$205,$B207,'5 Descartes'!$B$6:$B$205,$A207))</f>
        <v/>
      </c>
      <c r="I207" s="80">
        <f>IF($B207="","",$G207-$H207)</f>
        <v/>
      </c>
      <c r="J207" s="81">
        <f>IF($B207="","",$D207-$E207-$F207-$G207)</f>
        <v/>
      </c>
      <c r="K207" s="71">
        <f>IF(OR($B207="",$D207=0),"",$J207/$D207)</f>
        <v/>
      </c>
      <c r="L207" s="75">
        <f>IF($B207="","",IF($D207=0,"Sin produccion registrada",IF($E207=0,"Sin ventas mapeadas en Fudo",IF(AND($K207&lt;&gt;"",ABS($K207)&gt;Config!$B$48),IF($J207&gt;0,"Salida sin explicar: consumo no registrado o faltante","Se vendio mas de lo elaborado: revisar stock previo"),IF($I207&lt;&gt;0,"Hay descarte sin detallar en la planilla 5","OK")))))</f>
        <v/>
      </c>
      <c r="M207" s="76">
        <f>IF($K207="","",ABS($K207)+ROW()/1000000)</f>
        <v/>
      </c>
    </row>
    <row r="208">
      <c r="A208" s="27" t="inlineStr">
        <is>
          <t>Cocina San Luis</t>
        </is>
      </c>
      <c r="B208" s="23">
        <f>IF('4 Prod Cocina SL'!$A27="","",'4 Prod Cocina SL'!$A27)</f>
        <v/>
      </c>
      <c r="C208" s="40">
        <f>IF('4 Prod Cocina SL'!$B27="","",'4 Prod Cocina SL'!$B27)</f>
        <v/>
      </c>
      <c r="D208" s="79">
        <f>'4 Prod Cocina SL'!$Q27</f>
        <v/>
      </c>
      <c r="E208" s="80">
        <f>IF($B208="","",SUMIFS('8 Fudo Ventas'!$B$6:$B$305,'8 Fudo Ventas'!$D$6:$D$305,$B208,'8 Fudo Ventas'!$C$6:$C$305,$A208))</f>
        <v/>
      </c>
      <c r="F208" s="80">
        <f>IF($B208="","",SUMIFS('8 Fudo Consumos'!$D$6:$D$255,'8 Fudo Consumos'!$B$6:$B$255,$B208,'8 Fudo Consumos'!$C$6:$C$255,$A208))</f>
        <v/>
      </c>
      <c r="G208" s="79">
        <f>'4 Prod Cocina SL'!$R27</f>
        <v/>
      </c>
      <c r="H208" s="80">
        <f>IF($B208="","",SUMIFS('5 Descartes'!$D$6:$D$205,'5 Descartes'!$C$6:$C$205,$B208,'5 Descartes'!$B$6:$B$205,$A208))</f>
        <v/>
      </c>
      <c r="I208" s="80">
        <f>IF($B208="","",$G208-$H208)</f>
        <v/>
      </c>
      <c r="J208" s="81">
        <f>IF($B208="","",$D208-$E208-$F208-$G208)</f>
        <v/>
      </c>
      <c r="K208" s="71">
        <f>IF(OR($B208="",$D208=0),"",$J208/$D208)</f>
        <v/>
      </c>
      <c r="L208" s="75">
        <f>IF($B208="","",IF($D208=0,"Sin produccion registrada",IF($E208=0,"Sin ventas mapeadas en Fudo",IF(AND($K208&lt;&gt;"",ABS($K208)&gt;Config!$B$48),IF($J208&gt;0,"Salida sin explicar: consumo no registrado o faltante","Se vendio mas de lo elaborado: revisar stock previo"),IF($I208&lt;&gt;0,"Hay descarte sin detallar en la planilla 5","OK")))))</f>
        <v/>
      </c>
      <c r="M208" s="76">
        <f>IF($K208="","",ABS($K208)+ROW()/1000000)</f>
        <v/>
      </c>
    </row>
    <row r="209">
      <c r="A209" s="31" t="inlineStr">
        <is>
          <t>Cocina San Luis</t>
        </is>
      </c>
      <c r="B209" s="82">
        <f>IF('4 Prod Cocina SL'!$A28="","",'4 Prod Cocina SL'!$A28)</f>
        <v/>
      </c>
      <c r="C209" s="45">
        <f>IF('4 Prod Cocina SL'!$B28="","",'4 Prod Cocina SL'!$B28)</f>
        <v/>
      </c>
      <c r="D209" s="79">
        <f>'4 Prod Cocina SL'!$Q28</f>
        <v/>
      </c>
      <c r="E209" s="80">
        <f>IF($B209="","",SUMIFS('8 Fudo Ventas'!$B$6:$B$305,'8 Fudo Ventas'!$D$6:$D$305,$B209,'8 Fudo Ventas'!$C$6:$C$305,$A209))</f>
        <v/>
      </c>
      <c r="F209" s="80">
        <f>IF($B209="","",SUMIFS('8 Fudo Consumos'!$D$6:$D$255,'8 Fudo Consumos'!$B$6:$B$255,$B209,'8 Fudo Consumos'!$C$6:$C$255,$A209))</f>
        <v/>
      </c>
      <c r="G209" s="79">
        <f>'4 Prod Cocina SL'!$R28</f>
        <v/>
      </c>
      <c r="H209" s="80">
        <f>IF($B209="","",SUMIFS('5 Descartes'!$D$6:$D$205,'5 Descartes'!$C$6:$C$205,$B209,'5 Descartes'!$B$6:$B$205,$A209))</f>
        <v/>
      </c>
      <c r="I209" s="80">
        <f>IF($B209="","",$G209-$H209)</f>
        <v/>
      </c>
      <c r="J209" s="81">
        <f>IF($B209="","",$D209-$E209-$F209-$G209)</f>
        <v/>
      </c>
      <c r="K209" s="71">
        <f>IF(OR($B209="",$D209=0),"",$J209/$D209)</f>
        <v/>
      </c>
      <c r="L209" s="75">
        <f>IF($B209="","",IF($D209=0,"Sin produccion registrada",IF($E209=0,"Sin ventas mapeadas en Fudo",IF(AND($K209&lt;&gt;"",ABS($K209)&gt;Config!$B$48),IF($J209&gt;0,"Salida sin explicar: consumo no registrado o faltante","Se vendio mas de lo elaborado: revisar stock previo"),IF($I209&lt;&gt;0,"Hay descarte sin detallar en la planilla 5","OK")))))</f>
        <v/>
      </c>
      <c r="M209" s="76">
        <f>IF($K209="","",ABS($K209)+ROW()/1000000)</f>
        <v/>
      </c>
    </row>
    <row r="210">
      <c r="A210" s="27" t="inlineStr">
        <is>
          <t>Cocina San Luis</t>
        </is>
      </c>
      <c r="B210" s="23">
        <f>IF('4 Prod Cocina SL'!$A29="","",'4 Prod Cocina SL'!$A29)</f>
        <v/>
      </c>
      <c r="C210" s="40">
        <f>IF('4 Prod Cocina SL'!$B29="","",'4 Prod Cocina SL'!$B29)</f>
        <v/>
      </c>
      <c r="D210" s="79">
        <f>'4 Prod Cocina SL'!$Q29</f>
        <v/>
      </c>
      <c r="E210" s="80">
        <f>IF($B210="","",SUMIFS('8 Fudo Ventas'!$B$6:$B$305,'8 Fudo Ventas'!$D$6:$D$305,$B210,'8 Fudo Ventas'!$C$6:$C$305,$A210))</f>
        <v/>
      </c>
      <c r="F210" s="80">
        <f>IF($B210="","",SUMIFS('8 Fudo Consumos'!$D$6:$D$255,'8 Fudo Consumos'!$B$6:$B$255,$B210,'8 Fudo Consumos'!$C$6:$C$255,$A210))</f>
        <v/>
      </c>
      <c r="G210" s="79">
        <f>'4 Prod Cocina SL'!$R29</f>
        <v/>
      </c>
      <c r="H210" s="80">
        <f>IF($B210="","",SUMIFS('5 Descartes'!$D$6:$D$205,'5 Descartes'!$C$6:$C$205,$B210,'5 Descartes'!$B$6:$B$205,$A210))</f>
        <v/>
      </c>
      <c r="I210" s="80">
        <f>IF($B210="","",$G210-$H210)</f>
        <v/>
      </c>
      <c r="J210" s="81">
        <f>IF($B210="","",$D210-$E210-$F210-$G210)</f>
        <v/>
      </c>
      <c r="K210" s="71">
        <f>IF(OR($B210="",$D210=0),"",$J210/$D210)</f>
        <v/>
      </c>
      <c r="L210" s="75">
        <f>IF($B210="","",IF($D210=0,"Sin produccion registrada",IF($E210=0,"Sin ventas mapeadas en Fudo",IF(AND($K210&lt;&gt;"",ABS($K210)&gt;Config!$B$48),IF($J210&gt;0,"Salida sin explicar: consumo no registrado o faltante","Se vendio mas de lo elaborado: revisar stock previo"),IF($I210&lt;&gt;0,"Hay descarte sin detallar en la planilla 5","OK")))))</f>
        <v/>
      </c>
      <c r="M210" s="76">
        <f>IF($K210="","",ABS($K210)+ROW()/1000000)</f>
        <v/>
      </c>
    </row>
    <row r="211">
      <c r="A211" s="31" t="inlineStr">
        <is>
          <t>Cocina San Luis</t>
        </is>
      </c>
      <c r="B211" s="82">
        <f>IF('4 Prod Cocina SL'!$A30="","",'4 Prod Cocina SL'!$A30)</f>
        <v/>
      </c>
      <c r="C211" s="45">
        <f>IF('4 Prod Cocina SL'!$B30="","",'4 Prod Cocina SL'!$B30)</f>
        <v/>
      </c>
      <c r="D211" s="79">
        <f>'4 Prod Cocina SL'!$Q30</f>
        <v/>
      </c>
      <c r="E211" s="80">
        <f>IF($B211="","",SUMIFS('8 Fudo Ventas'!$B$6:$B$305,'8 Fudo Ventas'!$D$6:$D$305,$B211,'8 Fudo Ventas'!$C$6:$C$305,$A211))</f>
        <v/>
      </c>
      <c r="F211" s="80">
        <f>IF($B211="","",SUMIFS('8 Fudo Consumos'!$D$6:$D$255,'8 Fudo Consumos'!$B$6:$B$255,$B211,'8 Fudo Consumos'!$C$6:$C$255,$A211))</f>
        <v/>
      </c>
      <c r="G211" s="79">
        <f>'4 Prod Cocina SL'!$R30</f>
        <v/>
      </c>
      <c r="H211" s="80">
        <f>IF($B211="","",SUMIFS('5 Descartes'!$D$6:$D$205,'5 Descartes'!$C$6:$C$205,$B211,'5 Descartes'!$B$6:$B$205,$A211))</f>
        <v/>
      </c>
      <c r="I211" s="80">
        <f>IF($B211="","",$G211-$H211)</f>
        <v/>
      </c>
      <c r="J211" s="81">
        <f>IF($B211="","",$D211-$E211-$F211-$G211)</f>
        <v/>
      </c>
      <c r="K211" s="71">
        <f>IF(OR($B211="",$D211=0),"",$J211/$D211)</f>
        <v/>
      </c>
      <c r="L211" s="75">
        <f>IF($B211="","",IF($D211=0,"Sin produccion registrada",IF($E211=0,"Sin ventas mapeadas en Fudo",IF(AND($K211&lt;&gt;"",ABS($K211)&gt;Config!$B$48),IF($J211&gt;0,"Salida sin explicar: consumo no registrado o faltante","Se vendio mas de lo elaborado: revisar stock previo"),IF($I211&lt;&gt;0,"Hay descarte sin detallar en la planilla 5","OK")))))</f>
        <v/>
      </c>
      <c r="M211" s="76">
        <f>IF($K211="","",ABS($K211)+ROW()/1000000)</f>
        <v/>
      </c>
    </row>
    <row r="212">
      <c r="A212" s="27" t="inlineStr">
        <is>
          <t>Cocina San Luis</t>
        </is>
      </c>
      <c r="B212" s="23">
        <f>IF('4 Prod Cocina SL'!$A31="","",'4 Prod Cocina SL'!$A31)</f>
        <v/>
      </c>
      <c r="C212" s="40">
        <f>IF('4 Prod Cocina SL'!$B31="","",'4 Prod Cocina SL'!$B31)</f>
        <v/>
      </c>
      <c r="D212" s="79">
        <f>'4 Prod Cocina SL'!$Q31</f>
        <v/>
      </c>
      <c r="E212" s="80">
        <f>IF($B212="","",SUMIFS('8 Fudo Ventas'!$B$6:$B$305,'8 Fudo Ventas'!$D$6:$D$305,$B212,'8 Fudo Ventas'!$C$6:$C$305,$A212))</f>
        <v/>
      </c>
      <c r="F212" s="80">
        <f>IF($B212="","",SUMIFS('8 Fudo Consumos'!$D$6:$D$255,'8 Fudo Consumos'!$B$6:$B$255,$B212,'8 Fudo Consumos'!$C$6:$C$255,$A212))</f>
        <v/>
      </c>
      <c r="G212" s="79">
        <f>'4 Prod Cocina SL'!$R31</f>
        <v/>
      </c>
      <c r="H212" s="80">
        <f>IF($B212="","",SUMIFS('5 Descartes'!$D$6:$D$205,'5 Descartes'!$C$6:$C$205,$B212,'5 Descartes'!$B$6:$B$205,$A212))</f>
        <v/>
      </c>
      <c r="I212" s="80">
        <f>IF($B212="","",$G212-$H212)</f>
        <v/>
      </c>
      <c r="J212" s="81">
        <f>IF($B212="","",$D212-$E212-$F212-$G212)</f>
        <v/>
      </c>
      <c r="K212" s="71">
        <f>IF(OR($B212="",$D212=0),"",$J212/$D212)</f>
        <v/>
      </c>
      <c r="L212" s="75">
        <f>IF($B212="","",IF($D212=0,"Sin produccion registrada",IF($E212=0,"Sin ventas mapeadas en Fudo",IF(AND($K212&lt;&gt;"",ABS($K212)&gt;Config!$B$48),IF($J212&gt;0,"Salida sin explicar: consumo no registrado o faltante","Se vendio mas de lo elaborado: revisar stock previo"),IF($I212&lt;&gt;0,"Hay descarte sin detallar en la planilla 5","OK")))))</f>
        <v/>
      </c>
      <c r="M212" s="76">
        <f>IF($K212="","",ABS($K212)+ROW()/1000000)</f>
        <v/>
      </c>
    </row>
    <row r="213">
      <c r="A213" s="31" t="inlineStr">
        <is>
          <t>Cocina San Luis</t>
        </is>
      </c>
      <c r="B213" s="82">
        <f>IF('4 Prod Cocina SL'!$A32="","",'4 Prod Cocina SL'!$A32)</f>
        <v/>
      </c>
      <c r="C213" s="45">
        <f>IF('4 Prod Cocina SL'!$B32="","",'4 Prod Cocina SL'!$B32)</f>
        <v/>
      </c>
      <c r="D213" s="79">
        <f>'4 Prod Cocina SL'!$Q32</f>
        <v/>
      </c>
      <c r="E213" s="80">
        <f>IF($B213="","",SUMIFS('8 Fudo Ventas'!$B$6:$B$305,'8 Fudo Ventas'!$D$6:$D$305,$B213,'8 Fudo Ventas'!$C$6:$C$305,$A213))</f>
        <v/>
      </c>
      <c r="F213" s="80">
        <f>IF($B213="","",SUMIFS('8 Fudo Consumos'!$D$6:$D$255,'8 Fudo Consumos'!$B$6:$B$255,$B213,'8 Fudo Consumos'!$C$6:$C$255,$A213))</f>
        <v/>
      </c>
      <c r="G213" s="79">
        <f>'4 Prod Cocina SL'!$R32</f>
        <v/>
      </c>
      <c r="H213" s="80">
        <f>IF($B213="","",SUMIFS('5 Descartes'!$D$6:$D$205,'5 Descartes'!$C$6:$C$205,$B213,'5 Descartes'!$B$6:$B$205,$A213))</f>
        <v/>
      </c>
      <c r="I213" s="80">
        <f>IF($B213="","",$G213-$H213)</f>
        <v/>
      </c>
      <c r="J213" s="81">
        <f>IF($B213="","",$D213-$E213-$F213-$G213)</f>
        <v/>
      </c>
      <c r="K213" s="71">
        <f>IF(OR($B213="",$D213=0),"",$J213/$D213)</f>
        <v/>
      </c>
      <c r="L213" s="75">
        <f>IF($B213="","",IF($D213=0,"Sin produccion registrada",IF($E213=0,"Sin ventas mapeadas en Fudo",IF(AND($K213&lt;&gt;"",ABS($K213)&gt;Config!$B$48),IF($J213&gt;0,"Salida sin explicar: consumo no registrado o faltante","Se vendio mas de lo elaborado: revisar stock previo"),IF($I213&lt;&gt;0,"Hay descarte sin detallar en la planilla 5","OK")))))</f>
        <v/>
      </c>
      <c r="M213" s="76">
        <f>IF($K213="","",ABS($K213)+ROW()/1000000)</f>
        <v/>
      </c>
    </row>
    <row r="214">
      <c r="A214" s="27" t="inlineStr">
        <is>
          <t>Cocina San Luis</t>
        </is>
      </c>
      <c r="B214" s="23">
        <f>IF('4 Prod Cocina SL'!$A33="","",'4 Prod Cocina SL'!$A33)</f>
        <v/>
      </c>
      <c r="C214" s="40">
        <f>IF('4 Prod Cocina SL'!$B33="","",'4 Prod Cocina SL'!$B33)</f>
        <v/>
      </c>
      <c r="D214" s="79">
        <f>'4 Prod Cocina SL'!$Q33</f>
        <v/>
      </c>
      <c r="E214" s="80">
        <f>IF($B214="","",SUMIFS('8 Fudo Ventas'!$B$6:$B$305,'8 Fudo Ventas'!$D$6:$D$305,$B214,'8 Fudo Ventas'!$C$6:$C$305,$A214))</f>
        <v/>
      </c>
      <c r="F214" s="80">
        <f>IF($B214="","",SUMIFS('8 Fudo Consumos'!$D$6:$D$255,'8 Fudo Consumos'!$B$6:$B$255,$B214,'8 Fudo Consumos'!$C$6:$C$255,$A214))</f>
        <v/>
      </c>
      <c r="G214" s="79">
        <f>'4 Prod Cocina SL'!$R33</f>
        <v/>
      </c>
      <c r="H214" s="80">
        <f>IF($B214="","",SUMIFS('5 Descartes'!$D$6:$D$205,'5 Descartes'!$C$6:$C$205,$B214,'5 Descartes'!$B$6:$B$205,$A214))</f>
        <v/>
      </c>
      <c r="I214" s="80">
        <f>IF($B214="","",$G214-$H214)</f>
        <v/>
      </c>
      <c r="J214" s="81">
        <f>IF($B214="","",$D214-$E214-$F214-$G214)</f>
        <v/>
      </c>
      <c r="K214" s="71">
        <f>IF(OR($B214="",$D214=0),"",$J214/$D214)</f>
        <v/>
      </c>
      <c r="L214" s="75">
        <f>IF($B214="","",IF($D214=0,"Sin produccion registrada",IF($E214=0,"Sin ventas mapeadas en Fudo",IF(AND($K214&lt;&gt;"",ABS($K214)&gt;Config!$B$48),IF($J214&gt;0,"Salida sin explicar: consumo no registrado o faltante","Se vendio mas de lo elaborado: revisar stock previo"),IF($I214&lt;&gt;0,"Hay descarte sin detallar en la planilla 5","OK")))))</f>
        <v/>
      </c>
      <c r="M214" s="76">
        <f>IF($K214="","",ABS($K214)+ROW()/1000000)</f>
        <v/>
      </c>
    </row>
    <row r="215">
      <c r="A215" s="31" t="inlineStr">
        <is>
          <t>Cocina San Luis</t>
        </is>
      </c>
      <c r="B215" s="82">
        <f>IF('4 Prod Cocina SL'!$A34="","",'4 Prod Cocina SL'!$A34)</f>
        <v/>
      </c>
      <c r="C215" s="45">
        <f>IF('4 Prod Cocina SL'!$B34="","",'4 Prod Cocina SL'!$B34)</f>
        <v/>
      </c>
      <c r="D215" s="79">
        <f>'4 Prod Cocina SL'!$Q34</f>
        <v/>
      </c>
      <c r="E215" s="80">
        <f>IF($B215="","",SUMIFS('8 Fudo Ventas'!$B$6:$B$305,'8 Fudo Ventas'!$D$6:$D$305,$B215,'8 Fudo Ventas'!$C$6:$C$305,$A215))</f>
        <v/>
      </c>
      <c r="F215" s="80">
        <f>IF($B215="","",SUMIFS('8 Fudo Consumos'!$D$6:$D$255,'8 Fudo Consumos'!$B$6:$B$255,$B215,'8 Fudo Consumos'!$C$6:$C$255,$A215))</f>
        <v/>
      </c>
      <c r="G215" s="79">
        <f>'4 Prod Cocina SL'!$R34</f>
        <v/>
      </c>
      <c r="H215" s="80">
        <f>IF($B215="","",SUMIFS('5 Descartes'!$D$6:$D$205,'5 Descartes'!$C$6:$C$205,$B215,'5 Descartes'!$B$6:$B$205,$A215))</f>
        <v/>
      </c>
      <c r="I215" s="80">
        <f>IF($B215="","",$G215-$H215)</f>
        <v/>
      </c>
      <c r="J215" s="81">
        <f>IF($B215="","",$D215-$E215-$F215-$G215)</f>
        <v/>
      </c>
      <c r="K215" s="71">
        <f>IF(OR($B215="",$D215=0),"",$J215/$D215)</f>
        <v/>
      </c>
      <c r="L215" s="75">
        <f>IF($B215="","",IF($D215=0,"Sin produccion registrada",IF($E215=0,"Sin ventas mapeadas en Fudo",IF(AND($K215&lt;&gt;"",ABS($K215)&gt;Config!$B$48),IF($J215&gt;0,"Salida sin explicar: consumo no registrado o faltante","Se vendio mas de lo elaborado: revisar stock previo"),IF($I215&lt;&gt;0,"Hay descarte sin detallar en la planilla 5","OK")))))</f>
        <v/>
      </c>
      <c r="M215" s="76">
        <f>IF($K215="","",ABS($K215)+ROW()/1000000)</f>
        <v/>
      </c>
    </row>
    <row r="216">
      <c r="A216" s="27" t="inlineStr">
        <is>
          <t>Cocina San Luis</t>
        </is>
      </c>
      <c r="B216" s="23">
        <f>IF('4 Prod Cocina SL'!$A35="","",'4 Prod Cocina SL'!$A35)</f>
        <v/>
      </c>
      <c r="C216" s="40">
        <f>IF('4 Prod Cocina SL'!$B35="","",'4 Prod Cocina SL'!$B35)</f>
        <v/>
      </c>
      <c r="D216" s="79">
        <f>'4 Prod Cocina SL'!$Q35</f>
        <v/>
      </c>
      <c r="E216" s="80">
        <f>IF($B216="","",SUMIFS('8 Fudo Ventas'!$B$6:$B$305,'8 Fudo Ventas'!$D$6:$D$305,$B216,'8 Fudo Ventas'!$C$6:$C$305,$A216))</f>
        <v/>
      </c>
      <c r="F216" s="80">
        <f>IF($B216="","",SUMIFS('8 Fudo Consumos'!$D$6:$D$255,'8 Fudo Consumos'!$B$6:$B$255,$B216,'8 Fudo Consumos'!$C$6:$C$255,$A216))</f>
        <v/>
      </c>
      <c r="G216" s="79">
        <f>'4 Prod Cocina SL'!$R35</f>
        <v/>
      </c>
      <c r="H216" s="80">
        <f>IF($B216="","",SUMIFS('5 Descartes'!$D$6:$D$205,'5 Descartes'!$C$6:$C$205,$B216,'5 Descartes'!$B$6:$B$205,$A216))</f>
        <v/>
      </c>
      <c r="I216" s="80">
        <f>IF($B216="","",$G216-$H216)</f>
        <v/>
      </c>
      <c r="J216" s="81">
        <f>IF($B216="","",$D216-$E216-$F216-$G216)</f>
        <v/>
      </c>
      <c r="K216" s="71">
        <f>IF(OR($B216="",$D216=0),"",$J216/$D216)</f>
        <v/>
      </c>
      <c r="L216" s="75">
        <f>IF($B216="","",IF($D216=0,"Sin produccion registrada",IF($E216=0,"Sin ventas mapeadas en Fudo",IF(AND($K216&lt;&gt;"",ABS($K216)&gt;Config!$B$48),IF($J216&gt;0,"Salida sin explicar: consumo no registrado o faltante","Se vendio mas de lo elaborado: revisar stock previo"),IF($I216&lt;&gt;0,"Hay descarte sin detallar en la planilla 5","OK")))))</f>
        <v/>
      </c>
      <c r="M216" s="76">
        <f>IF($K216="","",ABS($K216)+ROW()/1000000)</f>
        <v/>
      </c>
    </row>
    <row r="217">
      <c r="A217" s="31" t="inlineStr">
        <is>
          <t>Cocina San Luis</t>
        </is>
      </c>
      <c r="B217" s="82">
        <f>IF('4 Prod Cocina SL'!$A36="","",'4 Prod Cocina SL'!$A36)</f>
        <v/>
      </c>
      <c r="C217" s="45">
        <f>IF('4 Prod Cocina SL'!$B36="","",'4 Prod Cocina SL'!$B36)</f>
        <v/>
      </c>
      <c r="D217" s="79">
        <f>'4 Prod Cocina SL'!$Q36</f>
        <v/>
      </c>
      <c r="E217" s="80">
        <f>IF($B217="","",SUMIFS('8 Fudo Ventas'!$B$6:$B$305,'8 Fudo Ventas'!$D$6:$D$305,$B217,'8 Fudo Ventas'!$C$6:$C$305,$A217))</f>
        <v/>
      </c>
      <c r="F217" s="80">
        <f>IF($B217="","",SUMIFS('8 Fudo Consumos'!$D$6:$D$255,'8 Fudo Consumos'!$B$6:$B$255,$B217,'8 Fudo Consumos'!$C$6:$C$255,$A217))</f>
        <v/>
      </c>
      <c r="G217" s="79">
        <f>'4 Prod Cocina SL'!$R36</f>
        <v/>
      </c>
      <c r="H217" s="80">
        <f>IF($B217="","",SUMIFS('5 Descartes'!$D$6:$D$205,'5 Descartes'!$C$6:$C$205,$B217,'5 Descartes'!$B$6:$B$205,$A217))</f>
        <v/>
      </c>
      <c r="I217" s="80">
        <f>IF($B217="","",$G217-$H217)</f>
        <v/>
      </c>
      <c r="J217" s="81">
        <f>IF($B217="","",$D217-$E217-$F217-$G217)</f>
        <v/>
      </c>
      <c r="K217" s="71">
        <f>IF(OR($B217="",$D217=0),"",$J217/$D217)</f>
        <v/>
      </c>
      <c r="L217" s="75">
        <f>IF($B217="","",IF($D217=0,"Sin produccion registrada",IF($E217=0,"Sin ventas mapeadas en Fudo",IF(AND($K217&lt;&gt;"",ABS($K217)&gt;Config!$B$48),IF($J217&gt;0,"Salida sin explicar: consumo no registrado o faltante","Se vendio mas de lo elaborado: revisar stock previo"),IF($I217&lt;&gt;0,"Hay descarte sin detallar en la planilla 5","OK")))))</f>
        <v/>
      </c>
      <c r="M217" s="76">
        <f>IF($K217="","",ABS($K217)+ROW()/1000000)</f>
        <v/>
      </c>
    </row>
    <row r="218">
      <c r="A218" s="27" t="inlineStr">
        <is>
          <t>Cocina San Luis</t>
        </is>
      </c>
      <c r="B218" s="23">
        <f>IF('4 Prod Cocina SL'!$A37="","",'4 Prod Cocina SL'!$A37)</f>
        <v/>
      </c>
      <c r="C218" s="40">
        <f>IF('4 Prod Cocina SL'!$B37="","",'4 Prod Cocina SL'!$B37)</f>
        <v/>
      </c>
      <c r="D218" s="79">
        <f>'4 Prod Cocina SL'!$Q37</f>
        <v/>
      </c>
      <c r="E218" s="80">
        <f>IF($B218="","",SUMIFS('8 Fudo Ventas'!$B$6:$B$305,'8 Fudo Ventas'!$D$6:$D$305,$B218,'8 Fudo Ventas'!$C$6:$C$305,$A218))</f>
        <v/>
      </c>
      <c r="F218" s="80">
        <f>IF($B218="","",SUMIFS('8 Fudo Consumos'!$D$6:$D$255,'8 Fudo Consumos'!$B$6:$B$255,$B218,'8 Fudo Consumos'!$C$6:$C$255,$A218))</f>
        <v/>
      </c>
      <c r="G218" s="79">
        <f>'4 Prod Cocina SL'!$R37</f>
        <v/>
      </c>
      <c r="H218" s="80">
        <f>IF($B218="","",SUMIFS('5 Descartes'!$D$6:$D$205,'5 Descartes'!$C$6:$C$205,$B218,'5 Descartes'!$B$6:$B$205,$A218))</f>
        <v/>
      </c>
      <c r="I218" s="80">
        <f>IF($B218="","",$G218-$H218)</f>
        <v/>
      </c>
      <c r="J218" s="81">
        <f>IF($B218="","",$D218-$E218-$F218-$G218)</f>
        <v/>
      </c>
      <c r="K218" s="71">
        <f>IF(OR($B218="",$D218=0),"",$J218/$D218)</f>
        <v/>
      </c>
      <c r="L218" s="75">
        <f>IF($B218="","",IF($D218=0,"Sin produccion registrada",IF($E218=0,"Sin ventas mapeadas en Fudo",IF(AND($K218&lt;&gt;"",ABS($K218)&gt;Config!$B$48),IF($J218&gt;0,"Salida sin explicar: consumo no registrado o faltante","Se vendio mas de lo elaborado: revisar stock previo"),IF($I218&lt;&gt;0,"Hay descarte sin detallar en la planilla 5","OK")))))</f>
        <v/>
      </c>
      <c r="M218" s="76">
        <f>IF($K218="","",ABS($K218)+ROW()/1000000)</f>
        <v/>
      </c>
    </row>
    <row r="219">
      <c r="A219" s="31" t="inlineStr">
        <is>
          <t>Cocina San Luis</t>
        </is>
      </c>
      <c r="B219" s="82">
        <f>IF('4 Prod Cocina SL'!$A38="","",'4 Prod Cocina SL'!$A38)</f>
        <v/>
      </c>
      <c r="C219" s="45">
        <f>IF('4 Prod Cocina SL'!$B38="","",'4 Prod Cocina SL'!$B38)</f>
        <v/>
      </c>
      <c r="D219" s="79">
        <f>'4 Prod Cocina SL'!$Q38</f>
        <v/>
      </c>
      <c r="E219" s="80">
        <f>IF($B219="","",SUMIFS('8 Fudo Ventas'!$B$6:$B$305,'8 Fudo Ventas'!$D$6:$D$305,$B219,'8 Fudo Ventas'!$C$6:$C$305,$A219))</f>
        <v/>
      </c>
      <c r="F219" s="80">
        <f>IF($B219="","",SUMIFS('8 Fudo Consumos'!$D$6:$D$255,'8 Fudo Consumos'!$B$6:$B$255,$B219,'8 Fudo Consumos'!$C$6:$C$255,$A219))</f>
        <v/>
      </c>
      <c r="G219" s="79">
        <f>'4 Prod Cocina SL'!$R38</f>
        <v/>
      </c>
      <c r="H219" s="80">
        <f>IF($B219="","",SUMIFS('5 Descartes'!$D$6:$D$205,'5 Descartes'!$C$6:$C$205,$B219,'5 Descartes'!$B$6:$B$205,$A219))</f>
        <v/>
      </c>
      <c r="I219" s="80">
        <f>IF($B219="","",$G219-$H219)</f>
        <v/>
      </c>
      <c r="J219" s="81">
        <f>IF($B219="","",$D219-$E219-$F219-$G219)</f>
        <v/>
      </c>
      <c r="K219" s="71">
        <f>IF(OR($B219="",$D219=0),"",$J219/$D219)</f>
        <v/>
      </c>
      <c r="L219" s="75">
        <f>IF($B219="","",IF($D219=0,"Sin produccion registrada",IF($E219=0,"Sin ventas mapeadas en Fudo",IF(AND($K219&lt;&gt;"",ABS($K219)&gt;Config!$B$48),IF($J219&gt;0,"Salida sin explicar: consumo no registrado o faltante","Se vendio mas de lo elaborado: revisar stock previo"),IF($I219&lt;&gt;0,"Hay descarte sin detallar en la planilla 5","OK")))))</f>
        <v/>
      </c>
      <c r="M219" s="76">
        <f>IF($K219="","",ABS($K219)+ROW()/1000000)</f>
        <v/>
      </c>
    </row>
    <row r="220">
      <c r="A220" s="27" t="inlineStr">
        <is>
          <t>Cocina San Luis</t>
        </is>
      </c>
      <c r="B220" s="23">
        <f>IF('4 Prod Cocina SL'!$A39="","",'4 Prod Cocina SL'!$A39)</f>
        <v/>
      </c>
      <c r="C220" s="40">
        <f>IF('4 Prod Cocina SL'!$B39="","",'4 Prod Cocina SL'!$B39)</f>
        <v/>
      </c>
      <c r="D220" s="79">
        <f>'4 Prod Cocina SL'!$Q39</f>
        <v/>
      </c>
      <c r="E220" s="80">
        <f>IF($B220="","",SUMIFS('8 Fudo Ventas'!$B$6:$B$305,'8 Fudo Ventas'!$D$6:$D$305,$B220,'8 Fudo Ventas'!$C$6:$C$305,$A220))</f>
        <v/>
      </c>
      <c r="F220" s="80">
        <f>IF($B220="","",SUMIFS('8 Fudo Consumos'!$D$6:$D$255,'8 Fudo Consumos'!$B$6:$B$255,$B220,'8 Fudo Consumos'!$C$6:$C$255,$A220))</f>
        <v/>
      </c>
      <c r="G220" s="79">
        <f>'4 Prod Cocina SL'!$R39</f>
        <v/>
      </c>
      <c r="H220" s="80">
        <f>IF($B220="","",SUMIFS('5 Descartes'!$D$6:$D$205,'5 Descartes'!$C$6:$C$205,$B220,'5 Descartes'!$B$6:$B$205,$A220))</f>
        <v/>
      </c>
      <c r="I220" s="80">
        <f>IF($B220="","",$G220-$H220)</f>
        <v/>
      </c>
      <c r="J220" s="81">
        <f>IF($B220="","",$D220-$E220-$F220-$G220)</f>
        <v/>
      </c>
      <c r="K220" s="71">
        <f>IF(OR($B220="",$D220=0),"",$J220/$D220)</f>
        <v/>
      </c>
      <c r="L220" s="75">
        <f>IF($B220="","",IF($D220=0,"Sin produccion registrada",IF($E220=0,"Sin ventas mapeadas en Fudo",IF(AND($K220&lt;&gt;"",ABS($K220)&gt;Config!$B$48),IF($J220&gt;0,"Salida sin explicar: consumo no registrado o faltante","Se vendio mas de lo elaborado: revisar stock previo"),IF($I220&lt;&gt;0,"Hay descarte sin detallar en la planilla 5","OK")))))</f>
        <v/>
      </c>
      <c r="M220" s="76">
        <f>IF($K220="","",ABS($K220)+ROW()/1000000)</f>
        <v/>
      </c>
    </row>
    <row r="221">
      <c r="A221" s="31" t="inlineStr">
        <is>
          <t>Cocina San Luis</t>
        </is>
      </c>
      <c r="B221" s="82">
        <f>IF('4 Prod Cocina SL'!$A40="","",'4 Prod Cocina SL'!$A40)</f>
        <v/>
      </c>
      <c r="C221" s="45">
        <f>IF('4 Prod Cocina SL'!$B40="","",'4 Prod Cocina SL'!$B40)</f>
        <v/>
      </c>
      <c r="D221" s="79">
        <f>'4 Prod Cocina SL'!$Q40</f>
        <v/>
      </c>
      <c r="E221" s="80">
        <f>IF($B221="","",SUMIFS('8 Fudo Ventas'!$B$6:$B$305,'8 Fudo Ventas'!$D$6:$D$305,$B221,'8 Fudo Ventas'!$C$6:$C$305,$A221))</f>
        <v/>
      </c>
      <c r="F221" s="80">
        <f>IF($B221="","",SUMIFS('8 Fudo Consumos'!$D$6:$D$255,'8 Fudo Consumos'!$B$6:$B$255,$B221,'8 Fudo Consumos'!$C$6:$C$255,$A221))</f>
        <v/>
      </c>
      <c r="G221" s="79">
        <f>'4 Prod Cocina SL'!$R40</f>
        <v/>
      </c>
      <c r="H221" s="80">
        <f>IF($B221="","",SUMIFS('5 Descartes'!$D$6:$D$205,'5 Descartes'!$C$6:$C$205,$B221,'5 Descartes'!$B$6:$B$205,$A221))</f>
        <v/>
      </c>
      <c r="I221" s="80">
        <f>IF($B221="","",$G221-$H221)</f>
        <v/>
      </c>
      <c r="J221" s="81">
        <f>IF($B221="","",$D221-$E221-$F221-$G221)</f>
        <v/>
      </c>
      <c r="K221" s="71">
        <f>IF(OR($B221="",$D221=0),"",$J221/$D221)</f>
        <v/>
      </c>
      <c r="L221" s="75">
        <f>IF($B221="","",IF($D221=0,"Sin produccion registrada",IF($E221=0,"Sin ventas mapeadas en Fudo",IF(AND($K221&lt;&gt;"",ABS($K221)&gt;Config!$B$48),IF($J221&gt;0,"Salida sin explicar: consumo no registrado o faltante","Se vendio mas de lo elaborado: revisar stock previo"),IF($I221&lt;&gt;0,"Hay descarte sin detallar en la planilla 5","OK")))))</f>
        <v/>
      </c>
      <c r="M221" s="76">
        <f>IF($K221="","",ABS($K221)+ROW()/1000000)</f>
        <v/>
      </c>
    </row>
    <row r="222">
      <c r="A222" s="27" t="inlineStr">
        <is>
          <t>Cocina San Luis</t>
        </is>
      </c>
      <c r="B222" s="23">
        <f>IF('4 Prod Cocina SL'!$A41="","",'4 Prod Cocina SL'!$A41)</f>
        <v/>
      </c>
      <c r="C222" s="40">
        <f>IF('4 Prod Cocina SL'!$B41="","",'4 Prod Cocina SL'!$B41)</f>
        <v/>
      </c>
      <c r="D222" s="79">
        <f>'4 Prod Cocina SL'!$Q41</f>
        <v/>
      </c>
      <c r="E222" s="80">
        <f>IF($B222="","",SUMIFS('8 Fudo Ventas'!$B$6:$B$305,'8 Fudo Ventas'!$D$6:$D$305,$B222,'8 Fudo Ventas'!$C$6:$C$305,$A222))</f>
        <v/>
      </c>
      <c r="F222" s="80">
        <f>IF($B222="","",SUMIFS('8 Fudo Consumos'!$D$6:$D$255,'8 Fudo Consumos'!$B$6:$B$255,$B222,'8 Fudo Consumos'!$C$6:$C$255,$A222))</f>
        <v/>
      </c>
      <c r="G222" s="79">
        <f>'4 Prod Cocina SL'!$R41</f>
        <v/>
      </c>
      <c r="H222" s="80">
        <f>IF($B222="","",SUMIFS('5 Descartes'!$D$6:$D$205,'5 Descartes'!$C$6:$C$205,$B222,'5 Descartes'!$B$6:$B$205,$A222))</f>
        <v/>
      </c>
      <c r="I222" s="80">
        <f>IF($B222="","",$G222-$H222)</f>
        <v/>
      </c>
      <c r="J222" s="81">
        <f>IF($B222="","",$D222-$E222-$F222-$G222)</f>
        <v/>
      </c>
      <c r="K222" s="71">
        <f>IF(OR($B222="",$D222=0),"",$J222/$D222)</f>
        <v/>
      </c>
      <c r="L222" s="75">
        <f>IF($B222="","",IF($D222=0,"Sin produccion registrada",IF($E222=0,"Sin ventas mapeadas en Fudo",IF(AND($K222&lt;&gt;"",ABS($K222)&gt;Config!$B$48),IF($J222&gt;0,"Salida sin explicar: consumo no registrado o faltante","Se vendio mas de lo elaborado: revisar stock previo"),IF($I222&lt;&gt;0,"Hay descarte sin detallar en la planilla 5","OK")))))</f>
        <v/>
      </c>
      <c r="M222" s="76">
        <f>IF($K222="","",ABS($K222)+ROW()/1000000)</f>
        <v/>
      </c>
    </row>
    <row r="223">
      <c r="A223" s="31" t="inlineStr">
        <is>
          <t>Cocina San Luis</t>
        </is>
      </c>
      <c r="B223" s="82">
        <f>IF('4 Prod Cocina SL'!$A42="","",'4 Prod Cocina SL'!$A42)</f>
        <v/>
      </c>
      <c r="C223" s="45">
        <f>IF('4 Prod Cocina SL'!$B42="","",'4 Prod Cocina SL'!$B42)</f>
        <v/>
      </c>
      <c r="D223" s="79">
        <f>'4 Prod Cocina SL'!$Q42</f>
        <v/>
      </c>
      <c r="E223" s="80">
        <f>IF($B223="","",SUMIFS('8 Fudo Ventas'!$B$6:$B$305,'8 Fudo Ventas'!$D$6:$D$305,$B223,'8 Fudo Ventas'!$C$6:$C$305,$A223))</f>
        <v/>
      </c>
      <c r="F223" s="80">
        <f>IF($B223="","",SUMIFS('8 Fudo Consumos'!$D$6:$D$255,'8 Fudo Consumos'!$B$6:$B$255,$B223,'8 Fudo Consumos'!$C$6:$C$255,$A223))</f>
        <v/>
      </c>
      <c r="G223" s="79">
        <f>'4 Prod Cocina SL'!$R42</f>
        <v/>
      </c>
      <c r="H223" s="80">
        <f>IF($B223="","",SUMIFS('5 Descartes'!$D$6:$D$205,'5 Descartes'!$C$6:$C$205,$B223,'5 Descartes'!$B$6:$B$205,$A223))</f>
        <v/>
      </c>
      <c r="I223" s="80">
        <f>IF($B223="","",$G223-$H223)</f>
        <v/>
      </c>
      <c r="J223" s="81">
        <f>IF($B223="","",$D223-$E223-$F223-$G223)</f>
        <v/>
      </c>
      <c r="K223" s="71">
        <f>IF(OR($B223="",$D223=0),"",$J223/$D223)</f>
        <v/>
      </c>
      <c r="L223" s="75">
        <f>IF($B223="","",IF($D223=0,"Sin produccion registrada",IF($E223=0,"Sin ventas mapeadas en Fudo",IF(AND($K223&lt;&gt;"",ABS($K223)&gt;Config!$B$48),IF($J223&gt;0,"Salida sin explicar: consumo no registrado o faltante","Se vendio mas de lo elaborado: revisar stock previo"),IF($I223&lt;&gt;0,"Hay descarte sin detallar en la planilla 5","OK")))))</f>
        <v/>
      </c>
      <c r="M223" s="76">
        <f>IF($K223="","",ABS($K223)+ROW()/1000000)</f>
        <v/>
      </c>
    </row>
    <row r="224">
      <c r="A224" s="27" t="inlineStr">
        <is>
          <t>Cocina San Luis</t>
        </is>
      </c>
      <c r="B224" s="23">
        <f>IF('4 Prod Cocina SL'!$A43="","",'4 Prod Cocina SL'!$A43)</f>
        <v/>
      </c>
      <c r="C224" s="40">
        <f>IF('4 Prod Cocina SL'!$B43="","",'4 Prod Cocina SL'!$B43)</f>
        <v/>
      </c>
      <c r="D224" s="79">
        <f>'4 Prod Cocina SL'!$Q43</f>
        <v/>
      </c>
      <c r="E224" s="80">
        <f>IF($B224="","",SUMIFS('8 Fudo Ventas'!$B$6:$B$305,'8 Fudo Ventas'!$D$6:$D$305,$B224,'8 Fudo Ventas'!$C$6:$C$305,$A224))</f>
        <v/>
      </c>
      <c r="F224" s="80">
        <f>IF($B224="","",SUMIFS('8 Fudo Consumos'!$D$6:$D$255,'8 Fudo Consumos'!$B$6:$B$255,$B224,'8 Fudo Consumos'!$C$6:$C$255,$A224))</f>
        <v/>
      </c>
      <c r="G224" s="79">
        <f>'4 Prod Cocina SL'!$R43</f>
        <v/>
      </c>
      <c r="H224" s="80">
        <f>IF($B224="","",SUMIFS('5 Descartes'!$D$6:$D$205,'5 Descartes'!$C$6:$C$205,$B224,'5 Descartes'!$B$6:$B$205,$A224))</f>
        <v/>
      </c>
      <c r="I224" s="80">
        <f>IF($B224="","",$G224-$H224)</f>
        <v/>
      </c>
      <c r="J224" s="81">
        <f>IF($B224="","",$D224-$E224-$F224-$G224)</f>
        <v/>
      </c>
      <c r="K224" s="71">
        <f>IF(OR($B224="",$D224=0),"",$J224/$D224)</f>
        <v/>
      </c>
      <c r="L224" s="75">
        <f>IF($B224="","",IF($D224=0,"Sin produccion registrada",IF($E224=0,"Sin ventas mapeadas en Fudo",IF(AND($K224&lt;&gt;"",ABS($K224)&gt;Config!$B$48),IF($J224&gt;0,"Salida sin explicar: consumo no registrado o faltante","Se vendio mas de lo elaborado: revisar stock previo"),IF($I224&lt;&gt;0,"Hay descarte sin detallar en la planilla 5","OK")))))</f>
        <v/>
      </c>
      <c r="M224" s="76">
        <f>IF($K224="","",ABS($K224)+ROW()/1000000)</f>
        <v/>
      </c>
    </row>
    <row r="225">
      <c r="A225" s="31" t="inlineStr">
        <is>
          <t>Cocina San Luis</t>
        </is>
      </c>
      <c r="B225" s="82">
        <f>IF('4 Prod Cocina SL'!$A44="","",'4 Prod Cocina SL'!$A44)</f>
        <v/>
      </c>
      <c r="C225" s="45">
        <f>IF('4 Prod Cocina SL'!$B44="","",'4 Prod Cocina SL'!$B44)</f>
        <v/>
      </c>
      <c r="D225" s="79">
        <f>'4 Prod Cocina SL'!$Q44</f>
        <v/>
      </c>
      <c r="E225" s="80">
        <f>IF($B225="","",SUMIFS('8 Fudo Ventas'!$B$6:$B$305,'8 Fudo Ventas'!$D$6:$D$305,$B225,'8 Fudo Ventas'!$C$6:$C$305,$A225))</f>
        <v/>
      </c>
      <c r="F225" s="80">
        <f>IF($B225="","",SUMIFS('8 Fudo Consumos'!$D$6:$D$255,'8 Fudo Consumos'!$B$6:$B$255,$B225,'8 Fudo Consumos'!$C$6:$C$255,$A225))</f>
        <v/>
      </c>
      <c r="G225" s="79">
        <f>'4 Prod Cocina SL'!$R44</f>
        <v/>
      </c>
      <c r="H225" s="80">
        <f>IF($B225="","",SUMIFS('5 Descartes'!$D$6:$D$205,'5 Descartes'!$C$6:$C$205,$B225,'5 Descartes'!$B$6:$B$205,$A225))</f>
        <v/>
      </c>
      <c r="I225" s="80">
        <f>IF($B225="","",$G225-$H225)</f>
        <v/>
      </c>
      <c r="J225" s="81">
        <f>IF($B225="","",$D225-$E225-$F225-$G225)</f>
        <v/>
      </c>
      <c r="K225" s="71">
        <f>IF(OR($B225="",$D225=0),"",$J225/$D225)</f>
        <v/>
      </c>
      <c r="L225" s="75">
        <f>IF($B225="","",IF($D225=0,"Sin produccion registrada",IF($E225=0,"Sin ventas mapeadas en Fudo",IF(AND($K225&lt;&gt;"",ABS($K225)&gt;Config!$B$48),IF($J225&gt;0,"Salida sin explicar: consumo no registrado o faltante","Se vendio mas de lo elaborado: revisar stock previo"),IF($I225&lt;&gt;0,"Hay descarte sin detallar en la planilla 5","OK")))))</f>
        <v/>
      </c>
      <c r="M225" s="76">
        <f>IF($K225="","",ABS($K225)+ROW()/1000000)</f>
        <v/>
      </c>
    </row>
    <row r="226">
      <c r="A226" s="27" t="inlineStr">
        <is>
          <t>Cocina San Luis</t>
        </is>
      </c>
      <c r="B226" s="23">
        <f>IF('4 Prod Cocina SL'!$A45="","",'4 Prod Cocina SL'!$A45)</f>
        <v/>
      </c>
      <c r="C226" s="40">
        <f>IF('4 Prod Cocina SL'!$B45="","",'4 Prod Cocina SL'!$B45)</f>
        <v/>
      </c>
      <c r="D226" s="79">
        <f>'4 Prod Cocina SL'!$Q45</f>
        <v/>
      </c>
      <c r="E226" s="80">
        <f>IF($B226="","",SUMIFS('8 Fudo Ventas'!$B$6:$B$305,'8 Fudo Ventas'!$D$6:$D$305,$B226,'8 Fudo Ventas'!$C$6:$C$305,$A226))</f>
        <v/>
      </c>
      <c r="F226" s="80">
        <f>IF($B226="","",SUMIFS('8 Fudo Consumos'!$D$6:$D$255,'8 Fudo Consumos'!$B$6:$B$255,$B226,'8 Fudo Consumos'!$C$6:$C$255,$A226))</f>
        <v/>
      </c>
      <c r="G226" s="79">
        <f>'4 Prod Cocina SL'!$R45</f>
        <v/>
      </c>
      <c r="H226" s="80">
        <f>IF($B226="","",SUMIFS('5 Descartes'!$D$6:$D$205,'5 Descartes'!$C$6:$C$205,$B226,'5 Descartes'!$B$6:$B$205,$A226))</f>
        <v/>
      </c>
      <c r="I226" s="80">
        <f>IF($B226="","",$G226-$H226)</f>
        <v/>
      </c>
      <c r="J226" s="81">
        <f>IF($B226="","",$D226-$E226-$F226-$G226)</f>
        <v/>
      </c>
      <c r="K226" s="71">
        <f>IF(OR($B226="",$D226=0),"",$J226/$D226)</f>
        <v/>
      </c>
      <c r="L226" s="75">
        <f>IF($B226="","",IF($D226=0,"Sin produccion registrada",IF($E226=0,"Sin ventas mapeadas en Fudo",IF(AND($K226&lt;&gt;"",ABS($K226)&gt;Config!$B$48),IF($J226&gt;0,"Salida sin explicar: consumo no registrado o faltante","Se vendio mas de lo elaborado: revisar stock previo"),IF($I226&lt;&gt;0,"Hay descarte sin detallar en la planilla 5","OK")))))</f>
        <v/>
      </c>
      <c r="M226" s="76">
        <f>IF($K226="","",ABS($K226)+ROW()/1000000)</f>
        <v/>
      </c>
    </row>
    <row r="227">
      <c r="A227" s="77" t="inlineStr">
        <is>
          <t>TOTALES</t>
        </is>
      </c>
      <c r="B227" s="7" t="n"/>
      <c r="C227" s="7" t="n"/>
      <c r="D227" s="83">
        <f>SUM(D$6:D$226)</f>
        <v/>
      </c>
      <c r="E227" s="83">
        <f>SUM(E$6:E$226)</f>
        <v/>
      </c>
      <c r="F227" s="83">
        <f>SUM(F$6:F$226)</f>
        <v/>
      </c>
      <c r="G227" s="83">
        <f>SUM(G$6:G$226)</f>
        <v/>
      </c>
      <c r="H227" s="83">
        <f>SUM(H$6:H$226)</f>
        <v/>
      </c>
      <c r="I227" s="83">
        <f>SUM(I$6:I$226)</f>
        <v/>
      </c>
      <c r="J227" s="83">
        <f>SUM(J$6:J$226)</f>
        <v/>
      </c>
      <c r="K227" s="84">
        <f>IF($D227=0,"",$J227/$D227)</f>
        <v/>
      </c>
      <c r="L227" s="78">
        <f>COUNTIF($L$6:$L$226,"OK")&amp;" productos OK"</f>
        <v/>
      </c>
      <c r="M227" s="7" t="n"/>
    </row>
  </sheetData>
  <autoFilter ref="A4:L226"/>
  <mergeCells count="3">
    <mergeCell ref="A3:L3"/>
    <mergeCell ref="A2:L2"/>
    <mergeCell ref="A1:L1"/>
  </mergeCells>
  <conditionalFormatting sqref="L6:L226">
    <cfRule type="cellIs" priority="1" operator="equal" dxfId="4">
      <formula>"OK"</formula>
    </cfRule>
    <cfRule type="expression" priority="2" dxfId="2">
      <formula>AND($L6&lt;&gt;"",$L6&lt;&gt;"OK")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3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3" customWidth="1" min="13" max="13"/>
    <col width="34" customWidth="1" min="14" max="14"/>
  </cols>
  <sheetData>
    <row r="1" ht="30" customHeight="1">
      <c r="A1" s="1" t="inlineStr">
        <is>
          <t>ANALISIS C · CONSUMO DIA POR DIA DE LOS INSUMOS CRITICOS</t>
        </is>
      </c>
    </row>
    <row r="2" ht="18" customHeight="1">
      <c r="A2" s="2" t="inlineStr">
        <is>
          <t>Consumo del dia = stock del dia anterior + ingresos de ese dia - stock al cierre del dia. Sale de la planilla 3.</t>
        </is>
      </c>
    </row>
    <row r="3" ht="18" customHeight="1">
      <c r="A3" s="3" t="inlineStr">
        <is>
          <t>Sirve para ubicar EL DIA exacto del desvio. Un consumo negativo = entro mercaderia que nadie anoto ese dia.</t>
        </is>
      </c>
    </row>
    <row r="4" ht="34" customHeight="1">
      <c r="A4" s="6" t="inlineStr">
        <is>
          <t>AREA</t>
        </is>
      </c>
      <c r="B4" s="6" t="inlineStr">
        <is>
          <t>INSUMO</t>
        </is>
      </c>
      <c r="C4" s="6" t="inlineStr">
        <is>
          <t>UNID.</t>
        </is>
      </c>
      <c r="D4" s="6">
        <f>IF(Config!$B$10="","LUN",UPPER("LUN")&amp;" "&amp;TEXT(Config!$B$10,"dd/mm"))</f>
        <v/>
      </c>
      <c r="E4" s="6">
        <f>IF(Config!$B$11="","MAR",UPPER("MAR")&amp;" "&amp;TEXT(Config!$B$11,"dd/mm"))</f>
        <v/>
      </c>
      <c r="F4" s="6">
        <f>IF(Config!$B$12="","MIE",UPPER("MIE")&amp;" "&amp;TEXT(Config!$B$12,"dd/mm"))</f>
        <v/>
      </c>
      <c r="G4" s="6">
        <f>IF(Config!$B$13="","JUE",UPPER("JUE")&amp;" "&amp;TEXT(Config!$B$13,"dd/mm"))</f>
        <v/>
      </c>
      <c r="H4" s="6">
        <f>IF(Config!$B$14="","VIE",UPPER("VIE")&amp;" "&amp;TEXT(Config!$B$14,"dd/mm"))</f>
        <v/>
      </c>
      <c r="I4" s="6">
        <f>IF(Config!$B$15="","SAB",UPPER("SAB")&amp;" "&amp;TEXT(Config!$B$15,"dd/mm"))</f>
        <v/>
      </c>
      <c r="J4" s="6">
        <f>IF(Config!$B$16="","DOM",UPPER("DOM")&amp;" "&amp;TEXT(Config!$B$16,"dd/mm"))</f>
        <v/>
      </c>
      <c r="K4" s="6" t="inlineStr">
        <is>
          <t>TOTAL
SEMANA</t>
        </is>
      </c>
      <c r="L4" s="6" t="inlineStr">
        <is>
          <t>PROMEDIO
POR DIA</t>
        </is>
      </c>
      <c r="M4" s="6" t="inlineStr">
        <is>
          <t>DIA DE MAYOR
CONSUMO</t>
        </is>
      </c>
      <c r="N4" s="6" t="inlineStr">
        <is>
          <t>ALERTA</t>
        </is>
      </c>
    </row>
    <row r="5">
      <c r="A5" s="38">
        <f>Insumos!$A9</f>
        <v/>
      </c>
      <c r="B5" s="39">
        <f>Insumos!$B9</f>
        <v/>
      </c>
      <c r="C5" s="40">
        <f>Insumos!$E9</f>
        <v/>
      </c>
      <c r="D5" s="56">
        <f>IF('3 Conteo Diario'!$S6="","",'1 Inv Inicial'!$G9+SUMIFS('2 Ingresos'!$I$6:$I$255,'2 Ingresos'!$B$6:$B$255,$A5,'2 Ingresos'!$C$6:$C$255,$B5,'2 Ingresos'!$A$6:$A$255,Config!$B$10)-'3 Conteo Diario'!$S6)</f>
        <v/>
      </c>
      <c r="E5" s="56">
        <f>IF(OR('3 Conteo Diario'!$S6="",'3 Conteo Diario'!$T6=""),"",'3 Conteo Diario'!$S6+SUMIFS('2 Ingresos'!$I$6:$I$255,'2 Ingresos'!$B$6:$B$255,$A5,'2 Ingresos'!$C$6:$C$255,$B5,'2 Ingresos'!$A$6:$A$255,Config!$B$11)-'3 Conteo Diario'!$T6)</f>
        <v/>
      </c>
      <c r="F5" s="56">
        <f>IF(OR('3 Conteo Diario'!$T6="",'3 Conteo Diario'!$U6=""),"",'3 Conteo Diario'!$T6+SUMIFS('2 Ingresos'!$I$6:$I$255,'2 Ingresos'!$B$6:$B$255,$A5,'2 Ingresos'!$C$6:$C$255,$B5,'2 Ingresos'!$A$6:$A$255,Config!$B$12)-'3 Conteo Diario'!$U6)</f>
        <v/>
      </c>
      <c r="G5" s="56">
        <f>IF(OR('3 Conteo Diario'!$U6="",'3 Conteo Diario'!$V6=""),"",'3 Conteo Diario'!$U6+SUMIFS('2 Ingresos'!$I$6:$I$255,'2 Ingresos'!$B$6:$B$255,$A5,'2 Ingresos'!$C$6:$C$255,$B5,'2 Ingresos'!$A$6:$A$255,Config!$B$13)-'3 Conteo Diario'!$V6)</f>
        <v/>
      </c>
      <c r="H5" s="56">
        <f>IF(OR('3 Conteo Diario'!$V6="",'3 Conteo Diario'!$W6=""),"",'3 Conteo Diario'!$V6+SUMIFS('2 Ingresos'!$I$6:$I$255,'2 Ingresos'!$B$6:$B$255,$A5,'2 Ingresos'!$C$6:$C$255,$B5,'2 Ingresos'!$A$6:$A$255,Config!$B$14)-'3 Conteo Diario'!$W6)</f>
        <v/>
      </c>
      <c r="I5" s="56">
        <f>IF(OR('3 Conteo Diario'!$W6="",'3 Conteo Diario'!$X6=""),"",'3 Conteo Diario'!$W6+SUMIFS('2 Ingresos'!$I$6:$I$255,'2 Ingresos'!$B$6:$B$255,$A5,'2 Ingresos'!$C$6:$C$255,$B5,'2 Ingresos'!$A$6:$A$255,Config!$B$15)-'3 Conteo Diario'!$X6)</f>
        <v/>
      </c>
      <c r="J5" s="56">
        <f>IF(OR('3 Conteo Diario'!$X6="",'3 Conteo Diario'!$Y6=""),"",'3 Conteo Diario'!$X6+SUMIFS('2 Ingresos'!$I$6:$I$255,'2 Ingresos'!$B$6:$B$255,$A5,'2 Ingresos'!$C$6:$C$255,$B5,'2 Ingresos'!$A$6:$A$255,Config!$B$16)-'3 Conteo Diario'!$Y6)</f>
        <v/>
      </c>
      <c r="K5" s="70">
        <f>IF(COUNT($D5:$J5)=0,"",SUM($D5:$J5))</f>
        <v/>
      </c>
      <c r="L5" s="69">
        <f>IF(COUNT($D5:$J5)=0,"",AVERAGE($D5:$J5))</f>
        <v/>
      </c>
      <c r="M5" s="35">
        <f>IF(COUNT($D5:$J5)=0,"",IFERROR(INDEX($D$4:$J$4,MATCH(MAX($D5:$J5),$D5:$J5,0)),""))</f>
        <v/>
      </c>
      <c r="N5" s="75">
        <f>IF(COUNT($D5:$J5)=0,"Sin conteos cargados",IF(MIN($D5:$J5)&lt;0,"Consumo negativo: ingreso sin registrar",IF(AND($L5&gt;0,MAX($D5:$J5)&gt;2*$L5),"Pico atipico el "&amp;$M5,"OK")))</f>
        <v/>
      </c>
    </row>
    <row r="6">
      <c r="A6" s="43">
        <f>Insumos!$A16</f>
        <v/>
      </c>
      <c r="B6" s="44">
        <f>Insumos!$B16</f>
        <v/>
      </c>
      <c r="C6" s="45">
        <f>Insumos!$E16</f>
        <v/>
      </c>
      <c r="D6" s="56">
        <f>IF('3 Conteo Diario'!$S7="","",'1 Inv Inicial'!$G16+SUMIFS('2 Ingresos'!$I$6:$I$255,'2 Ingresos'!$B$6:$B$255,$A6,'2 Ingresos'!$C$6:$C$255,$B6,'2 Ingresos'!$A$6:$A$255,Config!$B$10)-'3 Conteo Diario'!$S7)</f>
        <v/>
      </c>
      <c r="E6" s="56">
        <f>IF(OR('3 Conteo Diario'!$S7="",'3 Conteo Diario'!$T7=""),"",'3 Conteo Diario'!$S7+SUMIFS('2 Ingresos'!$I$6:$I$255,'2 Ingresos'!$B$6:$B$255,$A6,'2 Ingresos'!$C$6:$C$255,$B6,'2 Ingresos'!$A$6:$A$255,Config!$B$11)-'3 Conteo Diario'!$T7)</f>
        <v/>
      </c>
      <c r="F6" s="56">
        <f>IF(OR('3 Conteo Diario'!$T7="",'3 Conteo Diario'!$U7=""),"",'3 Conteo Diario'!$T7+SUMIFS('2 Ingresos'!$I$6:$I$255,'2 Ingresos'!$B$6:$B$255,$A6,'2 Ingresos'!$C$6:$C$255,$B6,'2 Ingresos'!$A$6:$A$255,Config!$B$12)-'3 Conteo Diario'!$U7)</f>
        <v/>
      </c>
      <c r="G6" s="56">
        <f>IF(OR('3 Conteo Diario'!$U7="",'3 Conteo Diario'!$V7=""),"",'3 Conteo Diario'!$U7+SUMIFS('2 Ingresos'!$I$6:$I$255,'2 Ingresos'!$B$6:$B$255,$A6,'2 Ingresos'!$C$6:$C$255,$B6,'2 Ingresos'!$A$6:$A$255,Config!$B$13)-'3 Conteo Diario'!$V7)</f>
        <v/>
      </c>
      <c r="H6" s="56">
        <f>IF(OR('3 Conteo Diario'!$V7="",'3 Conteo Diario'!$W7=""),"",'3 Conteo Diario'!$V7+SUMIFS('2 Ingresos'!$I$6:$I$255,'2 Ingresos'!$B$6:$B$255,$A6,'2 Ingresos'!$C$6:$C$255,$B6,'2 Ingresos'!$A$6:$A$255,Config!$B$14)-'3 Conteo Diario'!$W7)</f>
        <v/>
      </c>
      <c r="I6" s="56">
        <f>IF(OR('3 Conteo Diario'!$W7="",'3 Conteo Diario'!$X7=""),"",'3 Conteo Diario'!$W7+SUMIFS('2 Ingresos'!$I$6:$I$255,'2 Ingresos'!$B$6:$B$255,$A6,'2 Ingresos'!$C$6:$C$255,$B6,'2 Ingresos'!$A$6:$A$255,Config!$B$15)-'3 Conteo Diario'!$X7)</f>
        <v/>
      </c>
      <c r="J6" s="56">
        <f>IF(OR('3 Conteo Diario'!$X7="",'3 Conteo Diario'!$Y7=""),"",'3 Conteo Diario'!$X7+SUMIFS('2 Ingresos'!$I$6:$I$255,'2 Ingresos'!$B$6:$B$255,$A6,'2 Ingresos'!$C$6:$C$255,$B6,'2 Ingresos'!$A$6:$A$255,Config!$B$16)-'3 Conteo Diario'!$Y7)</f>
        <v/>
      </c>
      <c r="K6" s="70">
        <f>IF(COUNT($D6:$J6)=0,"",SUM($D6:$J6))</f>
        <v/>
      </c>
      <c r="L6" s="69">
        <f>IF(COUNT($D6:$J6)=0,"",AVERAGE($D6:$J6))</f>
        <v/>
      </c>
      <c r="M6" s="35">
        <f>IF(COUNT($D6:$J6)=0,"",IFERROR(INDEX($D$4:$J$4,MATCH(MAX($D6:$J6),$D6:$J6,0)),""))</f>
        <v/>
      </c>
      <c r="N6" s="75">
        <f>IF(COUNT($D6:$J6)=0,"Sin conteos cargados",IF(MIN($D6:$J6)&lt;0,"Consumo negativo: ingreso sin registrar",IF(AND($L6&gt;0,MAX($D6:$J6)&gt;2*$L6),"Pico atipico el "&amp;$M6,"OK")))</f>
        <v/>
      </c>
    </row>
    <row r="7">
      <c r="A7" s="38">
        <f>Insumos!$A17</f>
        <v/>
      </c>
      <c r="B7" s="39">
        <f>Insumos!$B17</f>
        <v/>
      </c>
      <c r="C7" s="40">
        <f>Insumos!$E17</f>
        <v/>
      </c>
      <c r="D7" s="56">
        <f>IF('3 Conteo Diario'!$S8="","",'1 Inv Inicial'!$G17+SUMIFS('2 Ingresos'!$I$6:$I$255,'2 Ingresos'!$B$6:$B$255,$A7,'2 Ingresos'!$C$6:$C$255,$B7,'2 Ingresos'!$A$6:$A$255,Config!$B$10)-'3 Conteo Diario'!$S8)</f>
        <v/>
      </c>
      <c r="E7" s="56">
        <f>IF(OR('3 Conteo Diario'!$S8="",'3 Conteo Diario'!$T8=""),"",'3 Conteo Diario'!$S8+SUMIFS('2 Ingresos'!$I$6:$I$255,'2 Ingresos'!$B$6:$B$255,$A7,'2 Ingresos'!$C$6:$C$255,$B7,'2 Ingresos'!$A$6:$A$255,Config!$B$11)-'3 Conteo Diario'!$T8)</f>
        <v/>
      </c>
      <c r="F7" s="56">
        <f>IF(OR('3 Conteo Diario'!$T8="",'3 Conteo Diario'!$U8=""),"",'3 Conteo Diario'!$T8+SUMIFS('2 Ingresos'!$I$6:$I$255,'2 Ingresos'!$B$6:$B$255,$A7,'2 Ingresos'!$C$6:$C$255,$B7,'2 Ingresos'!$A$6:$A$255,Config!$B$12)-'3 Conteo Diario'!$U8)</f>
        <v/>
      </c>
      <c r="G7" s="56">
        <f>IF(OR('3 Conteo Diario'!$U8="",'3 Conteo Diario'!$V8=""),"",'3 Conteo Diario'!$U8+SUMIFS('2 Ingresos'!$I$6:$I$255,'2 Ingresos'!$B$6:$B$255,$A7,'2 Ingresos'!$C$6:$C$255,$B7,'2 Ingresos'!$A$6:$A$255,Config!$B$13)-'3 Conteo Diario'!$V8)</f>
        <v/>
      </c>
      <c r="H7" s="56">
        <f>IF(OR('3 Conteo Diario'!$V8="",'3 Conteo Diario'!$W8=""),"",'3 Conteo Diario'!$V8+SUMIFS('2 Ingresos'!$I$6:$I$255,'2 Ingresos'!$B$6:$B$255,$A7,'2 Ingresos'!$C$6:$C$255,$B7,'2 Ingresos'!$A$6:$A$255,Config!$B$14)-'3 Conteo Diario'!$W8)</f>
        <v/>
      </c>
      <c r="I7" s="56">
        <f>IF(OR('3 Conteo Diario'!$W8="",'3 Conteo Diario'!$X8=""),"",'3 Conteo Diario'!$W8+SUMIFS('2 Ingresos'!$I$6:$I$255,'2 Ingresos'!$B$6:$B$255,$A7,'2 Ingresos'!$C$6:$C$255,$B7,'2 Ingresos'!$A$6:$A$255,Config!$B$15)-'3 Conteo Diario'!$X8)</f>
        <v/>
      </c>
      <c r="J7" s="56">
        <f>IF(OR('3 Conteo Diario'!$X8="",'3 Conteo Diario'!$Y8=""),"",'3 Conteo Diario'!$X8+SUMIFS('2 Ingresos'!$I$6:$I$255,'2 Ingresos'!$B$6:$B$255,$A7,'2 Ingresos'!$C$6:$C$255,$B7,'2 Ingresos'!$A$6:$A$255,Config!$B$16)-'3 Conteo Diario'!$Y8)</f>
        <v/>
      </c>
      <c r="K7" s="70">
        <f>IF(COUNT($D7:$J7)=0,"",SUM($D7:$J7))</f>
        <v/>
      </c>
      <c r="L7" s="69">
        <f>IF(COUNT($D7:$J7)=0,"",AVERAGE($D7:$J7))</f>
        <v/>
      </c>
      <c r="M7" s="35">
        <f>IF(COUNT($D7:$J7)=0,"",IFERROR(INDEX($D$4:$J$4,MATCH(MAX($D7:$J7),$D7:$J7,0)),""))</f>
        <v/>
      </c>
      <c r="N7" s="75">
        <f>IF(COUNT($D7:$J7)=0,"Sin conteos cargados",IF(MIN($D7:$J7)&lt;0,"Consumo negativo: ingreso sin registrar",IF(AND($L7&gt;0,MAX($D7:$J7)&gt;2*$L7),"Pico atipico el "&amp;$M7,"OK")))</f>
        <v/>
      </c>
    </row>
    <row r="8">
      <c r="A8" s="43">
        <f>Insumos!$A18</f>
        <v/>
      </c>
      <c r="B8" s="44">
        <f>Insumos!$B18</f>
        <v/>
      </c>
      <c r="C8" s="45">
        <f>Insumos!$E18</f>
        <v/>
      </c>
      <c r="D8" s="56">
        <f>IF('3 Conteo Diario'!$S9="","",'1 Inv Inicial'!$G18+SUMIFS('2 Ingresos'!$I$6:$I$255,'2 Ingresos'!$B$6:$B$255,$A8,'2 Ingresos'!$C$6:$C$255,$B8,'2 Ingresos'!$A$6:$A$255,Config!$B$10)-'3 Conteo Diario'!$S9)</f>
        <v/>
      </c>
      <c r="E8" s="56">
        <f>IF(OR('3 Conteo Diario'!$S9="",'3 Conteo Diario'!$T9=""),"",'3 Conteo Diario'!$S9+SUMIFS('2 Ingresos'!$I$6:$I$255,'2 Ingresos'!$B$6:$B$255,$A8,'2 Ingresos'!$C$6:$C$255,$B8,'2 Ingresos'!$A$6:$A$255,Config!$B$11)-'3 Conteo Diario'!$T9)</f>
        <v/>
      </c>
      <c r="F8" s="56">
        <f>IF(OR('3 Conteo Diario'!$T9="",'3 Conteo Diario'!$U9=""),"",'3 Conteo Diario'!$T9+SUMIFS('2 Ingresos'!$I$6:$I$255,'2 Ingresos'!$B$6:$B$255,$A8,'2 Ingresos'!$C$6:$C$255,$B8,'2 Ingresos'!$A$6:$A$255,Config!$B$12)-'3 Conteo Diario'!$U9)</f>
        <v/>
      </c>
      <c r="G8" s="56">
        <f>IF(OR('3 Conteo Diario'!$U9="",'3 Conteo Diario'!$V9=""),"",'3 Conteo Diario'!$U9+SUMIFS('2 Ingresos'!$I$6:$I$255,'2 Ingresos'!$B$6:$B$255,$A8,'2 Ingresos'!$C$6:$C$255,$B8,'2 Ingresos'!$A$6:$A$255,Config!$B$13)-'3 Conteo Diario'!$V9)</f>
        <v/>
      </c>
      <c r="H8" s="56">
        <f>IF(OR('3 Conteo Diario'!$V9="",'3 Conteo Diario'!$W9=""),"",'3 Conteo Diario'!$V9+SUMIFS('2 Ingresos'!$I$6:$I$255,'2 Ingresos'!$B$6:$B$255,$A8,'2 Ingresos'!$C$6:$C$255,$B8,'2 Ingresos'!$A$6:$A$255,Config!$B$14)-'3 Conteo Diario'!$W9)</f>
        <v/>
      </c>
      <c r="I8" s="56">
        <f>IF(OR('3 Conteo Diario'!$W9="",'3 Conteo Diario'!$X9=""),"",'3 Conteo Diario'!$W9+SUMIFS('2 Ingresos'!$I$6:$I$255,'2 Ingresos'!$B$6:$B$255,$A8,'2 Ingresos'!$C$6:$C$255,$B8,'2 Ingresos'!$A$6:$A$255,Config!$B$15)-'3 Conteo Diario'!$X9)</f>
        <v/>
      </c>
      <c r="J8" s="56">
        <f>IF(OR('3 Conteo Diario'!$X9="",'3 Conteo Diario'!$Y9=""),"",'3 Conteo Diario'!$X9+SUMIFS('2 Ingresos'!$I$6:$I$255,'2 Ingresos'!$B$6:$B$255,$A8,'2 Ingresos'!$C$6:$C$255,$B8,'2 Ingresos'!$A$6:$A$255,Config!$B$16)-'3 Conteo Diario'!$Y9)</f>
        <v/>
      </c>
      <c r="K8" s="70">
        <f>IF(COUNT($D8:$J8)=0,"",SUM($D8:$J8))</f>
        <v/>
      </c>
      <c r="L8" s="69">
        <f>IF(COUNT($D8:$J8)=0,"",AVERAGE($D8:$J8))</f>
        <v/>
      </c>
      <c r="M8" s="35">
        <f>IF(COUNT($D8:$J8)=0,"",IFERROR(INDEX($D$4:$J$4,MATCH(MAX($D8:$J8),$D8:$J8,0)),""))</f>
        <v/>
      </c>
      <c r="N8" s="75">
        <f>IF(COUNT($D8:$J8)=0,"Sin conteos cargados",IF(MIN($D8:$J8)&lt;0,"Consumo negativo: ingreso sin registrar",IF(AND($L8&gt;0,MAX($D8:$J8)&gt;2*$L8),"Pico atipico el "&amp;$M8,"OK")))</f>
        <v/>
      </c>
    </row>
    <row r="9">
      <c r="A9" s="38">
        <f>Insumos!$A19</f>
        <v/>
      </c>
      <c r="B9" s="39">
        <f>Insumos!$B19</f>
        <v/>
      </c>
      <c r="C9" s="40">
        <f>Insumos!$E19</f>
        <v/>
      </c>
      <c r="D9" s="56">
        <f>IF('3 Conteo Diario'!$S10="","",'1 Inv Inicial'!$G19+SUMIFS('2 Ingresos'!$I$6:$I$255,'2 Ingresos'!$B$6:$B$255,$A9,'2 Ingresos'!$C$6:$C$255,$B9,'2 Ingresos'!$A$6:$A$255,Config!$B$10)-'3 Conteo Diario'!$S10)</f>
        <v/>
      </c>
      <c r="E9" s="56">
        <f>IF(OR('3 Conteo Diario'!$S10="",'3 Conteo Diario'!$T10=""),"",'3 Conteo Diario'!$S10+SUMIFS('2 Ingresos'!$I$6:$I$255,'2 Ingresos'!$B$6:$B$255,$A9,'2 Ingresos'!$C$6:$C$255,$B9,'2 Ingresos'!$A$6:$A$255,Config!$B$11)-'3 Conteo Diario'!$T10)</f>
        <v/>
      </c>
      <c r="F9" s="56">
        <f>IF(OR('3 Conteo Diario'!$T10="",'3 Conteo Diario'!$U10=""),"",'3 Conteo Diario'!$T10+SUMIFS('2 Ingresos'!$I$6:$I$255,'2 Ingresos'!$B$6:$B$255,$A9,'2 Ingresos'!$C$6:$C$255,$B9,'2 Ingresos'!$A$6:$A$255,Config!$B$12)-'3 Conteo Diario'!$U10)</f>
        <v/>
      </c>
      <c r="G9" s="56">
        <f>IF(OR('3 Conteo Diario'!$U10="",'3 Conteo Diario'!$V10=""),"",'3 Conteo Diario'!$U10+SUMIFS('2 Ingresos'!$I$6:$I$255,'2 Ingresos'!$B$6:$B$255,$A9,'2 Ingresos'!$C$6:$C$255,$B9,'2 Ingresos'!$A$6:$A$255,Config!$B$13)-'3 Conteo Diario'!$V10)</f>
        <v/>
      </c>
      <c r="H9" s="56">
        <f>IF(OR('3 Conteo Diario'!$V10="",'3 Conteo Diario'!$W10=""),"",'3 Conteo Diario'!$V10+SUMIFS('2 Ingresos'!$I$6:$I$255,'2 Ingresos'!$B$6:$B$255,$A9,'2 Ingresos'!$C$6:$C$255,$B9,'2 Ingresos'!$A$6:$A$255,Config!$B$14)-'3 Conteo Diario'!$W10)</f>
        <v/>
      </c>
      <c r="I9" s="56">
        <f>IF(OR('3 Conteo Diario'!$W10="",'3 Conteo Diario'!$X10=""),"",'3 Conteo Diario'!$W10+SUMIFS('2 Ingresos'!$I$6:$I$255,'2 Ingresos'!$B$6:$B$255,$A9,'2 Ingresos'!$C$6:$C$255,$B9,'2 Ingresos'!$A$6:$A$255,Config!$B$15)-'3 Conteo Diario'!$X10)</f>
        <v/>
      </c>
      <c r="J9" s="56">
        <f>IF(OR('3 Conteo Diario'!$X10="",'3 Conteo Diario'!$Y10=""),"",'3 Conteo Diario'!$X10+SUMIFS('2 Ingresos'!$I$6:$I$255,'2 Ingresos'!$B$6:$B$255,$A9,'2 Ingresos'!$C$6:$C$255,$B9,'2 Ingresos'!$A$6:$A$255,Config!$B$16)-'3 Conteo Diario'!$Y10)</f>
        <v/>
      </c>
      <c r="K9" s="70">
        <f>IF(COUNT($D9:$J9)=0,"",SUM($D9:$J9))</f>
        <v/>
      </c>
      <c r="L9" s="69">
        <f>IF(COUNT($D9:$J9)=0,"",AVERAGE($D9:$J9))</f>
        <v/>
      </c>
      <c r="M9" s="35">
        <f>IF(COUNT($D9:$J9)=0,"",IFERROR(INDEX($D$4:$J$4,MATCH(MAX($D9:$J9),$D9:$J9,0)),""))</f>
        <v/>
      </c>
      <c r="N9" s="75">
        <f>IF(COUNT($D9:$J9)=0,"Sin conteos cargados",IF(MIN($D9:$J9)&lt;0,"Consumo negativo: ingreso sin registrar",IF(AND($L9&gt;0,MAX($D9:$J9)&gt;2*$L9),"Pico atipico el "&amp;$M9,"OK")))</f>
        <v/>
      </c>
    </row>
    <row r="10">
      <c r="A10" s="43">
        <f>Insumos!$A20</f>
        <v/>
      </c>
      <c r="B10" s="44">
        <f>Insumos!$B20</f>
        <v/>
      </c>
      <c r="C10" s="45">
        <f>Insumos!$E20</f>
        <v/>
      </c>
      <c r="D10" s="56">
        <f>IF('3 Conteo Diario'!$S11="","",'1 Inv Inicial'!$G20+SUMIFS('2 Ingresos'!$I$6:$I$255,'2 Ingresos'!$B$6:$B$255,$A10,'2 Ingresos'!$C$6:$C$255,$B10,'2 Ingresos'!$A$6:$A$255,Config!$B$10)-'3 Conteo Diario'!$S11)</f>
        <v/>
      </c>
      <c r="E10" s="56">
        <f>IF(OR('3 Conteo Diario'!$S11="",'3 Conteo Diario'!$T11=""),"",'3 Conteo Diario'!$S11+SUMIFS('2 Ingresos'!$I$6:$I$255,'2 Ingresos'!$B$6:$B$255,$A10,'2 Ingresos'!$C$6:$C$255,$B10,'2 Ingresos'!$A$6:$A$255,Config!$B$11)-'3 Conteo Diario'!$T11)</f>
        <v/>
      </c>
      <c r="F10" s="56">
        <f>IF(OR('3 Conteo Diario'!$T11="",'3 Conteo Diario'!$U11=""),"",'3 Conteo Diario'!$T11+SUMIFS('2 Ingresos'!$I$6:$I$255,'2 Ingresos'!$B$6:$B$255,$A10,'2 Ingresos'!$C$6:$C$255,$B10,'2 Ingresos'!$A$6:$A$255,Config!$B$12)-'3 Conteo Diario'!$U11)</f>
        <v/>
      </c>
      <c r="G10" s="56">
        <f>IF(OR('3 Conteo Diario'!$U11="",'3 Conteo Diario'!$V11=""),"",'3 Conteo Diario'!$U11+SUMIFS('2 Ingresos'!$I$6:$I$255,'2 Ingresos'!$B$6:$B$255,$A10,'2 Ingresos'!$C$6:$C$255,$B10,'2 Ingresos'!$A$6:$A$255,Config!$B$13)-'3 Conteo Diario'!$V11)</f>
        <v/>
      </c>
      <c r="H10" s="56">
        <f>IF(OR('3 Conteo Diario'!$V11="",'3 Conteo Diario'!$W11=""),"",'3 Conteo Diario'!$V11+SUMIFS('2 Ingresos'!$I$6:$I$255,'2 Ingresos'!$B$6:$B$255,$A10,'2 Ingresos'!$C$6:$C$255,$B10,'2 Ingresos'!$A$6:$A$255,Config!$B$14)-'3 Conteo Diario'!$W11)</f>
        <v/>
      </c>
      <c r="I10" s="56">
        <f>IF(OR('3 Conteo Diario'!$W11="",'3 Conteo Diario'!$X11=""),"",'3 Conteo Diario'!$W11+SUMIFS('2 Ingresos'!$I$6:$I$255,'2 Ingresos'!$B$6:$B$255,$A10,'2 Ingresos'!$C$6:$C$255,$B10,'2 Ingresos'!$A$6:$A$255,Config!$B$15)-'3 Conteo Diario'!$X11)</f>
        <v/>
      </c>
      <c r="J10" s="56">
        <f>IF(OR('3 Conteo Diario'!$X11="",'3 Conteo Diario'!$Y11=""),"",'3 Conteo Diario'!$X11+SUMIFS('2 Ingresos'!$I$6:$I$255,'2 Ingresos'!$B$6:$B$255,$A10,'2 Ingresos'!$C$6:$C$255,$B10,'2 Ingresos'!$A$6:$A$255,Config!$B$16)-'3 Conteo Diario'!$Y11)</f>
        <v/>
      </c>
      <c r="K10" s="70">
        <f>IF(COUNT($D10:$J10)=0,"",SUM($D10:$J10))</f>
        <v/>
      </c>
      <c r="L10" s="69">
        <f>IF(COUNT($D10:$J10)=0,"",AVERAGE($D10:$J10))</f>
        <v/>
      </c>
      <c r="M10" s="35">
        <f>IF(COUNT($D10:$J10)=0,"",IFERROR(INDEX($D$4:$J$4,MATCH(MAX($D10:$J10),$D10:$J10,0)),""))</f>
        <v/>
      </c>
      <c r="N10" s="75">
        <f>IF(COUNT($D10:$J10)=0,"Sin conteos cargados",IF(MIN($D10:$J10)&lt;0,"Consumo negativo: ingreso sin registrar",IF(AND($L10&gt;0,MAX($D10:$J10)&gt;2*$L10),"Pico atipico el "&amp;$M10,"OK")))</f>
        <v/>
      </c>
    </row>
    <row r="11">
      <c r="A11" s="38">
        <f>Insumos!$A21</f>
        <v/>
      </c>
      <c r="B11" s="39">
        <f>Insumos!$B21</f>
        <v/>
      </c>
      <c r="C11" s="40">
        <f>Insumos!$E21</f>
        <v/>
      </c>
      <c r="D11" s="56">
        <f>IF('3 Conteo Diario'!$S12="","",'1 Inv Inicial'!$G21+SUMIFS('2 Ingresos'!$I$6:$I$255,'2 Ingresos'!$B$6:$B$255,$A11,'2 Ingresos'!$C$6:$C$255,$B11,'2 Ingresos'!$A$6:$A$255,Config!$B$10)-'3 Conteo Diario'!$S12)</f>
        <v/>
      </c>
      <c r="E11" s="56">
        <f>IF(OR('3 Conteo Diario'!$S12="",'3 Conteo Diario'!$T12=""),"",'3 Conteo Diario'!$S12+SUMIFS('2 Ingresos'!$I$6:$I$255,'2 Ingresos'!$B$6:$B$255,$A11,'2 Ingresos'!$C$6:$C$255,$B11,'2 Ingresos'!$A$6:$A$255,Config!$B$11)-'3 Conteo Diario'!$T12)</f>
        <v/>
      </c>
      <c r="F11" s="56">
        <f>IF(OR('3 Conteo Diario'!$T12="",'3 Conteo Diario'!$U12=""),"",'3 Conteo Diario'!$T12+SUMIFS('2 Ingresos'!$I$6:$I$255,'2 Ingresos'!$B$6:$B$255,$A11,'2 Ingresos'!$C$6:$C$255,$B11,'2 Ingresos'!$A$6:$A$255,Config!$B$12)-'3 Conteo Diario'!$U12)</f>
        <v/>
      </c>
      <c r="G11" s="56">
        <f>IF(OR('3 Conteo Diario'!$U12="",'3 Conteo Diario'!$V12=""),"",'3 Conteo Diario'!$U12+SUMIFS('2 Ingresos'!$I$6:$I$255,'2 Ingresos'!$B$6:$B$255,$A11,'2 Ingresos'!$C$6:$C$255,$B11,'2 Ingresos'!$A$6:$A$255,Config!$B$13)-'3 Conteo Diario'!$V12)</f>
        <v/>
      </c>
      <c r="H11" s="56">
        <f>IF(OR('3 Conteo Diario'!$V12="",'3 Conteo Diario'!$W12=""),"",'3 Conteo Diario'!$V12+SUMIFS('2 Ingresos'!$I$6:$I$255,'2 Ingresos'!$B$6:$B$255,$A11,'2 Ingresos'!$C$6:$C$255,$B11,'2 Ingresos'!$A$6:$A$255,Config!$B$14)-'3 Conteo Diario'!$W12)</f>
        <v/>
      </c>
      <c r="I11" s="56">
        <f>IF(OR('3 Conteo Diario'!$W12="",'3 Conteo Diario'!$X12=""),"",'3 Conteo Diario'!$W12+SUMIFS('2 Ingresos'!$I$6:$I$255,'2 Ingresos'!$B$6:$B$255,$A11,'2 Ingresos'!$C$6:$C$255,$B11,'2 Ingresos'!$A$6:$A$255,Config!$B$15)-'3 Conteo Diario'!$X12)</f>
        <v/>
      </c>
      <c r="J11" s="56">
        <f>IF(OR('3 Conteo Diario'!$X12="",'3 Conteo Diario'!$Y12=""),"",'3 Conteo Diario'!$X12+SUMIFS('2 Ingresos'!$I$6:$I$255,'2 Ingresos'!$B$6:$B$255,$A11,'2 Ingresos'!$C$6:$C$255,$B11,'2 Ingresos'!$A$6:$A$255,Config!$B$16)-'3 Conteo Diario'!$Y12)</f>
        <v/>
      </c>
      <c r="K11" s="70">
        <f>IF(COUNT($D11:$J11)=0,"",SUM($D11:$J11))</f>
        <v/>
      </c>
      <c r="L11" s="69">
        <f>IF(COUNT($D11:$J11)=0,"",AVERAGE($D11:$J11))</f>
        <v/>
      </c>
      <c r="M11" s="35">
        <f>IF(COUNT($D11:$J11)=0,"",IFERROR(INDEX($D$4:$J$4,MATCH(MAX($D11:$J11),$D11:$J11,0)),""))</f>
        <v/>
      </c>
      <c r="N11" s="75">
        <f>IF(COUNT($D11:$J11)=0,"Sin conteos cargados",IF(MIN($D11:$J11)&lt;0,"Consumo negativo: ingreso sin registrar",IF(AND($L11&gt;0,MAX($D11:$J11)&gt;2*$L11),"Pico atipico el "&amp;$M11,"OK")))</f>
        <v/>
      </c>
    </row>
    <row r="12">
      <c r="A12" s="43">
        <f>Insumos!$A22</f>
        <v/>
      </c>
      <c r="B12" s="44">
        <f>Insumos!$B22</f>
        <v/>
      </c>
      <c r="C12" s="45">
        <f>Insumos!$E22</f>
        <v/>
      </c>
      <c r="D12" s="56">
        <f>IF('3 Conteo Diario'!$S13="","",'1 Inv Inicial'!$G22+SUMIFS('2 Ingresos'!$I$6:$I$255,'2 Ingresos'!$B$6:$B$255,$A12,'2 Ingresos'!$C$6:$C$255,$B12,'2 Ingresos'!$A$6:$A$255,Config!$B$10)-'3 Conteo Diario'!$S13)</f>
        <v/>
      </c>
      <c r="E12" s="56">
        <f>IF(OR('3 Conteo Diario'!$S13="",'3 Conteo Diario'!$T13=""),"",'3 Conteo Diario'!$S13+SUMIFS('2 Ingresos'!$I$6:$I$255,'2 Ingresos'!$B$6:$B$255,$A12,'2 Ingresos'!$C$6:$C$255,$B12,'2 Ingresos'!$A$6:$A$255,Config!$B$11)-'3 Conteo Diario'!$T13)</f>
        <v/>
      </c>
      <c r="F12" s="56">
        <f>IF(OR('3 Conteo Diario'!$T13="",'3 Conteo Diario'!$U13=""),"",'3 Conteo Diario'!$T13+SUMIFS('2 Ingresos'!$I$6:$I$255,'2 Ingresos'!$B$6:$B$255,$A12,'2 Ingresos'!$C$6:$C$255,$B12,'2 Ingresos'!$A$6:$A$255,Config!$B$12)-'3 Conteo Diario'!$U13)</f>
        <v/>
      </c>
      <c r="G12" s="56">
        <f>IF(OR('3 Conteo Diario'!$U13="",'3 Conteo Diario'!$V13=""),"",'3 Conteo Diario'!$U13+SUMIFS('2 Ingresos'!$I$6:$I$255,'2 Ingresos'!$B$6:$B$255,$A12,'2 Ingresos'!$C$6:$C$255,$B12,'2 Ingresos'!$A$6:$A$255,Config!$B$13)-'3 Conteo Diario'!$V13)</f>
        <v/>
      </c>
      <c r="H12" s="56">
        <f>IF(OR('3 Conteo Diario'!$V13="",'3 Conteo Diario'!$W13=""),"",'3 Conteo Diario'!$V13+SUMIFS('2 Ingresos'!$I$6:$I$255,'2 Ingresos'!$B$6:$B$255,$A12,'2 Ingresos'!$C$6:$C$255,$B12,'2 Ingresos'!$A$6:$A$255,Config!$B$14)-'3 Conteo Diario'!$W13)</f>
        <v/>
      </c>
      <c r="I12" s="56">
        <f>IF(OR('3 Conteo Diario'!$W13="",'3 Conteo Diario'!$X13=""),"",'3 Conteo Diario'!$W13+SUMIFS('2 Ingresos'!$I$6:$I$255,'2 Ingresos'!$B$6:$B$255,$A12,'2 Ingresos'!$C$6:$C$255,$B12,'2 Ingresos'!$A$6:$A$255,Config!$B$15)-'3 Conteo Diario'!$X13)</f>
        <v/>
      </c>
      <c r="J12" s="56">
        <f>IF(OR('3 Conteo Diario'!$X13="",'3 Conteo Diario'!$Y13=""),"",'3 Conteo Diario'!$X13+SUMIFS('2 Ingresos'!$I$6:$I$255,'2 Ingresos'!$B$6:$B$255,$A12,'2 Ingresos'!$C$6:$C$255,$B12,'2 Ingresos'!$A$6:$A$255,Config!$B$16)-'3 Conteo Diario'!$Y13)</f>
        <v/>
      </c>
      <c r="K12" s="70">
        <f>IF(COUNT($D12:$J12)=0,"",SUM($D12:$J12))</f>
        <v/>
      </c>
      <c r="L12" s="69">
        <f>IF(COUNT($D12:$J12)=0,"",AVERAGE($D12:$J12))</f>
        <v/>
      </c>
      <c r="M12" s="35">
        <f>IF(COUNT($D12:$J12)=0,"",IFERROR(INDEX($D$4:$J$4,MATCH(MAX($D12:$J12),$D12:$J12,0)),""))</f>
        <v/>
      </c>
      <c r="N12" s="75">
        <f>IF(COUNT($D12:$J12)=0,"Sin conteos cargados",IF(MIN($D12:$J12)&lt;0,"Consumo negativo: ingreso sin registrar",IF(AND($L12&gt;0,MAX($D12:$J12)&gt;2*$L12),"Pico atipico el "&amp;$M12,"OK")))</f>
        <v/>
      </c>
    </row>
    <row r="13">
      <c r="A13" s="38">
        <f>Insumos!$A47</f>
        <v/>
      </c>
      <c r="B13" s="39">
        <f>Insumos!$B47</f>
        <v/>
      </c>
      <c r="C13" s="40">
        <f>Insumos!$E47</f>
        <v/>
      </c>
      <c r="D13" s="56">
        <f>IF('3 Conteo Diario'!$S14="","",'1 Inv Inicial'!$G47+SUMIFS('2 Ingresos'!$I$6:$I$255,'2 Ingresos'!$B$6:$B$255,$A13,'2 Ingresos'!$C$6:$C$255,$B13,'2 Ingresos'!$A$6:$A$255,Config!$B$10)-'3 Conteo Diario'!$S14)</f>
        <v/>
      </c>
      <c r="E13" s="56">
        <f>IF(OR('3 Conteo Diario'!$S14="",'3 Conteo Diario'!$T14=""),"",'3 Conteo Diario'!$S14+SUMIFS('2 Ingresos'!$I$6:$I$255,'2 Ingresos'!$B$6:$B$255,$A13,'2 Ingresos'!$C$6:$C$255,$B13,'2 Ingresos'!$A$6:$A$255,Config!$B$11)-'3 Conteo Diario'!$T14)</f>
        <v/>
      </c>
      <c r="F13" s="56">
        <f>IF(OR('3 Conteo Diario'!$T14="",'3 Conteo Diario'!$U14=""),"",'3 Conteo Diario'!$T14+SUMIFS('2 Ingresos'!$I$6:$I$255,'2 Ingresos'!$B$6:$B$255,$A13,'2 Ingresos'!$C$6:$C$255,$B13,'2 Ingresos'!$A$6:$A$255,Config!$B$12)-'3 Conteo Diario'!$U14)</f>
        <v/>
      </c>
      <c r="G13" s="56">
        <f>IF(OR('3 Conteo Diario'!$U14="",'3 Conteo Diario'!$V14=""),"",'3 Conteo Diario'!$U14+SUMIFS('2 Ingresos'!$I$6:$I$255,'2 Ingresos'!$B$6:$B$255,$A13,'2 Ingresos'!$C$6:$C$255,$B13,'2 Ingresos'!$A$6:$A$255,Config!$B$13)-'3 Conteo Diario'!$V14)</f>
        <v/>
      </c>
      <c r="H13" s="56">
        <f>IF(OR('3 Conteo Diario'!$V14="",'3 Conteo Diario'!$W14=""),"",'3 Conteo Diario'!$V14+SUMIFS('2 Ingresos'!$I$6:$I$255,'2 Ingresos'!$B$6:$B$255,$A13,'2 Ingresos'!$C$6:$C$255,$B13,'2 Ingresos'!$A$6:$A$255,Config!$B$14)-'3 Conteo Diario'!$W14)</f>
        <v/>
      </c>
      <c r="I13" s="56">
        <f>IF(OR('3 Conteo Diario'!$W14="",'3 Conteo Diario'!$X14=""),"",'3 Conteo Diario'!$W14+SUMIFS('2 Ingresos'!$I$6:$I$255,'2 Ingresos'!$B$6:$B$255,$A13,'2 Ingresos'!$C$6:$C$255,$B13,'2 Ingresos'!$A$6:$A$255,Config!$B$15)-'3 Conteo Diario'!$X14)</f>
        <v/>
      </c>
      <c r="J13" s="56">
        <f>IF(OR('3 Conteo Diario'!$X14="",'3 Conteo Diario'!$Y14=""),"",'3 Conteo Diario'!$X14+SUMIFS('2 Ingresos'!$I$6:$I$255,'2 Ingresos'!$B$6:$B$255,$A13,'2 Ingresos'!$C$6:$C$255,$B13,'2 Ingresos'!$A$6:$A$255,Config!$B$16)-'3 Conteo Diario'!$Y14)</f>
        <v/>
      </c>
      <c r="K13" s="70">
        <f>IF(COUNT($D13:$J13)=0,"",SUM($D13:$J13))</f>
        <v/>
      </c>
      <c r="L13" s="69">
        <f>IF(COUNT($D13:$J13)=0,"",AVERAGE($D13:$J13))</f>
        <v/>
      </c>
      <c r="M13" s="35">
        <f>IF(COUNT($D13:$J13)=0,"",IFERROR(INDEX($D$4:$J$4,MATCH(MAX($D13:$J13),$D13:$J13,0)),""))</f>
        <v/>
      </c>
      <c r="N13" s="75">
        <f>IF(COUNT($D13:$J13)=0,"Sin conteos cargados",IF(MIN($D13:$J13)&lt;0,"Consumo negativo: ingreso sin registrar",IF(AND($L13&gt;0,MAX($D13:$J13)&gt;2*$L13),"Pico atipico el "&amp;$M13,"OK")))</f>
        <v/>
      </c>
    </row>
    <row r="14">
      <c r="A14" s="43">
        <f>Insumos!$A48</f>
        <v/>
      </c>
      <c r="B14" s="44">
        <f>Insumos!$B48</f>
        <v/>
      </c>
      <c r="C14" s="45">
        <f>Insumos!$E48</f>
        <v/>
      </c>
      <c r="D14" s="56">
        <f>IF('3 Conteo Diario'!$S15="","",'1 Inv Inicial'!$G48+SUMIFS('2 Ingresos'!$I$6:$I$255,'2 Ingresos'!$B$6:$B$255,$A14,'2 Ingresos'!$C$6:$C$255,$B14,'2 Ingresos'!$A$6:$A$255,Config!$B$10)-'3 Conteo Diario'!$S15)</f>
        <v/>
      </c>
      <c r="E14" s="56">
        <f>IF(OR('3 Conteo Diario'!$S15="",'3 Conteo Diario'!$T15=""),"",'3 Conteo Diario'!$S15+SUMIFS('2 Ingresos'!$I$6:$I$255,'2 Ingresos'!$B$6:$B$255,$A14,'2 Ingresos'!$C$6:$C$255,$B14,'2 Ingresos'!$A$6:$A$255,Config!$B$11)-'3 Conteo Diario'!$T15)</f>
        <v/>
      </c>
      <c r="F14" s="56">
        <f>IF(OR('3 Conteo Diario'!$T15="",'3 Conteo Diario'!$U15=""),"",'3 Conteo Diario'!$T15+SUMIFS('2 Ingresos'!$I$6:$I$255,'2 Ingresos'!$B$6:$B$255,$A14,'2 Ingresos'!$C$6:$C$255,$B14,'2 Ingresos'!$A$6:$A$255,Config!$B$12)-'3 Conteo Diario'!$U15)</f>
        <v/>
      </c>
      <c r="G14" s="56">
        <f>IF(OR('3 Conteo Diario'!$U15="",'3 Conteo Diario'!$V15=""),"",'3 Conteo Diario'!$U15+SUMIFS('2 Ingresos'!$I$6:$I$255,'2 Ingresos'!$B$6:$B$255,$A14,'2 Ingresos'!$C$6:$C$255,$B14,'2 Ingresos'!$A$6:$A$255,Config!$B$13)-'3 Conteo Diario'!$V15)</f>
        <v/>
      </c>
      <c r="H14" s="56">
        <f>IF(OR('3 Conteo Diario'!$V15="",'3 Conteo Diario'!$W15=""),"",'3 Conteo Diario'!$V15+SUMIFS('2 Ingresos'!$I$6:$I$255,'2 Ingresos'!$B$6:$B$255,$A14,'2 Ingresos'!$C$6:$C$255,$B14,'2 Ingresos'!$A$6:$A$255,Config!$B$14)-'3 Conteo Diario'!$W15)</f>
        <v/>
      </c>
      <c r="I14" s="56">
        <f>IF(OR('3 Conteo Diario'!$W15="",'3 Conteo Diario'!$X15=""),"",'3 Conteo Diario'!$W15+SUMIFS('2 Ingresos'!$I$6:$I$255,'2 Ingresos'!$B$6:$B$255,$A14,'2 Ingresos'!$C$6:$C$255,$B14,'2 Ingresos'!$A$6:$A$255,Config!$B$15)-'3 Conteo Diario'!$X15)</f>
        <v/>
      </c>
      <c r="J14" s="56">
        <f>IF(OR('3 Conteo Diario'!$X15="",'3 Conteo Diario'!$Y15=""),"",'3 Conteo Diario'!$X15+SUMIFS('2 Ingresos'!$I$6:$I$255,'2 Ingresos'!$B$6:$B$255,$A14,'2 Ingresos'!$C$6:$C$255,$B14,'2 Ingresos'!$A$6:$A$255,Config!$B$16)-'3 Conteo Diario'!$Y15)</f>
        <v/>
      </c>
      <c r="K14" s="70">
        <f>IF(COUNT($D14:$J14)=0,"",SUM($D14:$J14))</f>
        <v/>
      </c>
      <c r="L14" s="69">
        <f>IF(COUNT($D14:$J14)=0,"",AVERAGE($D14:$J14))</f>
        <v/>
      </c>
      <c r="M14" s="35">
        <f>IF(COUNT($D14:$J14)=0,"",IFERROR(INDEX($D$4:$J$4,MATCH(MAX($D14:$J14),$D14:$J14,0)),""))</f>
        <v/>
      </c>
      <c r="N14" s="75">
        <f>IF(COUNT($D14:$J14)=0,"Sin conteos cargados",IF(MIN($D14:$J14)&lt;0,"Consumo negativo: ingreso sin registrar",IF(AND($L14&gt;0,MAX($D14:$J14)&gt;2*$L14),"Pico atipico el "&amp;$M14,"OK")))</f>
        <v/>
      </c>
    </row>
    <row r="15">
      <c r="A15" s="38">
        <f>Insumos!$A49</f>
        <v/>
      </c>
      <c r="B15" s="39">
        <f>Insumos!$B49</f>
        <v/>
      </c>
      <c r="C15" s="40">
        <f>Insumos!$E49</f>
        <v/>
      </c>
      <c r="D15" s="56">
        <f>IF('3 Conteo Diario'!$S16="","",'1 Inv Inicial'!$G49+SUMIFS('2 Ingresos'!$I$6:$I$255,'2 Ingresos'!$B$6:$B$255,$A15,'2 Ingresos'!$C$6:$C$255,$B15,'2 Ingresos'!$A$6:$A$255,Config!$B$10)-'3 Conteo Diario'!$S16)</f>
        <v/>
      </c>
      <c r="E15" s="56">
        <f>IF(OR('3 Conteo Diario'!$S16="",'3 Conteo Diario'!$T16=""),"",'3 Conteo Diario'!$S16+SUMIFS('2 Ingresos'!$I$6:$I$255,'2 Ingresos'!$B$6:$B$255,$A15,'2 Ingresos'!$C$6:$C$255,$B15,'2 Ingresos'!$A$6:$A$255,Config!$B$11)-'3 Conteo Diario'!$T16)</f>
        <v/>
      </c>
      <c r="F15" s="56">
        <f>IF(OR('3 Conteo Diario'!$T16="",'3 Conteo Diario'!$U16=""),"",'3 Conteo Diario'!$T16+SUMIFS('2 Ingresos'!$I$6:$I$255,'2 Ingresos'!$B$6:$B$255,$A15,'2 Ingresos'!$C$6:$C$255,$B15,'2 Ingresos'!$A$6:$A$255,Config!$B$12)-'3 Conteo Diario'!$U16)</f>
        <v/>
      </c>
      <c r="G15" s="56">
        <f>IF(OR('3 Conteo Diario'!$U16="",'3 Conteo Diario'!$V16=""),"",'3 Conteo Diario'!$U16+SUMIFS('2 Ingresos'!$I$6:$I$255,'2 Ingresos'!$B$6:$B$255,$A15,'2 Ingresos'!$C$6:$C$255,$B15,'2 Ingresos'!$A$6:$A$255,Config!$B$13)-'3 Conteo Diario'!$V16)</f>
        <v/>
      </c>
      <c r="H15" s="56">
        <f>IF(OR('3 Conteo Diario'!$V16="",'3 Conteo Diario'!$W16=""),"",'3 Conteo Diario'!$V16+SUMIFS('2 Ingresos'!$I$6:$I$255,'2 Ingresos'!$B$6:$B$255,$A15,'2 Ingresos'!$C$6:$C$255,$B15,'2 Ingresos'!$A$6:$A$255,Config!$B$14)-'3 Conteo Diario'!$W16)</f>
        <v/>
      </c>
      <c r="I15" s="56">
        <f>IF(OR('3 Conteo Diario'!$W16="",'3 Conteo Diario'!$X16=""),"",'3 Conteo Diario'!$W16+SUMIFS('2 Ingresos'!$I$6:$I$255,'2 Ingresos'!$B$6:$B$255,$A15,'2 Ingresos'!$C$6:$C$255,$B15,'2 Ingresos'!$A$6:$A$255,Config!$B$15)-'3 Conteo Diario'!$X16)</f>
        <v/>
      </c>
      <c r="J15" s="56">
        <f>IF(OR('3 Conteo Diario'!$X16="",'3 Conteo Diario'!$Y16=""),"",'3 Conteo Diario'!$X16+SUMIFS('2 Ingresos'!$I$6:$I$255,'2 Ingresos'!$B$6:$B$255,$A15,'2 Ingresos'!$C$6:$C$255,$B15,'2 Ingresos'!$A$6:$A$255,Config!$B$16)-'3 Conteo Diario'!$Y16)</f>
        <v/>
      </c>
      <c r="K15" s="70">
        <f>IF(COUNT($D15:$J15)=0,"",SUM($D15:$J15))</f>
        <v/>
      </c>
      <c r="L15" s="69">
        <f>IF(COUNT($D15:$J15)=0,"",AVERAGE($D15:$J15))</f>
        <v/>
      </c>
      <c r="M15" s="35">
        <f>IF(COUNT($D15:$J15)=0,"",IFERROR(INDEX($D$4:$J$4,MATCH(MAX($D15:$J15),$D15:$J15,0)),""))</f>
        <v/>
      </c>
      <c r="N15" s="75">
        <f>IF(COUNT($D15:$J15)=0,"Sin conteos cargados",IF(MIN($D15:$J15)&lt;0,"Consumo negativo: ingreso sin registrar",IF(AND($L15&gt;0,MAX($D15:$J15)&gt;2*$L15),"Pico atipico el "&amp;$M15,"OK")))</f>
        <v/>
      </c>
    </row>
    <row r="16">
      <c r="A16" s="43">
        <f>Insumos!$A51</f>
        <v/>
      </c>
      <c r="B16" s="44">
        <f>Insumos!$B51</f>
        <v/>
      </c>
      <c r="C16" s="45">
        <f>Insumos!$E51</f>
        <v/>
      </c>
      <c r="D16" s="56">
        <f>IF('3 Conteo Diario'!$S17="","",'1 Inv Inicial'!$G51+SUMIFS('2 Ingresos'!$I$6:$I$255,'2 Ingresos'!$B$6:$B$255,$A16,'2 Ingresos'!$C$6:$C$255,$B16,'2 Ingresos'!$A$6:$A$255,Config!$B$10)-'3 Conteo Diario'!$S17)</f>
        <v/>
      </c>
      <c r="E16" s="56">
        <f>IF(OR('3 Conteo Diario'!$S17="",'3 Conteo Diario'!$T17=""),"",'3 Conteo Diario'!$S17+SUMIFS('2 Ingresos'!$I$6:$I$255,'2 Ingresos'!$B$6:$B$255,$A16,'2 Ingresos'!$C$6:$C$255,$B16,'2 Ingresos'!$A$6:$A$255,Config!$B$11)-'3 Conteo Diario'!$T17)</f>
        <v/>
      </c>
      <c r="F16" s="56">
        <f>IF(OR('3 Conteo Diario'!$T17="",'3 Conteo Diario'!$U17=""),"",'3 Conteo Diario'!$T17+SUMIFS('2 Ingresos'!$I$6:$I$255,'2 Ingresos'!$B$6:$B$255,$A16,'2 Ingresos'!$C$6:$C$255,$B16,'2 Ingresos'!$A$6:$A$255,Config!$B$12)-'3 Conteo Diario'!$U17)</f>
        <v/>
      </c>
      <c r="G16" s="56">
        <f>IF(OR('3 Conteo Diario'!$U17="",'3 Conteo Diario'!$V17=""),"",'3 Conteo Diario'!$U17+SUMIFS('2 Ingresos'!$I$6:$I$255,'2 Ingresos'!$B$6:$B$255,$A16,'2 Ingresos'!$C$6:$C$255,$B16,'2 Ingresos'!$A$6:$A$255,Config!$B$13)-'3 Conteo Diario'!$V17)</f>
        <v/>
      </c>
      <c r="H16" s="56">
        <f>IF(OR('3 Conteo Diario'!$V17="",'3 Conteo Diario'!$W17=""),"",'3 Conteo Diario'!$V17+SUMIFS('2 Ingresos'!$I$6:$I$255,'2 Ingresos'!$B$6:$B$255,$A16,'2 Ingresos'!$C$6:$C$255,$B16,'2 Ingresos'!$A$6:$A$255,Config!$B$14)-'3 Conteo Diario'!$W17)</f>
        <v/>
      </c>
      <c r="I16" s="56">
        <f>IF(OR('3 Conteo Diario'!$W17="",'3 Conteo Diario'!$X17=""),"",'3 Conteo Diario'!$W17+SUMIFS('2 Ingresos'!$I$6:$I$255,'2 Ingresos'!$B$6:$B$255,$A16,'2 Ingresos'!$C$6:$C$255,$B16,'2 Ingresos'!$A$6:$A$255,Config!$B$15)-'3 Conteo Diario'!$X17)</f>
        <v/>
      </c>
      <c r="J16" s="56">
        <f>IF(OR('3 Conteo Diario'!$X17="",'3 Conteo Diario'!$Y17=""),"",'3 Conteo Diario'!$X17+SUMIFS('2 Ingresos'!$I$6:$I$255,'2 Ingresos'!$B$6:$B$255,$A16,'2 Ingresos'!$C$6:$C$255,$B16,'2 Ingresos'!$A$6:$A$255,Config!$B$16)-'3 Conteo Diario'!$Y17)</f>
        <v/>
      </c>
      <c r="K16" s="70">
        <f>IF(COUNT($D16:$J16)=0,"",SUM($D16:$J16))</f>
        <v/>
      </c>
      <c r="L16" s="69">
        <f>IF(COUNT($D16:$J16)=0,"",AVERAGE($D16:$J16))</f>
        <v/>
      </c>
      <c r="M16" s="35">
        <f>IF(COUNT($D16:$J16)=0,"",IFERROR(INDEX($D$4:$J$4,MATCH(MAX($D16:$J16),$D16:$J16,0)),""))</f>
        <v/>
      </c>
      <c r="N16" s="75">
        <f>IF(COUNT($D16:$J16)=0,"Sin conteos cargados",IF(MIN($D16:$J16)&lt;0,"Consumo negativo: ingreso sin registrar",IF(AND($L16&gt;0,MAX($D16:$J16)&gt;2*$L16),"Pico atipico el "&amp;$M16,"OK")))</f>
        <v/>
      </c>
    </row>
    <row r="17">
      <c r="A17" s="38">
        <f>Insumos!$A52</f>
        <v/>
      </c>
      <c r="B17" s="39">
        <f>Insumos!$B52</f>
        <v/>
      </c>
      <c r="C17" s="40">
        <f>Insumos!$E52</f>
        <v/>
      </c>
      <c r="D17" s="56">
        <f>IF('3 Conteo Diario'!$S18="","",'1 Inv Inicial'!$G52+SUMIFS('2 Ingresos'!$I$6:$I$255,'2 Ingresos'!$B$6:$B$255,$A17,'2 Ingresos'!$C$6:$C$255,$B17,'2 Ingresos'!$A$6:$A$255,Config!$B$10)-'3 Conteo Diario'!$S18)</f>
        <v/>
      </c>
      <c r="E17" s="56">
        <f>IF(OR('3 Conteo Diario'!$S18="",'3 Conteo Diario'!$T18=""),"",'3 Conteo Diario'!$S18+SUMIFS('2 Ingresos'!$I$6:$I$255,'2 Ingresos'!$B$6:$B$255,$A17,'2 Ingresos'!$C$6:$C$255,$B17,'2 Ingresos'!$A$6:$A$255,Config!$B$11)-'3 Conteo Diario'!$T18)</f>
        <v/>
      </c>
      <c r="F17" s="56">
        <f>IF(OR('3 Conteo Diario'!$T18="",'3 Conteo Diario'!$U18=""),"",'3 Conteo Diario'!$T18+SUMIFS('2 Ingresos'!$I$6:$I$255,'2 Ingresos'!$B$6:$B$255,$A17,'2 Ingresos'!$C$6:$C$255,$B17,'2 Ingresos'!$A$6:$A$255,Config!$B$12)-'3 Conteo Diario'!$U18)</f>
        <v/>
      </c>
      <c r="G17" s="56">
        <f>IF(OR('3 Conteo Diario'!$U18="",'3 Conteo Diario'!$V18=""),"",'3 Conteo Diario'!$U18+SUMIFS('2 Ingresos'!$I$6:$I$255,'2 Ingresos'!$B$6:$B$255,$A17,'2 Ingresos'!$C$6:$C$255,$B17,'2 Ingresos'!$A$6:$A$255,Config!$B$13)-'3 Conteo Diario'!$V18)</f>
        <v/>
      </c>
      <c r="H17" s="56">
        <f>IF(OR('3 Conteo Diario'!$V18="",'3 Conteo Diario'!$W18=""),"",'3 Conteo Diario'!$V18+SUMIFS('2 Ingresos'!$I$6:$I$255,'2 Ingresos'!$B$6:$B$255,$A17,'2 Ingresos'!$C$6:$C$255,$B17,'2 Ingresos'!$A$6:$A$255,Config!$B$14)-'3 Conteo Diario'!$W18)</f>
        <v/>
      </c>
      <c r="I17" s="56">
        <f>IF(OR('3 Conteo Diario'!$W18="",'3 Conteo Diario'!$X18=""),"",'3 Conteo Diario'!$W18+SUMIFS('2 Ingresos'!$I$6:$I$255,'2 Ingresos'!$B$6:$B$255,$A17,'2 Ingresos'!$C$6:$C$255,$B17,'2 Ingresos'!$A$6:$A$255,Config!$B$15)-'3 Conteo Diario'!$X18)</f>
        <v/>
      </c>
      <c r="J17" s="56">
        <f>IF(OR('3 Conteo Diario'!$X18="",'3 Conteo Diario'!$Y18=""),"",'3 Conteo Diario'!$X18+SUMIFS('2 Ingresos'!$I$6:$I$255,'2 Ingresos'!$B$6:$B$255,$A17,'2 Ingresos'!$C$6:$C$255,$B17,'2 Ingresos'!$A$6:$A$255,Config!$B$16)-'3 Conteo Diario'!$Y18)</f>
        <v/>
      </c>
      <c r="K17" s="70">
        <f>IF(COUNT($D17:$J17)=0,"",SUM($D17:$J17))</f>
        <v/>
      </c>
      <c r="L17" s="69">
        <f>IF(COUNT($D17:$J17)=0,"",AVERAGE($D17:$J17))</f>
        <v/>
      </c>
      <c r="M17" s="35">
        <f>IF(COUNT($D17:$J17)=0,"",IFERROR(INDEX($D$4:$J$4,MATCH(MAX($D17:$J17),$D17:$J17,0)),""))</f>
        <v/>
      </c>
      <c r="N17" s="75">
        <f>IF(COUNT($D17:$J17)=0,"Sin conteos cargados",IF(MIN($D17:$J17)&lt;0,"Consumo negativo: ingreso sin registrar",IF(AND($L17&gt;0,MAX($D17:$J17)&gt;2*$L17),"Pico atipico el "&amp;$M17,"OK")))</f>
        <v/>
      </c>
    </row>
    <row r="18">
      <c r="A18" s="43">
        <f>Insumos!$A54</f>
        <v/>
      </c>
      <c r="B18" s="44">
        <f>Insumos!$B54</f>
        <v/>
      </c>
      <c r="C18" s="45">
        <f>Insumos!$E54</f>
        <v/>
      </c>
      <c r="D18" s="56">
        <f>IF('3 Conteo Diario'!$S19="","",'1 Inv Inicial'!$G54+SUMIFS('2 Ingresos'!$I$6:$I$255,'2 Ingresos'!$B$6:$B$255,$A18,'2 Ingresos'!$C$6:$C$255,$B18,'2 Ingresos'!$A$6:$A$255,Config!$B$10)-'3 Conteo Diario'!$S19)</f>
        <v/>
      </c>
      <c r="E18" s="56">
        <f>IF(OR('3 Conteo Diario'!$S19="",'3 Conteo Diario'!$T19=""),"",'3 Conteo Diario'!$S19+SUMIFS('2 Ingresos'!$I$6:$I$255,'2 Ingresos'!$B$6:$B$255,$A18,'2 Ingresos'!$C$6:$C$255,$B18,'2 Ingresos'!$A$6:$A$255,Config!$B$11)-'3 Conteo Diario'!$T19)</f>
        <v/>
      </c>
      <c r="F18" s="56">
        <f>IF(OR('3 Conteo Diario'!$T19="",'3 Conteo Diario'!$U19=""),"",'3 Conteo Diario'!$T19+SUMIFS('2 Ingresos'!$I$6:$I$255,'2 Ingresos'!$B$6:$B$255,$A18,'2 Ingresos'!$C$6:$C$255,$B18,'2 Ingresos'!$A$6:$A$255,Config!$B$12)-'3 Conteo Diario'!$U19)</f>
        <v/>
      </c>
      <c r="G18" s="56">
        <f>IF(OR('3 Conteo Diario'!$U19="",'3 Conteo Diario'!$V19=""),"",'3 Conteo Diario'!$U19+SUMIFS('2 Ingresos'!$I$6:$I$255,'2 Ingresos'!$B$6:$B$255,$A18,'2 Ingresos'!$C$6:$C$255,$B18,'2 Ingresos'!$A$6:$A$255,Config!$B$13)-'3 Conteo Diario'!$V19)</f>
        <v/>
      </c>
      <c r="H18" s="56">
        <f>IF(OR('3 Conteo Diario'!$V19="",'3 Conteo Diario'!$W19=""),"",'3 Conteo Diario'!$V19+SUMIFS('2 Ingresos'!$I$6:$I$255,'2 Ingresos'!$B$6:$B$255,$A18,'2 Ingresos'!$C$6:$C$255,$B18,'2 Ingresos'!$A$6:$A$255,Config!$B$14)-'3 Conteo Diario'!$W19)</f>
        <v/>
      </c>
      <c r="I18" s="56">
        <f>IF(OR('3 Conteo Diario'!$W19="",'3 Conteo Diario'!$X19=""),"",'3 Conteo Diario'!$W19+SUMIFS('2 Ingresos'!$I$6:$I$255,'2 Ingresos'!$B$6:$B$255,$A18,'2 Ingresos'!$C$6:$C$255,$B18,'2 Ingresos'!$A$6:$A$255,Config!$B$15)-'3 Conteo Diario'!$X19)</f>
        <v/>
      </c>
      <c r="J18" s="56">
        <f>IF(OR('3 Conteo Diario'!$X19="",'3 Conteo Diario'!$Y19=""),"",'3 Conteo Diario'!$X19+SUMIFS('2 Ingresos'!$I$6:$I$255,'2 Ingresos'!$B$6:$B$255,$A18,'2 Ingresos'!$C$6:$C$255,$B18,'2 Ingresos'!$A$6:$A$255,Config!$B$16)-'3 Conteo Diario'!$Y19)</f>
        <v/>
      </c>
      <c r="K18" s="70">
        <f>IF(COUNT($D18:$J18)=0,"",SUM($D18:$J18))</f>
        <v/>
      </c>
      <c r="L18" s="69">
        <f>IF(COUNT($D18:$J18)=0,"",AVERAGE($D18:$J18))</f>
        <v/>
      </c>
      <c r="M18" s="35">
        <f>IF(COUNT($D18:$J18)=0,"",IFERROR(INDEX($D$4:$J$4,MATCH(MAX($D18:$J18),$D18:$J18,0)),""))</f>
        <v/>
      </c>
      <c r="N18" s="75">
        <f>IF(COUNT($D18:$J18)=0,"Sin conteos cargados",IF(MIN($D18:$J18)&lt;0,"Consumo negativo: ingreso sin registrar",IF(AND($L18&gt;0,MAX($D18:$J18)&gt;2*$L18),"Pico atipico el "&amp;$M18,"OK")))</f>
        <v/>
      </c>
    </row>
    <row r="19">
      <c r="A19" s="38">
        <f>Insumos!$A55</f>
        <v/>
      </c>
      <c r="B19" s="39">
        <f>Insumos!$B55</f>
        <v/>
      </c>
      <c r="C19" s="40">
        <f>Insumos!$E55</f>
        <v/>
      </c>
      <c r="D19" s="56">
        <f>IF('3 Conteo Diario'!$S20="","",'1 Inv Inicial'!$G55+SUMIFS('2 Ingresos'!$I$6:$I$255,'2 Ingresos'!$B$6:$B$255,$A19,'2 Ingresos'!$C$6:$C$255,$B19,'2 Ingresos'!$A$6:$A$255,Config!$B$10)-'3 Conteo Diario'!$S20)</f>
        <v/>
      </c>
      <c r="E19" s="56">
        <f>IF(OR('3 Conteo Diario'!$S20="",'3 Conteo Diario'!$T20=""),"",'3 Conteo Diario'!$S20+SUMIFS('2 Ingresos'!$I$6:$I$255,'2 Ingresos'!$B$6:$B$255,$A19,'2 Ingresos'!$C$6:$C$255,$B19,'2 Ingresos'!$A$6:$A$255,Config!$B$11)-'3 Conteo Diario'!$T20)</f>
        <v/>
      </c>
      <c r="F19" s="56">
        <f>IF(OR('3 Conteo Diario'!$T20="",'3 Conteo Diario'!$U20=""),"",'3 Conteo Diario'!$T20+SUMIFS('2 Ingresos'!$I$6:$I$255,'2 Ingresos'!$B$6:$B$255,$A19,'2 Ingresos'!$C$6:$C$255,$B19,'2 Ingresos'!$A$6:$A$255,Config!$B$12)-'3 Conteo Diario'!$U20)</f>
        <v/>
      </c>
      <c r="G19" s="56">
        <f>IF(OR('3 Conteo Diario'!$U20="",'3 Conteo Diario'!$V20=""),"",'3 Conteo Diario'!$U20+SUMIFS('2 Ingresos'!$I$6:$I$255,'2 Ingresos'!$B$6:$B$255,$A19,'2 Ingresos'!$C$6:$C$255,$B19,'2 Ingresos'!$A$6:$A$255,Config!$B$13)-'3 Conteo Diario'!$V20)</f>
        <v/>
      </c>
      <c r="H19" s="56">
        <f>IF(OR('3 Conteo Diario'!$V20="",'3 Conteo Diario'!$W20=""),"",'3 Conteo Diario'!$V20+SUMIFS('2 Ingresos'!$I$6:$I$255,'2 Ingresos'!$B$6:$B$255,$A19,'2 Ingresos'!$C$6:$C$255,$B19,'2 Ingresos'!$A$6:$A$255,Config!$B$14)-'3 Conteo Diario'!$W20)</f>
        <v/>
      </c>
      <c r="I19" s="56">
        <f>IF(OR('3 Conteo Diario'!$W20="",'3 Conteo Diario'!$X20=""),"",'3 Conteo Diario'!$W20+SUMIFS('2 Ingresos'!$I$6:$I$255,'2 Ingresos'!$B$6:$B$255,$A19,'2 Ingresos'!$C$6:$C$255,$B19,'2 Ingresos'!$A$6:$A$255,Config!$B$15)-'3 Conteo Diario'!$X20)</f>
        <v/>
      </c>
      <c r="J19" s="56">
        <f>IF(OR('3 Conteo Diario'!$X20="",'3 Conteo Diario'!$Y20=""),"",'3 Conteo Diario'!$X20+SUMIFS('2 Ingresos'!$I$6:$I$255,'2 Ingresos'!$B$6:$B$255,$A19,'2 Ingresos'!$C$6:$C$255,$B19,'2 Ingresos'!$A$6:$A$255,Config!$B$16)-'3 Conteo Diario'!$Y20)</f>
        <v/>
      </c>
      <c r="K19" s="70">
        <f>IF(COUNT($D19:$J19)=0,"",SUM($D19:$J19))</f>
        <v/>
      </c>
      <c r="L19" s="69">
        <f>IF(COUNT($D19:$J19)=0,"",AVERAGE($D19:$J19))</f>
        <v/>
      </c>
      <c r="M19" s="35">
        <f>IF(COUNT($D19:$J19)=0,"",IFERROR(INDEX($D$4:$J$4,MATCH(MAX($D19:$J19),$D19:$J19,0)),""))</f>
        <v/>
      </c>
      <c r="N19" s="75">
        <f>IF(COUNT($D19:$J19)=0,"Sin conteos cargados",IF(MIN($D19:$J19)&lt;0,"Consumo negativo: ingreso sin registrar",IF(AND($L19&gt;0,MAX($D19:$J19)&gt;2*$L19),"Pico atipico el "&amp;$M19,"OK")))</f>
        <v/>
      </c>
    </row>
    <row r="20">
      <c r="A20" s="43">
        <f>Insumos!$A56</f>
        <v/>
      </c>
      <c r="B20" s="44">
        <f>Insumos!$B56</f>
        <v/>
      </c>
      <c r="C20" s="45">
        <f>Insumos!$E56</f>
        <v/>
      </c>
      <c r="D20" s="56">
        <f>IF('3 Conteo Diario'!$S21="","",'1 Inv Inicial'!$G56+SUMIFS('2 Ingresos'!$I$6:$I$255,'2 Ingresos'!$B$6:$B$255,$A20,'2 Ingresos'!$C$6:$C$255,$B20,'2 Ingresos'!$A$6:$A$255,Config!$B$10)-'3 Conteo Diario'!$S21)</f>
        <v/>
      </c>
      <c r="E20" s="56">
        <f>IF(OR('3 Conteo Diario'!$S21="",'3 Conteo Diario'!$T21=""),"",'3 Conteo Diario'!$S21+SUMIFS('2 Ingresos'!$I$6:$I$255,'2 Ingresos'!$B$6:$B$255,$A20,'2 Ingresos'!$C$6:$C$255,$B20,'2 Ingresos'!$A$6:$A$255,Config!$B$11)-'3 Conteo Diario'!$T21)</f>
        <v/>
      </c>
      <c r="F20" s="56">
        <f>IF(OR('3 Conteo Diario'!$T21="",'3 Conteo Diario'!$U21=""),"",'3 Conteo Diario'!$T21+SUMIFS('2 Ingresos'!$I$6:$I$255,'2 Ingresos'!$B$6:$B$255,$A20,'2 Ingresos'!$C$6:$C$255,$B20,'2 Ingresos'!$A$6:$A$255,Config!$B$12)-'3 Conteo Diario'!$U21)</f>
        <v/>
      </c>
      <c r="G20" s="56">
        <f>IF(OR('3 Conteo Diario'!$U21="",'3 Conteo Diario'!$V21=""),"",'3 Conteo Diario'!$U21+SUMIFS('2 Ingresos'!$I$6:$I$255,'2 Ingresos'!$B$6:$B$255,$A20,'2 Ingresos'!$C$6:$C$255,$B20,'2 Ingresos'!$A$6:$A$255,Config!$B$13)-'3 Conteo Diario'!$V21)</f>
        <v/>
      </c>
      <c r="H20" s="56">
        <f>IF(OR('3 Conteo Diario'!$V21="",'3 Conteo Diario'!$W21=""),"",'3 Conteo Diario'!$V21+SUMIFS('2 Ingresos'!$I$6:$I$255,'2 Ingresos'!$B$6:$B$255,$A20,'2 Ingresos'!$C$6:$C$255,$B20,'2 Ingresos'!$A$6:$A$255,Config!$B$14)-'3 Conteo Diario'!$W21)</f>
        <v/>
      </c>
      <c r="I20" s="56">
        <f>IF(OR('3 Conteo Diario'!$W21="",'3 Conteo Diario'!$X21=""),"",'3 Conteo Diario'!$W21+SUMIFS('2 Ingresos'!$I$6:$I$255,'2 Ingresos'!$B$6:$B$255,$A20,'2 Ingresos'!$C$6:$C$255,$B20,'2 Ingresos'!$A$6:$A$255,Config!$B$15)-'3 Conteo Diario'!$X21)</f>
        <v/>
      </c>
      <c r="J20" s="56">
        <f>IF(OR('3 Conteo Diario'!$X21="",'3 Conteo Diario'!$Y21=""),"",'3 Conteo Diario'!$X21+SUMIFS('2 Ingresos'!$I$6:$I$255,'2 Ingresos'!$B$6:$B$255,$A20,'2 Ingresos'!$C$6:$C$255,$B20,'2 Ingresos'!$A$6:$A$255,Config!$B$16)-'3 Conteo Diario'!$Y21)</f>
        <v/>
      </c>
      <c r="K20" s="70">
        <f>IF(COUNT($D20:$J20)=0,"",SUM($D20:$J20))</f>
        <v/>
      </c>
      <c r="L20" s="69">
        <f>IF(COUNT($D20:$J20)=0,"",AVERAGE($D20:$J20))</f>
        <v/>
      </c>
      <c r="M20" s="35">
        <f>IF(COUNT($D20:$J20)=0,"",IFERROR(INDEX($D$4:$J$4,MATCH(MAX($D20:$J20),$D20:$J20,0)),""))</f>
        <v/>
      </c>
      <c r="N20" s="75">
        <f>IF(COUNT($D20:$J20)=0,"Sin conteos cargados",IF(MIN($D20:$J20)&lt;0,"Consumo negativo: ingreso sin registrar",IF(AND($L20&gt;0,MAX($D20:$J20)&gt;2*$L20),"Pico atipico el "&amp;$M20,"OK")))</f>
        <v/>
      </c>
    </row>
    <row r="21">
      <c r="A21" s="38">
        <f>Insumos!$A59</f>
        <v/>
      </c>
      <c r="B21" s="39">
        <f>Insumos!$B59</f>
        <v/>
      </c>
      <c r="C21" s="40">
        <f>Insumos!$E59</f>
        <v/>
      </c>
      <c r="D21" s="56">
        <f>IF('3 Conteo Diario'!$S22="","",'1 Inv Inicial'!$G59+SUMIFS('2 Ingresos'!$I$6:$I$255,'2 Ingresos'!$B$6:$B$255,$A21,'2 Ingresos'!$C$6:$C$255,$B21,'2 Ingresos'!$A$6:$A$255,Config!$B$10)-'3 Conteo Diario'!$S22)</f>
        <v/>
      </c>
      <c r="E21" s="56">
        <f>IF(OR('3 Conteo Diario'!$S22="",'3 Conteo Diario'!$T22=""),"",'3 Conteo Diario'!$S22+SUMIFS('2 Ingresos'!$I$6:$I$255,'2 Ingresos'!$B$6:$B$255,$A21,'2 Ingresos'!$C$6:$C$255,$B21,'2 Ingresos'!$A$6:$A$255,Config!$B$11)-'3 Conteo Diario'!$T22)</f>
        <v/>
      </c>
      <c r="F21" s="56">
        <f>IF(OR('3 Conteo Diario'!$T22="",'3 Conteo Diario'!$U22=""),"",'3 Conteo Diario'!$T22+SUMIFS('2 Ingresos'!$I$6:$I$255,'2 Ingresos'!$B$6:$B$255,$A21,'2 Ingresos'!$C$6:$C$255,$B21,'2 Ingresos'!$A$6:$A$255,Config!$B$12)-'3 Conteo Diario'!$U22)</f>
        <v/>
      </c>
      <c r="G21" s="56">
        <f>IF(OR('3 Conteo Diario'!$U22="",'3 Conteo Diario'!$V22=""),"",'3 Conteo Diario'!$U22+SUMIFS('2 Ingresos'!$I$6:$I$255,'2 Ingresos'!$B$6:$B$255,$A21,'2 Ingresos'!$C$6:$C$255,$B21,'2 Ingresos'!$A$6:$A$255,Config!$B$13)-'3 Conteo Diario'!$V22)</f>
        <v/>
      </c>
      <c r="H21" s="56">
        <f>IF(OR('3 Conteo Diario'!$V22="",'3 Conteo Diario'!$W22=""),"",'3 Conteo Diario'!$V22+SUMIFS('2 Ingresos'!$I$6:$I$255,'2 Ingresos'!$B$6:$B$255,$A21,'2 Ingresos'!$C$6:$C$255,$B21,'2 Ingresos'!$A$6:$A$255,Config!$B$14)-'3 Conteo Diario'!$W22)</f>
        <v/>
      </c>
      <c r="I21" s="56">
        <f>IF(OR('3 Conteo Diario'!$W22="",'3 Conteo Diario'!$X22=""),"",'3 Conteo Diario'!$W22+SUMIFS('2 Ingresos'!$I$6:$I$255,'2 Ingresos'!$B$6:$B$255,$A21,'2 Ingresos'!$C$6:$C$255,$B21,'2 Ingresos'!$A$6:$A$255,Config!$B$15)-'3 Conteo Diario'!$X22)</f>
        <v/>
      </c>
      <c r="J21" s="56">
        <f>IF(OR('3 Conteo Diario'!$X22="",'3 Conteo Diario'!$Y22=""),"",'3 Conteo Diario'!$X22+SUMIFS('2 Ingresos'!$I$6:$I$255,'2 Ingresos'!$B$6:$B$255,$A21,'2 Ingresos'!$C$6:$C$255,$B21,'2 Ingresos'!$A$6:$A$255,Config!$B$16)-'3 Conteo Diario'!$Y22)</f>
        <v/>
      </c>
      <c r="K21" s="70">
        <f>IF(COUNT($D21:$J21)=0,"",SUM($D21:$J21))</f>
        <v/>
      </c>
      <c r="L21" s="69">
        <f>IF(COUNT($D21:$J21)=0,"",AVERAGE($D21:$J21))</f>
        <v/>
      </c>
      <c r="M21" s="35">
        <f>IF(COUNT($D21:$J21)=0,"",IFERROR(INDEX($D$4:$J$4,MATCH(MAX($D21:$J21),$D21:$J21,0)),""))</f>
        <v/>
      </c>
      <c r="N21" s="75">
        <f>IF(COUNT($D21:$J21)=0,"Sin conteos cargados",IF(MIN($D21:$J21)&lt;0,"Consumo negativo: ingreso sin registrar",IF(AND($L21&gt;0,MAX($D21:$J21)&gt;2*$L21),"Pico atipico el "&amp;$M21,"OK")))</f>
        <v/>
      </c>
    </row>
    <row r="22">
      <c r="A22" s="43">
        <f>Insumos!$A60</f>
        <v/>
      </c>
      <c r="B22" s="44">
        <f>Insumos!$B60</f>
        <v/>
      </c>
      <c r="C22" s="45">
        <f>Insumos!$E60</f>
        <v/>
      </c>
      <c r="D22" s="56">
        <f>IF('3 Conteo Diario'!$S23="","",'1 Inv Inicial'!$G60+SUMIFS('2 Ingresos'!$I$6:$I$255,'2 Ingresos'!$B$6:$B$255,$A22,'2 Ingresos'!$C$6:$C$255,$B22,'2 Ingresos'!$A$6:$A$255,Config!$B$10)-'3 Conteo Diario'!$S23)</f>
        <v/>
      </c>
      <c r="E22" s="56">
        <f>IF(OR('3 Conteo Diario'!$S23="",'3 Conteo Diario'!$T23=""),"",'3 Conteo Diario'!$S23+SUMIFS('2 Ingresos'!$I$6:$I$255,'2 Ingresos'!$B$6:$B$255,$A22,'2 Ingresos'!$C$6:$C$255,$B22,'2 Ingresos'!$A$6:$A$255,Config!$B$11)-'3 Conteo Diario'!$T23)</f>
        <v/>
      </c>
      <c r="F22" s="56">
        <f>IF(OR('3 Conteo Diario'!$T23="",'3 Conteo Diario'!$U23=""),"",'3 Conteo Diario'!$T23+SUMIFS('2 Ingresos'!$I$6:$I$255,'2 Ingresos'!$B$6:$B$255,$A22,'2 Ingresos'!$C$6:$C$255,$B22,'2 Ingresos'!$A$6:$A$255,Config!$B$12)-'3 Conteo Diario'!$U23)</f>
        <v/>
      </c>
      <c r="G22" s="56">
        <f>IF(OR('3 Conteo Diario'!$U23="",'3 Conteo Diario'!$V23=""),"",'3 Conteo Diario'!$U23+SUMIFS('2 Ingresos'!$I$6:$I$255,'2 Ingresos'!$B$6:$B$255,$A22,'2 Ingresos'!$C$6:$C$255,$B22,'2 Ingresos'!$A$6:$A$255,Config!$B$13)-'3 Conteo Diario'!$V23)</f>
        <v/>
      </c>
      <c r="H22" s="56">
        <f>IF(OR('3 Conteo Diario'!$V23="",'3 Conteo Diario'!$W23=""),"",'3 Conteo Diario'!$V23+SUMIFS('2 Ingresos'!$I$6:$I$255,'2 Ingresos'!$B$6:$B$255,$A22,'2 Ingresos'!$C$6:$C$255,$B22,'2 Ingresos'!$A$6:$A$255,Config!$B$14)-'3 Conteo Diario'!$W23)</f>
        <v/>
      </c>
      <c r="I22" s="56">
        <f>IF(OR('3 Conteo Diario'!$W23="",'3 Conteo Diario'!$X23=""),"",'3 Conteo Diario'!$W23+SUMIFS('2 Ingresos'!$I$6:$I$255,'2 Ingresos'!$B$6:$B$255,$A22,'2 Ingresos'!$C$6:$C$255,$B22,'2 Ingresos'!$A$6:$A$255,Config!$B$15)-'3 Conteo Diario'!$X23)</f>
        <v/>
      </c>
      <c r="J22" s="56">
        <f>IF(OR('3 Conteo Diario'!$X23="",'3 Conteo Diario'!$Y23=""),"",'3 Conteo Diario'!$X23+SUMIFS('2 Ingresos'!$I$6:$I$255,'2 Ingresos'!$B$6:$B$255,$A22,'2 Ingresos'!$C$6:$C$255,$B22,'2 Ingresos'!$A$6:$A$255,Config!$B$16)-'3 Conteo Diario'!$Y23)</f>
        <v/>
      </c>
      <c r="K22" s="70">
        <f>IF(COUNT($D22:$J22)=0,"",SUM($D22:$J22))</f>
        <v/>
      </c>
      <c r="L22" s="69">
        <f>IF(COUNT($D22:$J22)=0,"",AVERAGE($D22:$J22))</f>
        <v/>
      </c>
      <c r="M22" s="35">
        <f>IF(COUNT($D22:$J22)=0,"",IFERROR(INDEX($D$4:$J$4,MATCH(MAX($D22:$J22),$D22:$J22,0)),""))</f>
        <v/>
      </c>
      <c r="N22" s="75">
        <f>IF(COUNT($D22:$J22)=0,"Sin conteos cargados",IF(MIN($D22:$J22)&lt;0,"Consumo negativo: ingreso sin registrar",IF(AND($L22&gt;0,MAX($D22:$J22)&gt;2*$L22),"Pico atipico el "&amp;$M22,"OK")))</f>
        <v/>
      </c>
    </row>
    <row r="23">
      <c r="A23" s="38">
        <f>Insumos!$A62</f>
        <v/>
      </c>
      <c r="B23" s="39">
        <f>Insumos!$B62</f>
        <v/>
      </c>
      <c r="C23" s="40">
        <f>Insumos!$E62</f>
        <v/>
      </c>
      <c r="D23" s="56">
        <f>IF('3 Conteo Diario'!$S24="","",'1 Inv Inicial'!$G62+SUMIFS('2 Ingresos'!$I$6:$I$255,'2 Ingresos'!$B$6:$B$255,$A23,'2 Ingresos'!$C$6:$C$255,$B23,'2 Ingresos'!$A$6:$A$255,Config!$B$10)-'3 Conteo Diario'!$S24)</f>
        <v/>
      </c>
      <c r="E23" s="56">
        <f>IF(OR('3 Conteo Diario'!$S24="",'3 Conteo Diario'!$T24=""),"",'3 Conteo Diario'!$S24+SUMIFS('2 Ingresos'!$I$6:$I$255,'2 Ingresos'!$B$6:$B$255,$A23,'2 Ingresos'!$C$6:$C$255,$B23,'2 Ingresos'!$A$6:$A$255,Config!$B$11)-'3 Conteo Diario'!$T24)</f>
        <v/>
      </c>
      <c r="F23" s="56">
        <f>IF(OR('3 Conteo Diario'!$T24="",'3 Conteo Diario'!$U24=""),"",'3 Conteo Diario'!$T24+SUMIFS('2 Ingresos'!$I$6:$I$255,'2 Ingresos'!$B$6:$B$255,$A23,'2 Ingresos'!$C$6:$C$255,$B23,'2 Ingresos'!$A$6:$A$255,Config!$B$12)-'3 Conteo Diario'!$U24)</f>
        <v/>
      </c>
      <c r="G23" s="56">
        <f>IF(OR('3 Conteo Diario'!$U24="",'3 Conteo Diario'!$V24=""),"",'3 Conteo Diario'!$U24+SUMIFS('2 Ingresos'!$I$6:$I$255,'2 Ingresos'!$B$6:$B$255,$A23,'2 Ingresos'!$C$6:$C$255,$B23,'2 Ingresos'!$A$6:$A$255,Config!$B$13)-'3 Conteo Diario'!$V24)</f>
        <v/>
      </c>
      <c r="H23" s="56">
        <f>IF(OR('3 Conteo Diario'!$V24="",'3 Conteo Diario'!$W24=""),"",'3 Conteo Diario'!$V24+SUMIFS('2 Ingresos'!$I$6:$I$255,'2 Ingresos'!$B$6:$B$255,$A23,'2 Ingresos'!$C$6:$C$255,$B23,'2 Ingresos'!$A$6:$A$255,Config!$B$14)-'3 Conteo Diario'!$W24)</f>
        <v/>
      </c>
      <c r="I23" s="56">
        <f>IF(OR('3 Conteo Diario'!$W24="",'3 Conteo Diario'!$X24=""),"",'3 Conteo Diario'!$W24+SUMIFS('2 Ingresos'!$I$6:$I$255,'2 Ingresos'!$B$6:$B$255,$A23,'2 Ingresos'!$C$6:$C$255,$B23,'2 Ingresos'!$A$6:$A$255,Config!$B$15)-'3 Conteo Diario'!$X24)</f>
        <v/>
      </c>
      <c r="J23" s="56">
        <f>IF(OR('3 Conteo Diario'!$X24="",'3 Conteo Diario'!$Y24=""),"",'3 Conteo Diario'!$X24+SUMIFS('2 Ingresos'!$I$6:$I$255,'2 Ingresos'!$B$6:$B$255,$A23,'2 Ingresos'!$C$6:$C$255,$B23,'2 Ingresos'!$A$6:$A$255,Config!$B$16)-'3 Conteo Diario'!$Y24)</f>
        <v/>
      </c>
      <c r="K23" s="70">
        <f>IF(COUNT($D23:$J23)=0,"",SUM($D23:$J23))</f>
        <v/>
      </c>
      <c r="L23" s="69">
        <f>IF(COUNT($D23:$J23)=0,"",AVERAGE($D23:$J23))</f>
        <v/>
      </c>
      <c r="M23" s="35">
        <f>IF(COUNT($D23:$J23)=0,"",IFERROR(INDEX($D$4:$J$4,MATCH(MAX($D23:$J23),$D23:$J23,0)),""))</f>
        <v/>
      </c>
      <c r="N23" s="75">
        <f>IF(COUNT($D23:$J23)=0,"Sin conteos cargados",IF(MIN($D23:$J23)&lt;0,"Consumo negativo: ingreso sin registrar",IF(AND($L23&gt;0,MAX($D23:$J23)&gt;2*$L23),"Pico atipico el "&amp;$M23,"OK")))</f>
        <v/>
      </c>
    </row>
    <row r="24">
      <c r="A24" s="43">
        <f>Insumos!$A69</f>
        <v/>
      </c>
      <c r="B24" s="44">
        <f>Insumos!$B69</f>
        <v/>
      </c>
      <c r="C24" s="45">
        <f>Insumos!$E69</f>
        <v/>
      </c>
      <c r="D24" s="56">
        <f>IF('3 Conteo Diario'!$S25="","",'1 Inv Inicial'!$G69+SUMIFS('2 Ingresos'!$I$6:$I$255,'2 Ingresos'!$B$6:$B$255,$A24,'2 Ingresos'!$C$6:$C$255,$B24,'2 Ingresos'!$A$6:$A$255,Config!$B$10)-'3 Conteo Diario'!$S25)</f>
        <v/>
      </c>
      <c r="E24" s="56">
        <f>IF(OR('3 Conteo Diario'!$S25="",'3 Conteo Diario'!$T25=""),"",'3 Conteo Diario'!$S25+SUMIFS('2 Ingresos'!$I$6:$I$255,'2 Ingresos'!$B$6:$B$255,$A24,'2 Ingresos'!$C$6:$C$255,$B24,'2 Ingresos'!$A$6:$A$255,Config!$B$11)-'3 Conteo Diario'!$T25)</f>
        <v/>
      </c>
      <c r="F24" s="56">
        <f>IF(OR('3 Conteo Diario'!$T25="",'3 Conteo Diario'!$U25=""),"",'3 Conteo Diario'!$T25+SUMIFS('2 Ingresos'!$I$6:$I$255,'2 Ingresos'!$B$6:$B$255,$A24,'2 Ingresos'!$C$6:$C$255,$B24,'2 Ingresos'!$A$6:$A$255,Config!$B$12)-'3 Conteo Diario'!$U25)</f>
        <v/>
      </c>
      <c r="G24" s="56">
        <f>IF(OR('3 Conteo Diario'!$U25="",'3 Conteo Diario'!$V25=""),"",'3 Conteo Diario'!$U25+SUMIFS('2 Ingresos'!$I$6:$I$255,'2 Ingresos'!$B$6:$B$255,$A24,'2 Ingresos'!$C$6:$C$255,$B24,'2 Ingresos'!$A$6:$A$255,Config!$B$13)-'3 Conteo Diario'!$V25)</f>
        <v/>
      </c>
      <c r="H24" s="56">
        <f>IF(OR('3 Conteo Diario'!$V25="",'3 Conteo Diario'!$W25=""),"",'3 Conteo Diario'!$V25+SUMIFS('2 Ingresos'!$I$6:$I$255,'2 Ingresos'!$B$6:$B$255,$A24,'2 Ingresos'!$C$6:$C$255,$B24,'2 Ingresos'!$A$6:$A$255,Config!$B$14)-'3 Conteo Diario'!$W25)</f>
        <v/>
      </c>
      <c r="I24" s="56">
        <f>IF(OR('3 Conteo Diario'!$W25="",'3 Conteo Diario'!$X25=""),"",'3 Conteo Diario'!$W25+SUMIFS('2 Ingresos'!$I$6:$I$255,'2 Ingresos'!$B$6:$B$255,$A24,'2 Ingresos'!$C$6:$C$255,$B24,'2 Ingresos'!$A$6:$A$255,Config!$B$15)-'3 Conteo Diario'!$X25)</f>
        <v/>
      </c>
      <c r="J24" s="56">
        <f>IF(OR('3 Conteo Diario'!$X25="",'3 Conteo Diario'!$Y25=""),"",'3 Conteo Diario'!$X25+SUMIFS('2 Ingresos'!$I$6:$I$255,'2 Ingresos'!$B$6:$B$255,$A24,'2 Ingresos'!$C$6:$C$255,$B24,'2 Ingresos'!$A$6:$A$255,Config!$B$16)-'3 Conteo Diario'!$Y25)</f>
        <v/>
      </c>
      <c r="K24" s="70">
        <f>IF(COUNT($D24:$J24)=0,"",SUM($D24:$J24))</f>
        <v/>
      </c>
      <c r="L24" s="69">
        <f>IF(COUNT($D24:$J24)=0,"",AVERAGE($D24:$J24))</f>
        <v/>
      </c>
      <c r="M24" s="35">
        <f>IF(COUNT($D24:$J24)=0,"",IFERROR(INDEX($D$4:$J$4,MATCH(MAX($D24:$J24),$D24:$J24,0)),""))</f>
        <v/>
      </c>
      <c r="N24" s="75">
        <f>IF(COUNT($D24:$J24)=0,"Sin conteos cargados",IF(MIN($D24:$J24)&lt;0,"Consumo negativo: ingreso sin registrar",IF(AND($L24&gt;0,MAX($D24:$J24)&gt;2*$L24),"Pico atipico el "&amp;$M24,"OK")))</f>
        <v/>
      </c>
    </row>
    <row r="25">
      <c r="A25" s="38">
        <f>Insumos!$A72</f>
        <v/>
      </c>
      <c r="B25" s="39">
        <f>Insumos!$B72</f>
        <v/>
      </c>
      <c r="C25" s="40">
        <f>Insumos!$E72</f>
        <v/>
      </c>
      <c r="D25" s="56">
        <f>IF('3 Conteo Diario'!$S26="","",'1 Inv Inicial'!$G72+SUMIFS('2 Ingresos'!$I$6:$I$255,'2 Ingresos'!$B$6:$B$255,$A25,'2 Ingresos'!$C$6:$C$255,$B25,'2 Ingresos'!$A$6:$A$255,Config!$B$10)-'3 Conteo Diario'!$S26)</f>
        <v/>
      </c>
      <c r="E25" s="56">
        <f>IF(OR('3 Conteo Diario'!$S26="",'3 Conteo Diario'!$T26=""),"",'3 Conteo Diario'!$S26+SUMIFS('2 Ingresos'!$I$6:$I$255,'2 Ingresos'!$B$6:$B$255,$A25,'2 Ingresos'!$C$6:$C$255,$B25,'2 Ingresos'!$A$6:$A$255,Config!$B$11)-'3 Conteo Diario'!$T26)</f>
        <v/>
      </c>
      <c r="F25" s="56">
        <f>IF(OR('3 Conteo Diario'!$T26="",'3 Conteo Diario'!$U26=""),"",'3 Conteo Diario'!$T26+SUMIFS('2 Ingresos'!$I$6:$I$255,'2 Ingresos'!$B$6:$B$255,$A25,'2 Ingresos'!$C$6:$C$255,$B25,'2 Ingresos'!$A$6:$A$255,Config!$B$12)-'3 Conteo Diario'!$U26)</f>
        <v/>
      </c>
      <c r="G25" s="56">
        <f>IF(OR('3 Conteo Diario'!$U26="",'3 Conteo Diario'!$V26=""),"",'3 Conteo Diario'!$U26+SUMIFS('2 Ingresos'!$I$6:$I$255,'2 Ingresos'!$B$6:$B$255,$A25,'2 Ingresos'!$C$6:$C$255,$B25,'2 Ingresos'!$A$6:$A$255,Config!$B$13)-'3 Conteo Diario'!$V26)</f>
        <v/>
      </c>
      <c r="H25" s="56">
        <f>IF(OR('3 Conteo Diario'!$V26="",'3 Conteo Diario'!$W26=""),"",'3 Conteo Diario'!$V26+SUMIFS('2 Ingresos'!$I$6:$I$255,'2 Ingresos'!$B$6:$B$255,$A25,'2 Ingresos'!$C$6:$C$255,$B25,'2 Ingresos'!$A$6:$A$255,Config!$B$14)-'3 Conteo Diario'!$W26)</f>
        <v/>
      </c>
      <c r="I25" s="56">
        <f>IF(OR('3 Conteo Diario'!$W26="",'3 Conteo Diario'!$X26=""),"",'3 Conteo Diario'!$W26+SUMIFS('2 Ingresos'!$I$6:$I$255,'2 Ingresos'!$B$6:$B$255,$A25,'2 Ingresos'!$C$6:$C$255,$B25,'2 Ingresos'!$A$6:$A$255,Config!$B$15)-'3 Conteo Diario'!$X26)</f>
        <v/>
      </c>
      <c r="J25" s="56">
        <f>IF(OR('3 Conteo Diario'!$X26="",'3 Conteo Diario'!$Y26=""),"",'3 Conteo Diario'!$X26+SUMIFS('2 Ingresos'!$I$6:$I$255,'2 Ingresos'!$B$6:$B$255,$A25,'2 Ingresos'!$C$6:$C$255,$B25,'2 Ingresos'!$A$6:$A$255,Config!$B$16)-'3 Conteo Diario'!$Y26)</f>
        <v/>
      </c>
      <c r="K25" s="70">
        <f>IF(COUNT($D25:$J25)=0,"",SUM($D25:$J25))</f>
        <v/>
      </c>
      <c r="L25" s="69">
        <f>IF(COUNT($D25:$J25)=0,"",AVERAGE($D25:$J25))</f>
        <v/>
      </c>
      <c r="M25" s="35">
        <f>IF(COUNT($D25:$J25)=0,"",IFERROR(INDEX($D$4:$J$4,MATCH(MAX($D25:$J25),$D25:$J25,0)),""))</f>
        <v/>
      </c>
      <c r="N25" s="75">
        <f>IF(COUNT($D25:$J25)=0,"Sin conteos cargados",IF(MIN($D25:$J25)&lt;0,"Consumo negativo: ingreso sin registrar",IF(AND($L25&gt;0,MAX($D25:$J25)&gt;2*$L25),"Pico atipico el "&amp;$M25,"OK")))</f>
        <v/>
      </c>
    </row>
    <row r="26">
      <c r="A26" s="43">
        <f>Insumos!$A73</f>
        <v/>
      </c>
      <c r="B26" s="44">
        <f>Insumos!$B73</f>
        <v/>
      </c>
      <c r="C26" s="45">
        <f>Insumos!$E73</f>
        <v/>
      </c>
      <c r="D26" s="56">
        <f>IF('3 Conteo Diario'!$S27="","",'1 Inv Inicial'!$G73+SUMIFS('2 Ingresos'!$I$6:$I$255,'2 Ingresos'!$B$6:$B$255,$A26,'2 Ingresos'!$C$6:$C$255,$B26,'2 Ingresos'!$A$6:$A$255,Config!$B$10)-'3 Conteo Diario'!$S27)</f>
        <v/>
      </c>
      <c r="E26" s="56">
        <f>IF(OR('3 Conteo Diario'!$S27="",'3 Conteo Diario'!$T27=""),"",'3 Conteo Diario'!$S27+SUMIFS('2 Ingresos'!$I$6:$I$255,'2 Ingresos'!$B$6:$B$255,$A26,'2 Ingresos'!$C$6:$C$255,$B26,'2 Ingresos'!$A$6:$A$255,Config!$B$11)-'3 Conteo Diario'!$T27)</f>
        <v/>
      </c>
      <c r="F26" s="56">
        <f>IF(OR('3 Conteo Diario'!$T27="",'3 Conteo Diario'!$U27=""),"",'3 Conteo Diario'!$T27+SUMIFS('2 Ingresos'!$I$6:$I$255,'2 Ingresos'!$B$6:$B$255,$A26,'2 Ingresos'!$C$6:$C$255,$B26,'2 Ingresos'!$A$6:$A$255,Config!$B$12)-'3 Conteo Diario'!$U27)</f>
        <v/>
      </c>
      <c r="G26" s="56">
        <f>IF(OR('3 Conteo Diario'!$U27="",'3 Conteo Diario'!$V27=""),"",'3 Conteo Diario'!$U27+SUMIFS('2 Ingresos'!$I$6:$I$255,'2 Ingresos'!$B$6:$B$255,$A26,'2 Ingresos'!$C$6:$C$255,$B26,'2 Ingresos'!$A$6:$A$255,Config!$B$13)-'3 Conteo Diario'!$V27)</f>
        <v/>
      </c>
      <c r="H26" s="56">
        <f>IF(OR('3 Conteo Diario'!$V27="",'3 Conteo Diario'!$W27=""),"",'3 Conteo Diario'!$V27+SUMIFS('2 Ingresos'!$I$6:$I$255,'2 Ingresos'!$B$6:$B$255,$A26,'2 Ingresos'!$C$6:$C$255,$B26,'2 Ingresos'!$A$6:$A$255,Config!$B$14)-'3 Conteo Diario'!$W27)</f>
        <v/>
      </c>
      <c r="I26" s="56">
        <f>IF(OR('3 Conteo Diario'!$W27="",'3 Conteo Diario'!$X27=""),"",'3 Conteo Diario'!$W27+SUMIFS('2 Ingresos'!$I$6:$I$255,'2 Ingresos'!$B$6:$B$255,$A26,'2 Ingresos'!$C$6:$C$255,$B26,'2 Ingresos'!$A$6:$A$255,Config!$B$15)-'3 Conteo Diario'!$X27)</f>
        <v/>
      </c>
      <c r="J26" s="56">
        <f>IF(OR('3 Conteo Diario'!$X27="",'3 Conteo Diario'!$Y27=""),"",'3 Conteo Diario'!$X27+SUMIFS('2 Ingresos'!$I$6:$I$255,'2 Ingresos'!$B$6:$B$255,$A26,'2 Ingresos'!$C$6:$C$255,$B26,'2 Ingresos'!$A$6:$A$255,Config!$B$16)-'3 Conteo Diario'!$Y27)</f>
        <v/>
      </c>
      <c r="K26" s="70">
        <f>IF(COUNT($D26:$J26)=0,"",SUM($D26:$J26))</f>
        <v/>
      </c>
      <c r="L26" s="69">
        <f>IF(COUNT($D26:$J26)=0,"",AVERAGE($D26:$J26))</f>
        <v/>
      </c>
      <c r="M26" s="35">
        <f>IF(COUNT($D26:$J26)=0,"",IFERROR(INDEX($D$4:$J$4,MATCH(MAX($D26:$J26),$D26:$J26,0)),""))</f>
        <v/>
      </c>
      <c r="N26" s="75">
        <f>IF(COUNT($D26:$J26)=0,"Sin conteos cargados",IF(MIN($D26:$J26)&lt;0,"Consumo negativo: ingreso sin registrar",IF(AND($L26&gt;0,MAX($D26:$J26)&gt;2*$L26),"Pico atipico el "&amp;$M26,"OK")))</f>
        <v/>
      </c>
    </row>
    <row r="27">
      <c r="A27" s="38">
        <f>Insumos!$A74</f>
        <v/>
      </c>
      <c r="B27" s="39">
        <f>Insumos!$B74</f>
        <v/>
      </c>
      <c r="C27" s="40">
        <f>Insumos!$E74</f>
        <v/>
      </c>
      <c r="D27" s="56">
        <f>IF('3 Conteo Diario'!$S28="","",'1 Inv Inicial'!$G74+SUMIFS('2 Ingresos'!$I$6:$I$255,'2 Ingresos'!$B$6:$B$255,$A27,'2 Ingresos'!$C$6:$C$255,$B27,'2 Ingresos'!$A$6:$A$255,Config!$B$10)-'3 Conteo Diario'!$S28)</f>
        <v/>
      </c>
      <c r="E27" s="56">
        <f>IF(OR('3 Conteo Diario'!$S28="",'3 Conteo Diario'!$T28=""),"",'3 Conteo Diario'!$S28+SUMIFS('2 Ingresos'!$I$6:$I$255,'2 Ingresos'!$B$6:$B$255,$A27,'2 Ingresos'!$C$6:$C$255,$B27,'2 Ingresos'!$A$6:$A$255,Config!$B$11)-'3 Conteo Diario'!$T28)</f>
        <v/>
      </c>
      <c r="F27" s="56">
        <f>IF(OR('3 Conteo Diario'!$T28="",'3 Conteo Diario'!$U28=""),"",'3 Conteo Diario'!$T28+SUMIFS('2 Ingresos'!$I$6:$I$255,'2 Ingresos'!$B$6:$B$255,$A27,'2 Ingresos'!$C$6:$C$255,$B27,'2 Ingresos'!$A$6:$A$255,Config!$B$12)-'3 Conteo Diario'!$U28)</f>
        <v/>
      </c>
      <c r="G27" s="56">
        <f>IF(OR('3 Conteo Diario'!$U28="",'3 Conteo Diario'!$V28=""),"",'3 Conteo Diario'!$U28+SUMIFS('2 Ingresos'!$I$6:$I$255,'2 Ingresos'!$B$6:$B$255,$A27,'2 Ingresos'!$C$6:$C$255,$B27,'2 Ingresos'!$A$6:$A$255,Config!$B$13)-'3 Conteo Diario'!$V28)</f>
        <v/>
      </c>
      <c r="H27" s="56">
        <f>IF(OR('3 Conteo Diario'!$V28="",'3 Conteo Diario'!$W28=""),"",'3 Conteo Diario'!$V28+SUMIFS('2 Ingresos'!$I$6:$I$255,'2 Ingresos'!$B$6:$B$255,$A27,'2 Ingresos'!$C$6:$C$255,$B27,'2 Ingresos'!$A$6:$A$255,Config!$B$14)-'3 Conteo Diario'!$W28)</f>
        <v/>
      </c>
      <c r="I27" s="56">
        <f>IF(OR('3 Conteo Diario'!$W28="",'3 Conteo Diario'!$X28=""),"",'3 Conteo Diario'!$W28+SUMIFS('2 Ingresos'!$I$6:$I$255,'2 Ingresos'!$B$6:$B$255,$A27,'2 Ingresos'!$C$6:$C$255,$B27,'2 Ingresos'!$A$6:$A$255,Config!$B$15)-'3 Conteo Diario'!$X28)</f>
        <v/>
      </c>
      <c r="J27" s="56">
        <f>IF(OR('3 Conteo Diario'!$X28="",'3 Conteo Diario'!$Y28=""),"",'3 Conteo Diario'!$X28+SUMIFS('2 Ingresos'!$I$6:$I$255,'2 Ingresos'!$B$6:$B$255,$A27,'2 Ingresos'!$C$6:$C$255,$B27,'2 Ingresos'!$A$6:$A$255,Config!$B$16)-'3 Conteo Diario'!$Y28)</f>
        <v/>
      </c>
      <c r="K27" s="70">
        <f>IF(COUNT($D27:$J27)=0,"",SUM($D27:$J27))</f>
        <v/>
      </c>
      <c r="L27" s="69">
        <f>IF(COUNT($D27:$J27)=0,"",AVERAGE($D27:$J27))</f>
        <v/>
      </c>
      <c r="M27" s="35">
        <f>IF(COUNT($D27:$J27)=0,"",IFERROR(INDEX($D$4:$J$4,MATCH(MAX($D27:$J27),$D27:$J27,0)),""))</f>
        <v/>
      </c>
      <c r="N27" s="75">
        <f>IF(COUNT($D27:$J27)=0,"Sin conteos cargados",IF(MIN($D27:$J27)&lt;0,"Consumo negativo: ingreso sin registrar",IF(AND($L27&gt;0,MAX($D27:$J27)&gt;2*$L27),"Pico atipico el "&amp;$M27,"OK")))</f>
        <v/>
      </c>
    </row>
    <row r="28">
      <c r="A28" s="43">
        <f>Insumos!$A78</f>
        <v/>
      </c>
      <c r="B28" s="44">
        <f>Insumos!$B78</f>
        <v/>
      </c>
      <c r="C28" s="45">
        <f>Insumos!$E78</f>
        <v/>
      </c>
      <c r="D28" s="56">
        <f>IF('3 Conteo Diario'!$S29="","",'1 Inv Inicial'!$G78+SUMIFS('2 Ingresos'!$I$6:$I$255,'2 Ingresos'!$B$6:$B$255,$A28,'2 Ingresos'!$C$6:$C$255,$B28,'2 Ingresos'!$A$6:$A$255,Config!$B$10)-'3 Conteo Diario'!$S29)</f>
        <v/>
      </c>
      <c r="E28" s="56">
        <f>IF(OR('3 Conteo Diario'!$S29="",'3 Conteo Diario'!$T29=""),"",'3 Conteo Diario'!$S29+SUMIFS('2 Ingresos'!$I$6:$I$255,'2 Ingresos'!$B$6:$B$255,$A28,'2 Ingresos'!$C$6:$C$255,$B28,'2 Ingresos'!$A$6:$A$255,Config!$B$11)-'3 Conteo Diario'!$T29)</f>
        <v/>
      </c>
      <c r="F28" s="56">
        <f>IF(OR('3 Conteo Diario'!$T29="",'3 Conteo Diario'!$U29=""),"",'3 Conteo Diario'!$T29+SUMIFS('2 Ingresos'!$I$6:$I$255,'2 Ingresos'!$B$6:$B$255,$A28,'2 Ingresos'!$C$6:$C$255,$B28,'2 Ingresos'!$A$6:$A$255,Config!$B$12)-'3 Conteo Diario'!$U29)</f>
        <v/>
      </c>
      <c r="G28" s="56">
        <f>IF(OR('3 Conteo Diario'!$U29="",'3 Conteo Diario'!$V29=""),"",'3 Conteo Diario'!$U29+SUMIFS('2 Ingresos'!$I$6:$I$255,'2 Ingresos'!$B$6:$B$255,$A28,'2 Ingresos'!$C$6:$C$255,$B28,'2 Ingresos'!$A$6:$A$255,Config!$B$13)-'3 Conteo Diario'!$V29)</f>
        <v/>
      </c>
      <c r="H28" s="56">
        <f>IF(OR('3 Conteo Diario'!$V29="",'3 Conteo Diario'!$W29=""),"",'3 Conteo Diario'!$V29+SUMIFS('2 Ingresos'!$I$6:$I$255,'2 Ingresos'!$B$6:$B$255,$A28,'2 Ingresos'!$C$6:$C$255,$B28,'2 Ingresos'!$A$6:$A$255,Config!$B$14)-'3 Conteo Diario'!$W29)</f>
        <v/>
      </c>
      <c r="I28" s="56">
        <f>IF(OR('3 Conteo Diario'!$W29="",'3 Conteo Diario'!$X29=""),"",'3 Conteo Diario'!$W29+SUMIFS('2 Ingresos'!$I$6:$I$255,'2 Ingresos'!$B$6:$B$255,$A28,'2 Ingresos'!$C$6:$C$255,$B28,'2 Ingresos'!$A$6:$A$255,Config!$B$15)-'3 Conteo Diario'!$X29)</f>
        <v/>
      </c>
      <c r="J28" s="56">
        <f>IF(OR('3 Conteo Diario'!$X29="",'3 Conteo Diario'!$Y29=""),"",'3 Conteo Diario'!$X29+SUMIFS('2 Ingresos'!$I$6:$I$255,'2 Ingresos'!$B$6:$B$255,$A28,'2 Ingresos'!$C$6:$C$255,$B28,'2 Ingresos'!$A$6:$A$255,Config!$B$16)-'3 Conteo Diario'!$Y29)</f>
        <v/>
      </c>
      <c r="K28" s="70">
        <f>IF(COUNT($D28:$J28)=0,"",SUM($D28:$J28))</f>
        <v/>
      </c>
      <c r="L28" s="69">
        <f>IF(COUNT($D28:$J28)=0,"",AVERAGE($D28:$J28))</f>
        <v/>
      </c>
      <c r="M28" s="35">
        <f>IF(COUNT($D28:$J28)=0,"",IFERROR(INDEX($D$4:$J$4,MATCH(MAX($D28:$J28),$D28:$J28,0)),""))</f>
        <v/>
      </c>
      <c r="N28" s="75">
        <f>IF(COUNT($D28:$J28)=0,"Sin conteos cargados",IF(MIN($D28:$J28)&lt;0,"Consumo negativo: ingreso sin registrar",IF(AND($L28&gt;0,MAX($D28:$J28)&gt;2*$L28),"Pico atipico el "&amp;$M28,"OK")))</f>
        <v/>
      </c>
    </row>
    <row r="29">
      <c r="A29" s="38">
        <f>Insumos!$A79</f>
        <v/>
      </c>
      <c r="B29" s="39">
        <f>Insumos!$B79</f>
        <v/>
      </c>
      <c r="C29" s="40">
        <f>Insumos!$E79</f>
        <v/>
      </c>
      <c r="D29" s="56">
        <f>IF('3 Conteo Diario'!$S30="","",'1 Inv Inicial'!$G79+SUMIFS('2 Ingresos'!$I$6:$I$255,'2 Ingresos'!$B$6:$B$255,$A29,'2 Ingresos'!$C$6:$C$255,$B29,'2 Ingresos'!$A$6:$A$255,Config!$B$10)-'3 Conteo Diario'!$S30)</f>
        <v/>
      </c>
      <c r="E29" s="56">
        <f>IF(OR('3 Conteo Diario'!$S30="",'3 Conteo Diario'!$T30=""),"",'3 Conteo Diario'!$S30+SUMIFS('2 Ingresos'!$I$6:$I$255,'2 Ingresos'!$B$6:$B$255,$A29,'2 Ingresos'!$C$6:$C$255,$B29,'2 Ingresos'!$A$6:$A$255,Config!$B$11)-'3 Conteo Diario'!$T30)</f>
        <v/>
      </c>
      <c r="F29" s="56">
        <f>IF(OR('3 Conteo Diario'!$T30="",'3 Conteo Diario'!$U30=""),"",'3 Conteo Diario'!$T30+SUMIFS('2 Ingresos'!$I$6:$I$255,'2 Ingresos'!$B$6:$B$255,$A29,'2 Ingresos'!$C$6:$C$255,$B29,'2 Ingresos'!$A$6:$A$255,Config!$B$12)-'3 Conteo Diario'!$U30)</f>
        <v/>
      </c>
      <c r="G29" s="56">
        <f>IF(OR('3 Conteo Diario'!$U30="",'3 Conteo Diario'!$V30=""),"",'3 Conteo Diario'!$U30+SUMIFS('2 Ingresos'!$I$6:$I$255,'2 Ingresos'!$B$6:$B$255,$A29,'2 Ingresos'!$C$6:$C$255,$B29,'2 Ingresos'!$A$6:$A$255,Config!$B$13)-'3 Conteo Diario'!$V30)</f>
        <v/>
      </c>
      <c r="H29" s="56">
        <f>IF(OR('3 Conteo Diario'!$V30="",'3 Conteo Diario'!$W30=""),"",'3 Conteo Diario'!$V30+SUMIFS('2 Ingresos'!$I$6:$I$255,'2 Ingresos'!$B$6:$B$255,$A29,'2 Ingresos'!$C$6:$C$255,$B29,'2 Ingresos'!$A$6:$A$255,Config!$B$14)-'3 Conteo Diario'!$W30)</f>
        <v/>
      </c>
      <c r="I29" s="56">
        <f>IF(OR('3 Conteo Diario'!$W30="",'3 Conteo Diario'!$X30=""),"",'3 Conteo Diario'!$W30+SUMIFS('2 Ingresos'!$I$6:$I$255,'2 Ingresos'!$B$6:$B$255,$A29,'2 Ingresos'!$C$6:$C$255,$B29,'2 Ingresos'!$A$6:$A$255,Config!$B$15)-'3 Conteo Diario'!$X30)</f>
        <v/>
      </c>
      <c r="J29" s="56">
        <f>IF(OR('3 Conteo Diario'!$X30="",'3 Conteo Diario'!$Y30=""),"",'3 Conteo Diario'!$X30+SUMIFS('2 Ingresos'!$I$6:$I$255,'2 Ingresos'!$B$6:$B$255,$A29,'2 Ingresos'!$C$6:$C$255,$B29,'2 Ingresos'!$A$6:$A$255,Config!$B$16)-'3 Conteo Diario'!$Y30)</f>
        <v/>
      </c>
      <c r="K29" s="70">
        <f>IF(COUNT($D29:$J29)=0,"",SUM($D29:$J29))</f>
        <v/>
      </c>
      <c r="L29" s="69">
        <f>IF(COUNT($D29:$J29)=0,"",AVERAGE($D29:$J29))</f>
        <v/>
      </c>
      <c r="M29" s="35">
        <f>IF(COUNT($D29:$J29)=0,"",IFERROR(INDEX($D$4:$J$4,MATCH(MAX($D29:$J29),$D29:$J29,0)),""))</f>
        <v/>
      </c>
      <c r="N29" s="75">
        <f>IF(COUNT($D29:$J29)=0,"Sin conteos cargados",IF(MIN($D29:$J29)&lt;0,"Consumo negativo: ingreso sin registrar",IF(AND($L29&gt;0,MAX($D29:$J29)&gt;2*$L29),"Pico atipico el "&amp;$M29,"OK")))</f>
        <v/>
      </c>
    </row>
    <row r="30">
      <c r="A30" s="43">
        <f>Insumos!$A80</f>
        <v/>
      </c>
      <c r="B30" s="44">
        <f>Insumos!$B80</f>
        <v/>
      </c>
      <c r="C30" s="45">
        <f>Insumos!$E80</f>
        <v/>
      </c>
      <c r="D30" s="56">
        <f>IF('3 Conteo Diario'!$S31="","",'1 Inv Inicial'!$G80+SUMIFS('2 Ingresos'!$I$6:$I$255,'2 Ingresos'!$B$6:$B$255,$A30,'2 Ingresos'!$C$6:$C$255,$B30,'2 Ingresos'!$A$6:$A$255,Config!$B$10)-'3 Conteo Diario'!$S31)</f>
        <v/>
      </c>
      <c r="E30" s="56">
        <f>IF(OR('3 Conteo Diario'!$S31="",'3 Conteo Diario'!$T31=""),"",'3 Conteo Diario'!$S31+SUMIFS('2 Ingresos'!$I$6:$I$255,'2 Ingresos'!$B$6:$B$255,$A30,'2 Ingresos'!$C$6:$C$255,$B30,'2 Ingresos'!$A$6:$A$255,Config!$B$11)-'3 Conteo Diario'!$T31)</f>
        <v/>
      </c>
      <c r="F30" s="56">
        <f>IF(OR('3 Conteo Diario'!$T31="",'3 Conteo Diario'!$U31=""),"",'3 Conteo Diario'!$T31+SUMIFS('2 Ingresos'!$I$6:$I$255,'2 Ingresos'!$B$6:$B$255,$A30,'2 Ingresos'!$C$6:$C$255,$B30,'2 Ingresos'!$A$6:$A$255,Config!$B$12)-'3 Conteo Diario'!$U31)</f>
        <v/>
      </c>
      <c r="G30" s="56">
        <f>IF(OR('3 Conteo Diario'!$U31="",'3 Conteo Diario'!$V31=""),"",'3 Conteo Diario'!$U31+SUMIFS('2 Ingresos'!$I$6:$I$255,'2 Ingresos'!$B$6:$B$255,$A30,'2 Ingresos'!$C$6:$C$255,$B30,'2 Ingresos'!$A$6:$A$255,Config!$B$13)-'3 Conteo Diario'!$V31)</f>
        <v/>
      </c>
      <c r="H30" s="56">
        <f>IF(OR('3 Conteo Diario'!$V31="",'3 Conteo Diario'!$W31=""),"",'3 Conteo Diario'!$V31+SUMIFS('2 Ingresos'!$I$6:$I$255,'2 Ingresos'!$B$6:$B$255,$A30,'2 Ingresos'!$C$6:$C$255,$B30,'2 Ingresos'!$A$6:$A$255,Config!$B$14)-'3 Conteo Diario'!$W31)</f>
        <v/>
      </c>
      <c r="I30" s="56">
        <f>IF(OR('3 Conteo Diario'!$W31="",'3 Conteo Diario'!$X31=""),"",'3 Conteo Diario'!$W31+SUMIFS('2 Ingresos'!$I$6:$I$255,'2 Ingresos'!$B$6:$B$255,$A30,'2 Ingresos'!$C$6:$C$255,$B30,'2 Ingresos'!$A$6:$A$255,Config!$B$15)-'3 Conteo Diario'!$X31)</f>
        <v/>
      </c>
      <c r="J30" s="56">
        <f>IF(OR('3 Conteo Diario'!$X31="",'3 Conteo Diario'!$Y31=""),"",'3 Conteo Diario'!$X31+SUMIFS('2 Ingresos'!$I$6:$I$255,'2 Ingresos'!$B$6:$B$255,$A30,'2 Ingresos'!$C$6:$C$255,$B30,'2 Ingresos'!$A$6:$A$255,Config!$B$16)-'3 Conteo Diario'!$Y31)</f>
        <v/>
      </c>
      <c r="K30" s="70">
        <f>IF(COUNT($D30:$J30)=0,"",SUM($D30:$J30))</f>
        <v/>
      </c>
      <c r="L30" s="69">
        <f>IF(COUNT($D30:$J30)=0,"",AVERAGE($D30:$J30))</f>
        <v/>
      </c>
      <c r="M30" s="35">
        <f>IF(COUNT($D30:$J30)=0,"",IFERROR(INDEX($D$4:$J$4,MATCH(MAX($D30:$J30),$D30:$J30,0)),""))</f>
        <v/>
      </c>
      <c r="N30" s="75">
        <f>IF(COUNT($D30:$J30)=0,"Sin conteos cargados",IF(MIN($D30:$J30)&lt;0,"Consumo negativo: ingreso sin registrar",IF(AND($L30&gt;0,MAX($D30:$J30)&gt;2*$L30),"Pico atipico el "&amp;$M30,"OK")))</f>
        <v/>
      </c>
    </row>
    <row r="31">
      <c r="A31" s="38">
        <f>Insumos!$A81</f>
        <v/>
      </c>
      <c r="B31" s="39">
        <f>Insumos!$B81</f>
        <v/>
      </c>
      <c r="C31" s="40">
        <f>Insumos!$E81</f>
        <v/>
      </c>
      <c r="D31" s="56">
        <f>IF('3 Conteo Diario'!$S32="","",'1 Inv Inicial'!$G81+SUMIFS('2 Ingresos'!$I$6:$I$255,'2 Ingresos'!$B$6:$B$255,$A31,'2 Ingresos'!$C$6:$C$255,$B31,'2 Ingresos'!$A$6:$A$255,Config!$B$10)-'3 Conteo Diario'!$S32)</f>
        <v/>
      </c>
      <c r="E31" s="56">
        <f>IF(OR('3 Conteo Diario'!$S32="",'3 Conteo Diario'!$T32=""),"",'3 Conteo Diario'!$S32+SUMIFS('2 Ingresos'!$I$6:$I$255,'2 Ingresos'!$B$6:$B$255,$A31,'2 Ingresos'!$C$6:$C$255,$B31,'2 Ingresos'!$A$6:$A$255,Config!$B$11)-'3 Conteo Diario'!$T32)</f>
        <v/>
      </c>
      <c r="F31" s="56">
        <f>IF(OR('3 Conteo Diario'!$T32="",'3 Conteo Diario'!$U32=""),"",'3 Conteo Diario'!$T32+SUMIFS('2 Ingresos'!$I$6:$I$255,'2 Ingresos'!$B$6:$B$255,$A31,'2 Ingresos'!$C$6:$C$255,$B31,'2 Ingresos'!$A$6:$A$255,Config!$B$12)-'3 Conteo Diario'!$U32)</f>
        <v/>
      </c>
      <c r="G31" s="56">
        <f>IF(OR('3 Conteo Diario'!$U32="",'3 Conteo Diario'!$V32=""),"",'3 Conteo Diario'!$U32+SUMIFS('2 Ingresos'!$I$6:$I$255,'2 Ingresos'!$B$6:$B$255,$A31,'2 Ingresos'!$C$6:$C$255,$B31,'2 Ingresos'!$A$6:$A$255,Config!$B$13)-'3 Conteo Diario'!$V32)</f>
        <v/>
      </c>
      <c r="H31" s="56">
        <f>IF(OR('3 Conteo Diario'!$V32="",'3 Conteo Diario'!$W32=""),"",'3 Conteo Diario'!$V32+SUMIFS('2 Ingresos'!$I$6:$I$255,'2 Ingresos'!$B$6:$B$255,$A31,'2 Ingresos'!$C$6:$C$255,$B31,'2 Ingresos'!$A$6:$A$255,Config!$B$14)-'3 Conteo Diario'!$W32)</f>
        <v/>
      </c>
      <c r="I31" s="56">
        <f>IF(OR('3 Conteo Diario'!$W32="",'3 Conteo Diario'!$X32=""),"",'3 Conteo Diario'!$W32+SUMIFS('2 Ingresos'!$I$6:$I$255,'2 Ingresos'!$B$6:$B$255,$A31,'2 Ingresos'!$C$6:$C$255,$B31,'2 Ingresos'!$A$6:$A$255,Config!$B$15)-'3 Conteo Diario'!$X32)</f>
        <v/>
      </c>
      <c r="J31" s="56">
        <f>IF(OR('3 Conteo Diario'!$X32="",'3 Conteo Diario'!$Y32=""),"",'3 Conteo Diario'!$X32+SUMIFS('2 Ingresos'!$I$6:$I$255,'2 Ingresos'!$B$6:$B$255,$A31,'2 Ingresos'!$C$6:$C$255,$B31,'2 Ingresos'!$A$6:$A$255,Config!$B$16)-'3 Conteo Diario'!$Y32)</f>
        <v/>
      </c>
      <c r="K31" s="70">
        <f>IF(COUNT($D31:$J31)=0,"",SUM($D31:$J31))</f>
        <v/>
      </c>
      <c r="L31" s="69">
        <f>IF(COUNT($D31:$J31)=0,"",AVERAGE($D31:$J31))</f>
        <v/>
      </c>
      <c r="M31" s="35">
        <f>IF(COUNT($D31:$J31)=0,"",IFERROR(INDEX($D$4:$J$4,MATCH(MAX($D31:$J31),$D31:$J31,0)),""))</f>
        <v/>
      </c>
      <c r="N31" s="75">
        <f>IF(COUNT($D31:$J31)=0,"Sin conteos cargados",IF(MIN($D31:$J31)&lt;0,"Consumo negativo: ingreso sin registrar",IF(AND($L31&gt;0,MAX($D31:$J31)&gt;2*$L31),"Pico atipico el "&amp;$M31,"OK")))</f>
        <v/>
      </c>
    </row>
    <row r="32">
      <c r="A32" s="43">
        <f>Insumos!$A92</f>
        <v/>
      </c>
      <c r="B32" s="44">
        <f>Insumos!$B92</f>
        <v/>
      </c>
      <c r="C32" s="45">
        <f>Insumos!$E92</f>
        <v/>
      </c>
      <c r="D32" s="56">
        <f>IF('3 Conteo Diario'!$S33="","",'1 Inv Inicial'!$G92+SUMIFS('2 Ingresos'!$I$6:$I$255,'2 Ingresos'!$B$6:$B$255,$A32,'2 Ingresos'!$C$6:$C$255,$B32,'2 Ingresos'!$A$6:$A$255,Config!$B$10)-'3 Conteo Diario'!$S33)</f>
        <v/>
      </c>
      <c r="E32" s="56">
        <f>IF(OR('3 Conteo Diario'!$S33="",'3 Conteo Diario'!$T33=""),"",'3 Conteo Diario'!$S33+SUMIFS('2 Ingresos'!$I$6:$I$255,'2 Ingresos'!$B$6:$B$255,$A32,'2 Ingresos'!$C$6:$C$255,$B32,'2 Ingresos'!$A$6:$A$255,Config!$B$11)-'3 Conteo Diario'!$T33)</f>
        <v/>
      </c>
      <c r="F32" s="56">
        <f>IF(OR('3 Conteo Diario'!$T33="",'3 Conteo Diario'!$U33=""),"",'3 Conteo Diario'!$T33+SUMIFS('2 Ingresos'!$I$6:$I$255,'2 Ingresos'!$B$6:$B$255,$A32,'2 Ingresos'!$C$6:$C$255,$B32,'2 Ingresos'!$A$6:$A$255,Config!$B$12)-'3 Conteo Diario'!$U33)</f>
        <v/>
      </c>
      <c r="G32" s="56">
        <f>IF(OR('3 Conteo Diario'!$U33="",'3 Conteo Diario'!$V33=""),"",'3 Conteo Diario'!$U33+SUMIFS('2 Ingresos'!$I$6:$I$255,'2 Ingresos'!$B$6:$B$255,$A32,'2 Ingresos'!$C$6:$C$255,$B32,'2 Ingresos'!$A$6:$A$255,Config!$B$13)-'3 Conteo Diario'!$V33)</f>
        <v/>
      </c>
      <c r="H32" s="56">
        <f>IF(OR('3 Conteo Diario'!$V33="",'3 Conteo Diario'!$W33=""),"",'3 Conteo Diario'!$V33+SUMIFS('2 Ingresos'!$I$6:$I$255,'2 Ingresos'!$B$6:$B$255,$A32,'2 Ingresos'!$C$6:$C$255,$B32,'2 Ingresos'!$A$6:$A$255,Config!$B$14)-'3 Conteo Diario'!$W33)</f>
        <v/>
      </c>
      <c r="I32" s="56">
        <f>IF(OR('3 Conteo Diario'!$W33="",'3 Conteo Diario'!$X33=""),"",'3 Conteo Diario'!$W33+SUMIFS('2 Ingresos'!$I$6:$I$255,'2 Ingresos'!$B$6:$B$255,$A32,'2 Ingresos'!$C$6:$C$255,$B32,'2 Ingresos'!$A$6:$A$255,Config!$B$15)-'3 Conteo Diario'!$X33)</f>
        <v/>
      </c>
      <c r="J32" s="56">
        <f>IF(OR('3 Conteo Diario'!$X33="",'3 Conteo Diario'!$Y33=""),"",'3 Conteo Diario'!$X33+SUMIFS('2 Ingresos'!$I$6:$I$255,'2 Ingresos'!$B$6:$B$255,$A32,'2 Ingresos'!$C$6:$C$255,$B32,'2 Ingresos'!$A$6:$A$255,Config!$B$16)-'3 Conteo Diario'!$Y33)</f>
        <v/>
      </c>
      <c r="K32" s="70">
        <f>IF(COUNT($D32:$J32)=0,"",SUM($D32:$J32))</f>
        <v/>
      </c>
      <c r="L32" s="69">
        <f>IF(COUNT($D32:$J32)=0,"",AVERAGE($D32:$J32))</f>
        <v/>
      </c>
      <c r="M32" s="35">
        <f>IF(COUNT($D32:$J32)=0,"",IFERROR(INDEX($D$4:$J$4,MATCH(MAX($D32:$J32),$D32:$J32,0)),""))</f>
        <v/>
      </c>
      <c r="N32" s="75">
        <f>IF(COUNT($D32:$J32)=0,"Sin conteos cargados",IF(MIN($D32:$J32)&lt;0,"Consumo negativo: ingreso sin registrar",IF(AND($L32&gt;0,MAX($D32:$J32)&gt;2*$L32),"Pico atipico el "&amp;$M32,"OK")))</f>
        <v/>
      </c>
    </row>
    <row r="33">
      <c r="A33" s="38">
        <f>Insumos!$A93</f>
        <v/>
      </c>
      <c r="B33" s="39">
        <f>Insumos!$B93</f>
        <v/>
      </c>
      <c r="C33" s="40">
        <f>Insumos!$E93</f>
        <v/>
      </c>
      <c r="D33" s="56">
        <f>IF('3 Conteo Diario'!$S34="","",'1 Inv Inicial'!$G93+SUMIFS('2 Ingresos'!$I$6:$I$255,'2 Ingresos'!$B$6:$B$255,$A33,'2 Ingresos'!$C$6:$C$255,$B33,'2 Ingresos'!$A$6:$A$255,Config!$B$10)-'3 Conteo Diario'!$S34)</f>
        <v/>
      </c>
      <c r="E33" s="56">
        <f>IF(OR('3 Conteo Diario'!$S34="",'3 Conteo Diario'!$T34=""),"",'3 Conteo Diario'!$S34+SUMIFS('2 Ingresos'!$I$6:$I$255,'2 Ingresos'!$B$6:$B$255,$A33,'2 Ingresos'!$C$6:$C$255,$B33,'2 Ingresos'!$A$6:$A$255,Config!$B$11)-'3 Conteo Diario'!$T34)</f>
        <v/>
      </c>
      <c r="F33" s="56">
        <f>IF(OR('3 Conteo Diario'!$T34="",'3 Conteo Diario'!$U34=""),"",'3 Conteo Diario'!$T34+SUMIFS('2 Ingresos'!$I$6:$I$255,'2 Ingresos'!$B$6:$B$255,$A33,'2 Ingresos'!$C$6:$C$255,$B33,'2 Ingresos'!$A$6:$A$255,Config!$B$12)-'3 Conteo Diario'!$U34)</f>
        <v/>
      </c>
      <c r="G33" s="56">
        <f>IF(OR('3 Conteo Diario'!$U34="",'3 Conteo Diario'!$V34=""),"",'3 Conteo Diario'!$U34+SUMIFS('2 Ingresos'!$I$6:$I$255,'2 Ingresos'!$B$6:$B$255,$A33,'2 Ingresos'!$C$6:$C$255,$B33,'2 Ingresos'!$A$6:$A$255,Config!$B$13)-'3 Conteo Diario'!$V34)</f>
        <v/>
      </c>
      <c r="H33" s="56">
        <f>IF(OR('3 Conteo Diario'!$V34="",'3 Conteo Diario'!$W34=""),"",'3 Conteo Diario'!$V34+SUMIFS('2 Ingresos'!$I$6:$I$255,'2 Ingresos'!$B$6:$B$255,$A33,'2 Ingresos'!$C$6:$C$255,$B33,'2 Ingresos'!$A$6:$A$255,Config!$B$14)-'3 Conteo Diario'!$W34)</f>
        <v/>
      </c>
      <c r="I33" s="56">
        <f>IF(OR('3 Conteo Diario'!$W34="",'3 Conteo Diario'!$X34=""),"",'3 Conteo Diario'!$W34+SUMIFS('2 Ingresos'!$I$6:$I$255,'2 Ingresos'!$B$6:$B$255,$A33,'2 Ingresos'!$C$6:$C$255,$B33,'2 Ingresos'!$A$6:$A$255,Config!$B$15)-'3 Conteo Diario'!$X34)</f>
        <v/>
      </c>
      <c r="J33" s="56">
        <f>IF(OR('3 Conteo Diario'!$X34="",'3 Conteo Diario'!$Y34=""),"",'3 Conteo Diario'!$X34+SUMIFS('2 Ingresos'!$I$6:$I$255,'2 Ingresos'!$B$6:$B$255,$A33,'2 Ingresos'!$C$6:$C$255,$B33,'2 Ingresos'!$A$6:$A$255,Config!$B$16)-'3 Conteo Diario'!$Y34)</f>
        <v/>
      </c>
      <c r="K33" s="70">
        <f>IF(COUNT($D33:$J33)=0,"",SUM($D33:$J33))</f>
        <v/>
      </c>
      <c r="L33" s="69">
        <f>IF(COUNT($D33:$J33)=0,"",AVERAGE($D33:$J33))</f>
        <v/>
      </c>
      <c r="M33" s="35">
        <f>IF(COUNT($D33:$J33)=0,"",IFERROR(INDEX($D$4:$J$4,MATCH(MAX($D33:$J33),$D33:$J33,0)),""))</f>
        <v/>
      </c>
      <c r="N33" s="75">
        <f>IF(COUNT($D33:$J33)=0,"Sin conteos cargados",IF(MIN($D33:$J33)&lt;0,"Consumo negativo: ingreso sin registrar",IF(AND($L33&gt;0,MAX($D33:$J33)&gt;2*$L33),"Pico atipico el "&amp;$M33,"OK")))</f>
        <v/>
      </c>
    </row>
    <row r="34">
      <c r="A34" s="43">
        <f>Insumos!$A96</f>
        <v/>
      </c>
      <c r="B34" s="44">
        <f>Insumos!$B96</f>
        <v/>
      </c>
      <c r="C34" s="45">
        <f>Insumos!$E96</f>
        <v/>
      </c>
      <c r="D34" s="56">
        <f>IF('3 Conteo Diario'!$S35="","",'1 Inv Inicial'!$G96+SUMIFS('2 Ingresos'!$I$6:$I$255,'2 Ingresos'!$B$6:$B$255,$A34,'2 Ingresos'!$C$6:$C$255,$B34,'2 Ingresos'!$A$6:$A$255,Config!$B$10)-'3 Conteo Diario'!$S35)</f>
        <v/>
      </c>
      <c r="E34" s="56">
        <f>IF(OR('3 Conteo Diario'!$S35="",'3 Conteo Diario'!$T35=""),"",'3 Conteo Diario'!$S35+SUMIFS('2 Ingresos'!$I$6:$I$255,'2 Ingresos'!$B$6:$B$255,$A34,'2 Ingresos'!$C$6:$C$255,$B34,'2 Ingresos'!$A$6:$A$255,Config!$B$11)-'3 Conteo Diario'!$T35)</f>
        <v/>
      </c>
      <c r="F34" s="56">
        <f>IF(OR('3 Conteo Diario'!$T35="",'3 Conteo Diario'!$U35=""),"",'3 Conteo Diario'!$T35+SUMIFS('2 Ingresos'!$I$6:$I$255,'2 Ingresos'!$B$6:$B$255,$A34,'2 Ingresos'!$C$6:$C$255,$B34,'2 Ingresos'!$A$6:$A$255,Config!$B$12)-'3 Conteo Diario'!$U35)</f>
        <v/>
      </c>
      <c r="G34" s="56">
        <f>IF(OR('3 Conteo Diario'!$U35="",'3 Conteo Diario'!$V35=""),"",'3 Conteo Diario'!$U35+SUMIFS('2 Ingresos'!$I$6:$I$255,'2 Ingresos'!$B$6:$B$255,$A34,'2 Ingresos'!$C$6:$C$255,$B34,'2 Ingresos'!$A$6:$A$255,Config!$B$13)-'3 Conteo Diario'!$V35)</f>
        <v/>
      </c>
      <c r="H34" s="56">
        <f>IF(OR('3 Conteo Diario'!$V35="",'3 Conteo Diario'!$W35=""),"",'3 Conteo Diario'!$V35+SUMIFS('2 Ingresos'!$I$6:$I$255,'2 Ingresos'!$B$6:$B$255,$A34,'2 Ingresos'!$C$6:$C$255,$B34,'2 Ingresos'!$A$6:$A$255,Config!$B$14)-'3 Conteo Diario'!$W35)</f>
        <v/>
      </c>
      <c r="I34" s="56">
        <f>IF(OR('3 Conteo Diario'!$W35="",'3 Conteo Diario'!$X35=""),"",'3 Conteo Diario'!$W35+SUMIFS('2 Ingresos'!$I$6:$I$255,'2 Ingresos'!$B$6:$B$255,$A34,'2 Ingresos'!$C$6:$C$255,$B34,'2 Ingresos'!$A$6:$A$255,Config!$B$15)-'3 Conteo Diario'!$X35)</f>
        <v/>
      </c>
      <c r="J34" s="56">
        <f>IF(OR('3 Conteo Diario'!$X35="",'3 Conteo Diario'!$Y35=""),"",'3 Conteo Diario'!$X35+SUMIFS('2 Ingresos'!$I$6:$I$255,'2 Ingresos'!$B$6:$B$255,$A34,'2 Ingresos'!$C$6:$C$255,$B34,'2 Ingresos'!$A$6:$A$255,Config!$B$16)-'3 Conteo Diario'!$Y35)</f>
        <v/>
      </c>
      <c r="K34" s="70">
        <f>IF(COUNT($D34:$J34)=0,"",SUM($D34:$J34))</f>
        <v/>
      </c>
      <c r="L34" s="69">
        <f>IF(COUNT($D34:$J34)=0,"",AVERAGE($D34:$J34))</f>
        <v/>
      </c>
      <c r="M34" s="35">
        <f>IF(COUNT($D34:$J34)=0,"",IFERROR(INDEX($D$4:$J$4,MATCH(MAX($D34:$J34),$D34:$J34,0)),""))</f>
        <v/>
      </c>
      <c r="N34" s="75">
        <f>IF(COUNT($D34:$J34)=0,"Sin conteos cargados",IF(MIN($D34:$J34)&lt;0,"Consumo negativo: ingreso sin registrar",IF(AND($L34&gt;0,MAX($D34:$J34)&gt;2*$L34),"Pico atipico el "&amp;$M34,"OK")))</f>
        <v/>
      </c>
    </row>
    <row r="35">
      <c r="A35" s="38">
        <f>Insumos!$A97</f>
        <v/>
      </c>
      <c r="B35" s="39">
        <f>Insumos!$B97</f>
        <v/>
      </c>
      <c r="C35" s="40">
        <f>Insumos!$E97</f>
        <v/>
      </c>
      <c r="D35" s="56">
        <f>IF('3 Conteo Diario'!$S36="","",'1 Inv Inicial'!$G97+SUMIFS('2 Ingresos'!$I$6:$I$255,'2 Ingresos'!$B$6:$B$255,$A35,'2 Ingresos'!$C$6:$C$255,$B35,'2 Ingresos'!$A$6:$A$255,Config!$B$10)-'3 Conteo Diario'!$S36)</f>
        <v/>
      </c>
      <c r="E35" s="56">
        <f>IF(OR('3 Conteo Diario'!$S36="",'3 Conteo Diario'!$T36=""),"",'3 Conteo Diario'!$S36+SUMIFS('2 Ingresos'!$I$6:$I$255,'2 Ingresos'!$B$6:$B$255,$A35,'2 Ingresos'!$C$6:$C$255,$B35,'2 Ingresos'!$A$6:$A$255,Config!$B$11)-'3 Conteo Diario'!$T36)</f>
        <v/>
      </c>
      <c r="F35" s="56">
        <f>IF(OR('3 Conteo Diario'!$T36="",'3 Conteo Diario'!$U36=""),"",'3 Conteo Diario'!$T36+SUMIFS('2 Ingresos'!$I$6:$I$255,'2 Ingresos'!$B$6:$B$255,$A35,'2 Ingresos'!$C$6:$C$255,$B35,'2 Ingresos'!$A$6:$A$255,Config!$B$12)-'3 Conteo Diario'!$U36)</f>
        <v/>
      </c>
      <c r="G35" s="56">
        <f>IF(OR('3 Conteo Diario'!$U36="",'3 Conteo Diario'!$V36=""),"",'3 Conteo Diario'!$U36+SUMIFS('2 Ingresos'!$I$6:$I$255,'2 Ingresos'!$B$6:$B$255,$A35,'2 Ingresos'!$C$6:$C$255,$B35,'2 Ingresos'!$A$6:$A$255,Config!$B$13)-'3 Conteo Diario'!$V36)</f>
        <v/>
      </c>
      <c r="H35" s="56">
        <f>IF(OR('3 Conteo Diario'!$V36="",'3 Conteo Diario'!$W36=""),"",'3 Conteo Diario'!$V36+SUMIFS('2 Ingresos'!$I$6:$I$255,'2 Ingresos'!$B$6:$B$255,$A35,'2 Ingresos'!$C$6:$C$255,$B35,'2 Ingresos'!$A$6:$A$255,Config!$B$14)-'3 Conteo Diario'!$W36)</f>
        <v/>
      </c>
      <c r="I35" s="56">
        <f>IF(OR('3 Conteo Diario'!$W36="",'3 Conteo Diario'!$X36=""),"",'3 Conteo Diario'!$W36+SUMIFS('2 Ingresos'!$I$6:$I$255,'2 Ingresos'!$B$6:$B$255,$A35,'2 Ingresos'!$C$6:$C$255,$B35,'2 Ingresos'!$A$6:$A$255,Config!$B$15)-'3 Conteo Diario'!$X36)</f>
        <v/>
      </c>
      <c r="J35" s="56">
        <f>IF(OR('3 Conteo Diario'!$X36="",'3 Conteo Diario'!$Y36=""),"",'3 Conteo Diario'!$X36+SUMIFS('2 Ingresos'!$I$6:$I$255,'2 Ingresos'!$B$6:$B$255,$A35,'2 Ingresos'!$C$6:$C$255,$B35,'2 Ingresos'!$A$6:$A$255,Config!$B$16)-'3 Conteo Diario'!$Y36)</f>
        <v/>
      </c>
      <c r="K35" s="70">
        <f>IF(COUNT($D35:$J35)=0,"",SUM($D35:$J35))</f>
        <v/>
      </c>
      <c r="L35" s="69">
        <f>IF(COUNT($D35:$J35)=0,"",AVERAGE($D35:$J35))</f>
        <v/>
      </c>
      <c r="M35" s="35">
        <f>IF(COUNT($D35:$J35)=0,"",IFERROR(INDEX($D$4:$J$4,MATCH(MAX($D35:$J35),$D35:$J35,0)),""))</f>
        <v/>
      </c>
      <c r="N35" s="75">
        <f>IF(COUNT($D35:$J35)=0,"Sin conteos cargados",IF(MIN($D35:$J35)&lt;0,"Consumo negativo: ingreso sin registrar",IF(AND($L35&gt;0,MAX($D35:$J35)&gt;2*$L35),"Pico atipico el "&amp;$M35,"OK")))</f>
        <v/>
      </c>
    </row>
    <row r="36">
      <c r="A36" s="43">
        <f>Insumos!$A98</f>
        <v/>
      </c>
      <c r="B36" s="44">
        <f>Insumos!$B98</f>
        <v/>
      </c>
      <c r="C36" s="45">
        <f>Insumos!$E98</f>
        <v/>
      </c>
      <c r="D36" s="56">
        <f>IF('3 Conteo Diario'!$S37="","",'1 Inv Inicial'!$G98+SUMIFS('2 Ingresos'!$I$6:$I$255,'2 Ingresos'!$B$6:$B$255,$A36,'2 Ingresos'!$C$6:$C$255,$B36,'2 Ingresos'!$A$6:$A$255,Config!$B$10)-'3 Conteo Diario'!$S37)</f>
        <v/>
      </c>
      <c r="E36" s="56">
        <f>IF(OR('3 Conteo Diario'!$S37="",'3 Conteo Diario'!$T37=""),"",'3 Conteo Diario'!$S37+SUMIFS('2 Ingresos'!$I$6:$I$255,'2 Ingresos'!$B$6:$B$255,$A36,'2 Ingresos'!$C$6:$C$255,$B36,'2 Ingresos'!$A$6:$A$255,Config!$B$11)-'3 Conteo Diario'!$T37)</f>
        <v/>
      </c>
      <c r="F36" s="56">
        <f>IF(OR('3 Conteo Diario'!$T37="",'3 Conteo Diario'!$U37=""),"",'3 Conteo Diario'!$T37+SUMIFS('2 Ingresos'!$I$6:$I$255,'2 Ingresos'!$B$6:$B$255,$A36,'2 Ingresos'!$C$6:$C$255,$B36,'2 Ingresos'!$A$6:$A$255,Config!$B$12)-'3 Conteo Diario'!$U37)</f>
        <v/>
      </c>
      <c r="G36" s="56">
        <f>IF(OR('3 Conteo Diario'!$U37="",'3 Conteo Diario'!$V37=""),"",'3 Conteo Diario'!$U37+SUMIFS('2 Ingresos'!$I$6:$I$255,'2 Ingresos'!$B$6:$B$255,$A36,'2 Ingresos'!$C$6:$C$255,$B36,'2 Ingresos'!$A$6:$A$255,Config!$B$13)-'3 Conteo Diario'!$V37)</f>
        <v/>
      </c>
      <c r="H36" s="56">
        <f>IF(OR('3 Conteo Diario'!$V37="",'3 Conteo Diario'!$W37=""),"",'3 Conteo Diario'!$V37+SUMIFS('2 Ingresos'!$I$6:$I$255,'2 Ingresos'!$B$6:$B$255,$A36,'2 Ingresos'!$C$6:$C$255,$B36,'2 Ingresos'!$A$6:$A$255,Config!$B$14)-'3 Conteo Diario'!$W37)</f>
        <v/>
      </c>
      <c r="I36" s="56">
        <f>IF(OR('3 Conteo Diario'!$W37="",'3 Conteo Diario'!$X37=""),"",'3 Conteo Diario'!$W37+SUMIFS('2 Ingresos'!$I$6:$I$255,'2 Ingresos'!$B$6:$B$255,$A36,'2 Ingresos'!$C$6:$C$255,$B36,'2 Ingresos'!$A$6:$A$255,Config!$B$15)-'3 Conteo Diario'!$X37)</f>
        <v/>
      </c>
      <c r="J36" s="56">
        <f>IF(OR('3 Conteo Diario'!$X37="",'3 Conteo Diario'!$Y37=""),"",'3 Conteo Diario'!$X37+SUMIFS('2 Ingresos'!$I$6:$I$255,'2 Ingresos'!$B$6:$B$255,$A36,'2 Ingresos'!$C$6:$C$255,$B36,'2 Ingresos'!$A$6:$A$255,Config!$B$16)-'3 Conteo Diario'!$Y37)</f>
        <v/>
      </c>
      <c r="K36" s="70">
        <f>IF(COUNT($D36:$J36)=0,"",SUM($D36:$J36))</f>
        <v/>
      </c>
      <c r="L36" s="69">
        <f>IF(COUNT($D36:$J36)=0,"",AVERAGE($D36:$J36))</f>
        <v/>
      </c>
      <c r="M36" s="35">
        <f>IF(COUNT($D36:$J36)=0,"",IFERROR(INDEX($D$4:$J$4,MATCH(MAX($D36:$J36),$D36:$J36,0)),""))</f>
        <v/>
      </c>
      <c r="N36" s="75">
        <f>IF(COUNT($D36:$J36)=0,"Sin conteos cargados",IF(MIN($D36:$J36)&lt;0,"Consumo negativo: ingreso sin registrar",IF(AND($L36&gt;0,MAX($D36:$J36)&gt;2*$L36),"Pico atipico el "&amp;$M36,"OK")))</f>
        <v/>
      </c>
    </row>
    <row r="37">
      <c r="A37" s="38">
        <f>Insumos!$A99</f>
        <v/>
      </c>
      <c r="B37" s="39">
        <f>Insumos!$B99</f>
        <v/>
      </c>
      <c r="C37" s="40">
        <f>Insumos!$E99</f>
        <v/>
      </c>
      <c r="D37" s="56">
        <f>IF('3 Conteo Diario'!$S38="","",'1 Inv Inicial'!$G99+SUMIFS('2 Ingresos'!$I$6:$I$255,'2 Ingresos'!$B$6:$B$255,$A37,'2 Ingresos'!$C$6:$C$255,$B37,'2 Ingresos'!$A$6:$A$255,Config!$B$10)-'3 Conteo Diario'!$S38)</f>
        <v/>
      </c>
      <c r="E37" s="56">
        <f>IF(OR('3 Conteo Diario'!$S38="",'3 Conteo Diario'!$T38=""),"",'3 Conteo Diario'!$S38+SUMIFS('2 Ingresos'!$I$6:$I$255,'2 Ingresos'!$B$6:$B$255,$A37,'2 Ingresos'!$C$6:$C$255,$B37,'2 Ingresos'!$A$6:$A$255,Config!$B$11)-'3 Conteo Diario'!$T38)</f>
        <v/>
      </c>
      <c r="F37" s="56">
        <f>IF(OR('3 Conteo Diario'!$T38="",'3 Conteo Diario'!$U38=""),"",'3 Conteo Diario'!$T38+SUMIFS('2 Ingresos'!$I$6:$I$255,'2 Ingresos'!$B$6:$B$255,$A37,'2 Ingresos'!$C$6:$C$255,$B37,'2 Ingresos'!$A$6:$A$255,Config!$B$12)-'3 Conteo Diario'!$U38)</f>
        <v/>
      </c>
      <c r="G37" s="56">
        <f>IF(OR('3 Conteo Diario'!$U38="",'3 Conteo Diario'!$V38=""),"",'3 Conteo Diario'!$U38+SUMIFS('2 Ingresos'!$I$6:$I$255,'2 Ingresos'!$B$6:$B$255,$A37,'2 Ingresos'!$C$6:$C$255,$B37,'2 Ingresos'!$A$6:$A$255,Config!$B$13)-'3 Conteo Diario'!$V38)</f>
        <v/>
      </c>
      <c r="H37" s="56">
        <f>IF(OR('3 Conteo Diario'!$V38="",'3 Conteo Diario'!$W38=""),"",'3 Conteo Diario'!$V38+SUMIFS('2 Ingresos'!$I$6:$I$255,'2 Ingresos'!$B$6:$B$255,$A37,'2 Ingresos'!$C$6:$C$255,$B37,'2 Ingresos'!$A$6:$A$255,Config!$B$14)-'3 Conteo Diario'!$W38)</f>
        <v/>
      </c>
      <c r="I37" s="56">
        <f>IF(OR('3 Conteo Diario'!$W38="",'3 Conteo Diario'!$X38=""),"",'3 Conteo Diario'!$W38+SUMIFS('2 Ingresos'!$I$6:$I$255,'2 Ingresos'!$B$6:$B$255,$A37,'2 Ingresos'!$C$6:$C$255,$B37,'2 Ingresos'!$A$6:$A$255,Config!$B$15)-'3 Conteo Diario'!$X38)</f>
        <v/>
      </c>
      <c r="J37" s="56">
        <f>IF(OR('3 Conteo Diario'!$X38="",'3 Conteo Diario'!$Y38=""),"",'3 Conteo Diario'!$X38+SUMIFS('2 Ingresos'!$I$6:$I$255,'2 Ingresos'!$B$6:$B$255,$A37,'2 Ingresos'!$C$6:$C$255,$B37,'2 Ingresos'!$A$6:$A$255,Config!$B$16)-'3 Conteo Diario'!$Y38)</f>
        <v/>
      </c>
      <c r="K37" s="70">
        <f>IF(COUNT($D37:$J37)=0,"",SUM($D37:$J37))</f>
        <v/>
      </c>
      <c r="L37" s="69">
        <f>IF(COUNT($D37:$J37)=0,"",AVERAGE($D37:$J37))</f>
        <v/>
      </c>
      <c r="M37" s="35">
        <f>IF(COUNT($D37:$J37)=0,"",IFERROR(INDEX($D$4:$J$4,MATCH(MAX($D37:$J37),$D37:$J37,0)),""))</f>
        <v/>
      </c>
      <c r="N37" s="75">
        <f>IF(COUNT($D37:$J37)=0,"Sin conteos cargados",IF(MIN($D37:$J37)&lt;0,"Consumo negativo: ingreso sin registrar",IF(AND($L37&gt;0,MAX($D37:$J37)&gt;2*$L37),"Pico atipico el "&amp;$M37,"OK")))</f>
        <v/>
      </c>
    </row>
    <row r="38">
      <c r="A38" s="43">
        <f>Insumos!$A100</f>
        <v/>
      </c>
      <c r="B38" s="44">
        <f>Insumos!$B100</f>
        <v/>
      </c>
      <c r="C38" s="45">
        <f>Insumos!$E100</f>
        <v/>
      </c>
      <c r="D38" s="56">
        <f>IF('3 Conteo Diario'!$S39="","",'1 Inv Inicial'!$G100+SUMIFS('2 Ingresos'!$I$6:$I$255,'2 Ingresos'!$B$6:$B$255,$A38,'2 Ingresos'!$C$6:$C$255,$B38,'2 Ingresos'!$A$6:$A$255,Config!$B$10)-'3 Conteo Diario'!$S39)</f>
        <v/>
      </c>
      <c r="E38" s="56">
        <f>IF(OR('3 Conteo Diario'!$S39="",'3 Conteo Diario'!$T39=""),"",'3 Conteo Diario'!$S39+SUMIFS('2 Ingresos'!$I$6:$I$255,'2 Ingresos'!$B$6:$B$255,$A38,'2 Ingresos'!$C$6:$C$255,$B38,'2 Ingresos'!$A$6:$A$255,Config!$B$11)-'3 Conteo Diario'!$T39)</f>
        <v/>
      </c>
      <c r="F38" s="56">
        <f>IF(OR('3 Conteo Diario'!$T39="",'3 Conteo Diario'!$U39=""),"",'3 Conteo Diario'!$T39+SUMIFS('2 Ingresos'!$I$6:$I$255,'2 Ingresos'!$B$6:$B$255,$A38,'2 Ingresos'!$C$6:$C$255,$B38,'2 Ingresos'!$A$6:$A$255,Config!$B$12)-'3 Conteo Diario'!$U39)</f>
        <v/>
      </c>
      <c r="G38" s="56">
        <f>IF(OR('3 Conteo Diario'!$U39="",'3 Conteo Diario'!$V39=""),"",'3 Conteo Diario'!$U39+SUMIFS('2 Ingresos'!$I$6:$I$255,'2 Ingresos'!$B$6:$B$255,$A38,'2 Ingresos'!$C$6:$C$255,$B38,'2 Ingresos'!$A$6:$A$255,Config!$B$13)-'3 Conteo Diario'!$V39)</f>
        <v/>
      </c>
      <c r="H38" s="56">
        <f>IF(OR('3 Conteo Diario'!$V39="",'3 Conteo Diario'!$W39=""),"",'3 Conteo Diario'!$V39+SUMIFS('2 Ingresos'!$I$6:$I$255,'2 Ingresos'!$B$6:$B$255,$A38,'2 Ingresos'!$C$6:$C$255,$B38,'2 Ingresos'!$A$6:$A$255,Config!$B$14)-'3 Conteo Diario'!$W39)</f>
        <v/>
      </c>
      <c r="I38" s="56">
        <f>IF(OR('3 Conteo Diario'!$W39="",'3 Conteo Diario'!$X39=""),"",'3 Conteo Diario'!$W39+SUMIFS('2 Ingresos'!$I$6:$I$255,'2 Ingresos'!$B$6:$B$255,$A38,'2 Ingresos'!$C$6:$C$255,$B38,'2 Ingresos'!$A$6:$A$255,Config!$B$15)-'3 Conteo Diario'!$X39)</f>
        <v/>
      </c>
      <c r="J38" s="56">
        <f>IF(OR('3 Conteo Diario'!$X39="",'3 Conteo Diario'!$Y39=""),"",'3 Conteo Diario'!$X39+SUMIFS('2 Ingresos'!$I$6:$I$255,'2 Ingresos'!$B$6:$B$255,$A38,'2 Ingresos'!$C$6:$C$255,$B38,'2 Ingresos'!$A$6:$A$255,Config!$B$16)-'3 Conteo Diario'!$Y39)</f>
        <v/>
      </c>
      <c r="K38" s="70">
        <f>IF(COUNT($D38:$J38)=0,"",SUM($D38:$J38))</f>
        <v/>
      </c>
      <c r="L38" s="69">
        <f>IF(COUNT($D38:$J38)=0,"",AVERAGE($D38:$J38))</f>
        <v/>
      </c>
      <c r="M38" s="35">
        <f>IF(COUNT($D38:$J38)=0,"",IFERROR(INDEX($D$4:$J$4,MATCH(MAX($D38:$J38),$D38:$J38,0)),""))</f>
        <v/>
      </c>
      <c r="N38" s="75">
        <f>IF(COUNT($D38:$J38)=0,"Sin conteos cargados",IF(MIN($D38:$J38)&lt;0,"Consumo negativo: ingreso sin registrar",IF(AND($L38&gt;0,MAX($D38:$J38)&gt;2*$L38),"Pico atipico el "&amp;$M38,"OK")))</f>
        <v/>
      </c>
    </row>
    <row r="39">
      <c r="A39" s="38">
        <f>Insumos!$A102</f>
        <v/>
      </c>
      <c r="B39" s="39">
        <f>Insumos!$B102</f>
        <v/>
      </c>
      <c r="C39" s="40">
        <f>Insumos!$E102</f>
        <v/>
      </c>
      <c r="D39" s="56">
        <f>IF('3 Conteo Diario'!$S40="","",'1 Inv Inicial'!$G102+SUMIFS('2 Ingresos'!$I$6:$I$255,'2 Ingresos'!$B$6:$B$255,$A39,'2 Ingresos'!$C$6:$C$255,$B39,'2 Ingresos'!$A$6:$A$255,Config!$B$10)-'3 Conteo Diario'!$S40)</f>
        <v/>
      </c>
      <c r="E39" s="56">
        <f>IF(OR('3 Conteo Diario'!$S40="",'3 Conteo Diario'!$T40=""),"",'3 Conteo Diario'!$S40+SUMIFS('2 Ingresos'!$I$6:$I$255,'2 Ingresos'!$B$6:$B$255,$A39,'2 Ingresos'!$C$6:$C$255,$B39,'2 Ingresos'!$A$6:$A$255,Config!$B$11)-'3 Conteo Diario'!$T40)</f>
        <v/>
      </c>
      <c r="F39" s="56">
        <f>IF(OR('3 Conteo Diario'!$T40="",'3 Conteo Diario'!$U40=""),"",'3 Conteo Diario'!$T40+SUMIFS('2 Ingresos'!$I$6:$I$255,'2 Ingresos'!$B$6:$B$255,$A39,'2 Ingresos'!$C$6:$C$255,$B39,'2 Ingresos'!$A$6:$A$255,Config!$B$12)-'3 Conteo Diario'!$U40)</f>
        <v/>
      </c>
      <c r="G39" s="56">
        <f>IF(OR('3 Conteo Diario'!$U40="",'3 Conteo Diario'!$V40=""),"",'3 Conteo Diario'!$U40+SUMIFS('2 Ingresos'!$I$6:$I$255,'2 Ingresos'!$B$6:$B$255,$A39,'2 Ingresos'!$C$6:$C$255,$B39,'2 Ingresos'!$A$6:$A$255,Config!$B$13)-'3 Conteo Diario'!$V40)</f>
        <v/>
      </c>
      <c r="H39" s="56">
        <f>IF(OR('3 Conteo Diario'!$V40="",'3 Conteo Diario'!$W40=""),"",'3 Conteo Diario'!$V40+SUMIFS('2 Ingresos'!$I$6:$I$255,'2 Ingresos'!$B$6:$B$255,$A39,'2 Ingresos'!$C$6:$C$255,$B39,'2 Ingresos'!$A$6:$A$255,Config!$B$14)-'3 Conteo Diario'!$W40)</f>
        <v/>
      </c>
      <c r="I39" s="56">
        <f>IF(OR('3 Conteo Diario'!$W40="",'3 Conteo Diario'!$X40=""),"",'3 Conteo Diario'!$W40+SUMIFS('2 Ingresos'!$I$6:$I$255,'2 Ingresos'!$B$6:$B$255,$A39,'2 Ingresos'!$C$6:$C$255,$B39,'2 Ingresos'!$A$6:$A$255,Config!$B$15)-'3 Conteo Diario'!$X40)</f>
        <v/>
      </c>
      <c r="J39" s="56">
        <f>IF(OR('3 Conteo Diario'!$X40="",'3 Conteo Diario'!$Y40=""),"",'3 Conteo Diario'!$X40+SUMIFS('2 Ingresos'!$I$6:$I$255,'2 Ingresos'!$B$6:$B$255,$A39,'2 Ingresos'!$C$6:$C$255,$B39,'2 Ingresos'!$A$6:$A$255,Config!$B$16)-'3 Conteo Diario'!$Y40)</f>
        <v/>
      </c>
      <c r="K39" s="70">
        <f>IF(COUNT($D39:$J39)=0,"",SUM($D39:$J39))</f>
        <v/>
      </c>
      <c r="L39" s="69">
        <f>IF(COUNT($D39:$J39)=0,"",AVERAGE($D39:$J39))</f>
        <v/>
      </c>
      <c r="M39" s="35">
        <f>IF(COUNT($D39:$J39)=0,"",IFERROR(INDEX($D$4:$J$4,MATCH(MAX($D39:$J39),$D39:$J39,0)),""))</f>
        <v/>
      </c>
      <c r="N39" s="75">
        <f>IF(COUNT($D39:$J39)=0,"Sin conteos cargados",IF(MIN($D39:$J39)&lt;0,"Consumo negativo: ingreso sin registrar",IF(AND($L39&gt;0,MAX($D39:$J39)&gt;2*$L39),"Pico atipico el "&amp;$M39,"OK")))</f>
        <v/>
      </c>
    </row>
    <row r="40">
      <c r="A40" s="43">
        <f>Insumos!$A104</f>
        <v/>
      </c>
      <c r="B40" s="44">
        <f>Insumos!$B104</f>
        <v/>
      </c>
      <c r="C40" s="45">
        <f>Insumos!$E104</f>
        <v/>
      </c>
      <c r="D40" s="56">
        <f>IF('3 Conteo Diario'!$S41="","",'1 Inv Inicial'!$G104+SUMIFS('2 Ingresos'!$I$6:$I$255,'2 Ingresos'!$B$6:$B$255,$A40,'2 Ingresos'!$C$6:$C$255,$B40,'2 Ingresos'!$A$6:$A$255,Config!$B$10)-'3 Conteo Diario'!$S41)</f>
        <v/>
      </c>
      <c r="E40" s="56">
        <f>IF(OR('3 Conteo Diario'!$S41="",'3 Conteo Diario'!$T41=""),"",'3 Conteo Diario'!$S41+SUMIFS('2 Ingresos'!$I$6:$I$255,'2 Ingresos'!$B$6:$B$255,$A40,'2 Ingresos'!$C$6:$C$255,$B40,'2 Ingresos'!$A$6:$A$255,Config!$B$11)-'3 Conteo Diario'!$T41)</f>
        <v/>
      </c>
      <c r="F40" s="56">
        <f>IF(OR('3 Conteo Diario'!$T41="",'3 Conteo Diario'!$U41=""),"",'3 Conteo Diario'!$T41+SUMIFS('2 Ingresos'!$I$6:$I$255,'2 Ingresos'!$B$6:$B$255,$A40,'2 Ingresos'!$C$6:$C$255,$B40,'2 Ingresos'!$A$6:$A$255,Config!$B$12)-'3 Conteo Diario'!$U41)</f>
        <v/>
      </c>
      <c r="G40" s="56">
        <f>IF(OR('3 Conteo Diario'!$U41="",'3 Conteo Diario'!$V41=""),"",'3 Conteo Diario'!$U41+SUMIFS('2 Ingresos'!$I$6:$I$255,'2 Ingresos'!$B$6:$B$255,$A40,'2 Ingresos'!$C$6:$C$255,$B40,'2 Ingresos'!$A$6:$A$255,Config!$B$13)-'3 Conteo Diario'!$V41)</f>
        <v/>
      </c>
      <c r="H40" s="56">
        <f>IF(OR('3 Conteo Diario'!$V41="",'3 Conteo Diario'!$W41=""),"",'3 Conteo Diario'!$V41+SUMIFS('2 Ingresos'!$I$6:$I$255,'2 Ingresos'!$B$6:$B$255,$A40,'2 Ingresos'!$C$6:$C$255,$B40,'2 Ingresos'!$A$6:$A$255,Config!$B$14)-'3 Conteo Diario'!$W41)</f>
        <v/>
      </c>
      <c r="I40" s="56">
        <f>IF(OR('3 Conteo Diario'!$W41="",'3 Conteo Diario'!$X41=""),"",'3 Conteo Diario'!$W41+SUMIFS('2 Ingresos'!$I$6:$I$255,'2 Ingresos'!$B$6:$B$255,$A40,'2 Ingresos'!$C$6:$C$255,$B40,'2 Ingresos'!$A$6:$A$255,Config!$B$15)-'3 Conteo Diario'!$X41)</f>
        <v/>
      </c>
      <c r="J40" s="56">
        <f>IF(OR('3 Conteo Diario'!$X41="",'3 Conteo Diario'!$Y41=""),"",'3 Conteo Diario'!$X41+SUMIFS('2 Ingresos'!$I$6:$I$255,'2 Ingresos'!$B$6:$B$255,$A40,'2 Ingresos'!$C$6:$C$255,$B40,'2 Ingresos'!$A$6:$A$255,Config!$B$16)-'3 Conteo Diario'!$Y41)</f>
        <v/>
      </c>
      <c r="K40" s="70">
        <f>IF(COUNT($D40:$J40)=0,"",SUM($D40:$J40))</f>
        <v/>
      </c>
      <c r="L40" s="69">
        <f>IF(COUNT($D40:$J40)=0,"",AVERAGE($D40:$J40))</f>
        <v/>
      </c>
      <c r="M40" s="35">
        <f>IF(COUNT($D40:$J40)=0,"",IFERROR(INDEX($D$4:$J$4,MATCH(MAX($D40:$J40),$D40:$J40,0)),""))</f>
        <v/>
      </c>
      <c r="N40" s="75">
        <f>IF(COUNT($D40:$J40)=0,"Sin conteos cargados",IF(MIN($D40:$J40)&lt;0,"Consumo negativo: ingreso sin registrar",IF(AND($L40&gt;0,MAX($D40:$J40)&gt;2*$L40),"Pico atipico el "&amp;$M40,"OK")))</f>
        <v/>
      </c>
    </row>
    <row r="41">
      <c r="A41" s="38">
        <f>Insumos!$A105</f>
        <v/>
      </c>
      <c r="B41" s="39">
        <f>Insumos!$B105</f>
        <v/>
      </c>
      <c r="C41" s="40">
        <f>Insumos!$E105</f>
        <v/>
      </c>
      <c r="D41" s="56">
        <f>IF('3 Conteo Diario'!$S42="","",'1 Inv Inicial'!$G105+SUMIFS('2 Ingresos'!$I$6:$I$255,'2 Ingresos'!$B$6:$B$255,$A41,'2 Ingresos'!$C$6:$C$255,$B41,'2 Ingresos'!$A$6:$A$255,Config!$B$10)-'3 Conteo Diario'!$S42)</f>
        <v/>
      </c>
      <c r="E41" s="56">
        <f>IF(OR('3 Conteo Diario'!$S42="",'3 Conteo Diario'!$T42=""),"",'3 Conteo Diario'!$S42+SUMIFS('2 Ingresos'!$I$6:$I$255,'2 Ingresos'!$B$6:$B$255,$A41,'2 Ingresos'!$C$6:$C$255,$B41,'2 Ingresos'!$A$6:$A$255,Config!$B$11)-'3 Conteo Diario'!$T42)</f>
        <v/>
      </c>
      <c r="F41" s="56">
        <f>IF(OR('3 Conteo Diario'!$T42="",'3 Conteo Diario'!$U42=""),"",'3 Conteo Diario'!$T42+SUMIFS('2 Ingresos'!$I$6:$I$255,'2 Ingresos'!$B$6:$B$255,$A41,'2 Ingresos'!$C$6:$C$255,$B41,'2 Ingresos'!$A$6:$A$255,Config!$B$12)-'3 Conteo Diario'!$U42)</f>
        <v/>
      </c>
      <c r="G41" s="56">
        <f>IF(OR('3 Conteo Diario'!$U42="",'3 Conteo Diario'!$V42=""),"",'3 Conteo Diario'!$U42+SUMIFS('2 Ingresos'!$I$6:$I$255,'2 Ingresos'!$B$6:$B$255,$A41,'2 Ingresos'!$C$6:$C$255,$B41,'2 Ingresos'!$A$6:$A$255,Config!$B$13)-'3 Conteo Diario'!$V42)</f>
        <v/>
      </c>
      <c r="H41" s="56">
        <f>IF(OR('3 Conteo Diario'!$V42="",'3 Conteo Diario'!$W42=""),"",'3 Conteo Diario'!$V42+SUMIFS('2 Ingresos'!$I$6:$I$255,'2 Ingresos'!$B$6:$B$255,$A41,'2 Ingresos'!$C$6:$C$255,$B41,'2 Ingresos'!$A$6:$A$255,Config!$B$14)-'3 Conteo Diario'!$W42)</f>
        <v/>
      </c>
      <c r="I41" s="56">
        <f>IF(OR('3 Conteo Diario'!$W42="",'3 Conteo Diario'!$X42=""),"",'3 Conteo Diario'!$W42+SUMIFS('2 Ingresos'!$I$6:$I$255,'2 Ingresos'!$B$6:$B$255,$A41,'2 Ingresos'!$C$6:$C$255,$B41,'2 Ingresos'!$A$6:$A$255,Config!$B$15)-'3 Conteo Diario'!$X42)</f>
        <v/>
      </c>
      <c r="J41" s="56">
        <f>IF(OR('3 Conteo Diario'!$X42="",'3 Conteo Diario'!$Y42=""),"",'3 Conteo Diario'!$X42+SUMIFS('2 Ingresos'!$I$6:$I$255,'2 Ingresos'!$B$6:$B$255,$A41,'2 Ingresos'!$C$6:$C$255,$B41,'2 Ingresos'!$A$6:$A$255,Config!$B$16)-'3 Conteo Diario'!$Y42)</f>
        <v/>
      </c>
      <c r="K41" s="70">
        <f>IF(COUNT($D41:$J41)=0,"",SUM($D41:$J41))</f>
        <v/>
      </c>
      <c r="L41" s="69">
        <f>IF(COUNT($D41:$J41)=0,"",AVERAGE($D41:$J41))</f>
        <v/>
      </c>
      <c r="M41" s="35">
        <f>IF(COUNT($D41:$J41)=0,"",IFERROR(INDEX($D$4:$J$4,MATCH(MAX($D41:$J41),$D41:$J41,0)),""))</f>
        <v/>
      </c>
      <c r="N41" s="75">
        <f>IF(COUNT($D41:$J41)=0,"Sin conteos cargados",IF(MIN($D41:$J41)&lt;0,"Consumo negativo: ingreso sin registrar",IF(AND($L41&gt;0,MAX($D41:$J41)&gt;2*$L41),"Pico atipico el "&amp;$M41,"OK")))</f>
        <v/>
      </c>
    </row>
    <row r="42">
      <c r="A42" s="43">
        <f>Insumos!$A106</f>
        <v/>
      </c>
      <c r="B42" s="44">
        <f>Insumos!$B106</f>
        <v/>
      </c>
      <c r="C42" s="45">
        <f>Insumos!$E106</f>
        <v/>
      </c>
      <c r="D42" s="56">
        <f>IF('3 Conteo Diario'!$S43="","",'1 Inv Inicial'!$G106+SUMIFS('2 Ingresos'!$I$6:$I$255,'2 Ingresos'!$B$6:$B$255,$A42,'2 Ingresos'!$C$6:$C$255,$B42,'2 Ingresos'!$A$6:$A$255,Config!$B$10)-'3 Conteo Diario'!$S43)</f>
        <v/>
      </c>
      <c r="E42" s="56">
        <f>IF(OR('3 Conteo Diario'!$S43="",'3 Conteo Diario'!$T43=""),"",'3 Conteo Diario'!$S43+SUMIFS('2 Ingresos'!$I$6:$I$255,'2 Ingresos'!$B$6:$B$255,$A42,'2 Ingresos'!$C$6:$C$255,$B42,'2 Ingresos'!$A$6:$A$255,Config!$B$11)-'3 Conteo Diario'!$T43)</f>
        <v/>
      </c>
      <c r="F42" s="56">
        <f>IF(OR('3 Conteo Diario'!$T43="",'3 Conteo Diario'!$U43=""),"",'3 Conteo Diario'!$T43+SUMIFS('2 Ingresos'!$I$6:$I$255,'2 Ingresos'!$B$6:$B$255,$A42,'2 Ingresos'!$C$6:$C$255,$B42,'2 Ingresos'!$A$6:$A$255,Config!$B$12)-'3 Conteo Diario'!$U43)</f>
        <v/>
      </c>
      <c r="G42" s="56">
        <f>IF(OR('3 Conteo Diario'!$U43="",'3 Conteo Diario'!$V43=""),"",'3 Conteo Diario'!$U43+SUMIFS('2 Ingresos'!$I$6:$I$255,'2 Ingresos'!$B$6:$B$255,$A42,'2 Ingresos'!$C$6:$C$255,$B42,'2 Ingresos'!$A$6:$A$255,Config!$B$13)-'3 Conteo Diario'!$V43)</f>
        <v/>
      </c>
      <c r="H42" s="56">
        <f>IF(OR('3 Conteo Diario'!$V43="",'3 Conteo Diario'!$W43=""),"",'3 Conteo Diario'!$V43+SUMIFS('2 Ingresos'!$I$6:$I$255,'2 Ingresos'!$B$6:$B$255,$A42,'2 Ingresos'!$C$6:$C$255,$B42,'2 Ingresos'!$A$6:$A$255,Config!$B$14)-'3 Conteo Diario'!$W43)</f>
        <v/>
      </c>
      <c r="I42" s="56">
        <f>IF(OR('3 Conteo Diario'!$W43="",'3 Conteo Diario'!$X43=""),"",'3 Conteo Diario'!$W43+SUMIFS('2 Ingresos'!$I$6:$I$255,'2 Ingresos'!$B$6:$B$255,$A42,'2 Ingresos'!$C$6:$C$255,$B42,'2 Ingresos'!$A$6:$A$255,Config!$B$15)-'3 Conteo Diario'!$X43)</f>
        <v/>
      </c>
      <c r="J42" s="56">
        <f>IF(OR('3 Conteo Diario'!$X43="",'3 Conteo Diario'!$Y43=""),"",'3 Conteo Diario'!$X43+SUMIFS('2 Ingresos'!$I$6:$I$255,'2 Ingresos'!$B$6:$B$255,$A42,'2 Ingresos'!$C$6:$C$255,$B42,'2 Ingresos'!$A$6:$A$255,Config!$B$16)-'3 Conteo Diario'!$Y43)</f>
        <v/>
      </c>
      <c r="K42" s="70">
        <f>IF(COUNT($D42:$J42)=0,"",SUM($D42:$J42))</f>
        <v/>
      </c>
      <c r="L42" s="69">
        <f>IF(COUNT($D42:$J42)=0,"",AVERAGE($D42:$J42))</f>
        <v/>
      </c>
      <c r="M42" s="35">
        <f>IF(COUNT($D42:$J42)=0,"",IFERROR(INDEX($D$4:$J$4,MATCH(MAX($D42:$J42),$D42:$J42,0)),""))</f>
        <v/>
      </c>
      <c r="N42" s="75">
        <f>IF(COUNT($D42:$J42)=0,"Sin conteos cargados",IF(MIN($D42:$J42)&lt;0,"Consumo negativo: ingreso sin registrar",IF(AND($L42&gt;0,MAX($D42:$J42)&gt;2*$L42),"Pico atipico el "&amp;$M42,"OK")))</f>
        <v/>
      </c>
    </row>
    <row r="43">
      <c r="A43" s="38">
        <f>Insumos!$A107</f>
        <v/>
      </c>
      <c r="B43" s="39">
        <f>Insumos!$B107</f>
        <v/>
      </c>
      <c r="C43" s="40">
        <f>Insumos!$E107</f>
        <v/>
      </c>
      <c r="D43" s="56">
        <f>IF('3 Conteo Diario'!$S44="","",'1 Inv Inicial'!$G107+SUMIFS('2 Ingresos'!$I$6:$I$255,'2 Ingresos'!$B$6:$B$255,$A43,'2 Ingresos'!$C$6:$C$255,$B43,'2 Ingresos'!$A$6:$A$255,Config!$B$10)-'3 Conteo Diario'!$S44)</f>
        <v/>
      </c>
      <c r="E43" s="56">
        <f>IF(OR('3 Conteo Diario'!$S44="",'3 Conteo Diario'!$T44=""),"",'3 Conteo Diario'!$S44+SUMIFS('2 Ingresos'!$I$6:$I$255,'2 Ingresos'!$B$6:$B$255,$A43,'2 Ingresos'!$C$6:$C$255,$B43,'2 Ingresos'!$A$6:$A$255,Config!$B$11)-'3 Conteo Diario'!$T44)</f>
        <v/>
      </c>
      <c r="F43" s="56">
        <f>IF(OR('3 Conteo Diario'!$T44="",'3 Conteo Diario'!$U44=""),"",'3 Conteo Diario'!$T44+SUMIFS('2 Ingresos'!$I$6:$I$255,'2 Ingresos'!$B$6:$B$255,$A43,'2 Ingresos'!$C$6:$C$255,$B43,'2 Ingresos'!$A$6:$A$255,Config!$B$12)-'3 Conteo Diario'!$U44)</f>
        <v/>
      </c>
      <c r="G43" s="56">
        <f>IF(OR('3 Conteo Diario'!$U44="",'3 Conteo Diario'!$V44=""),"",'3 Conteo Diario'!$U44+SUMIFS('2 Ingresos'!$I$6:$I$255,'2 Ingresos'!$B$6:$B$255,$A43,'2 Ingresos'!$C$6:$C$255,$B43,'2 Ingresos'!$A$6:$A$255,Config!$B$13)-'3 Conteo Diario'!$V44)</f>
        <v/>
      </c>
      <c r="H43" s="56">
        <f>IF(OR('3 Conteo Diario'!$V44="",'3 Conteo Diario'!$W44=""),"",'3 Conteo Diario'!$V44+SUMIFS('2 Ingresos'!$I$6:$I$255,'2 Ingresos'!$B$6:$B$255,$A43,'2 Ingresos'!$C$6:$C$255,$B43,'2 Ingresos'!$A$6:$A$255,Config!$B$14)-'3 Conteo Diario'!$W44)</f>
        <v/>
      </c>
      <c r="I43" s="56">
        <f>IF(OR('3 Conteo Diario'!$W44="",'3 Conteo Diario'!$X44=""),"",'3 Conteo Diario'!$W44+SUMIFS('2 Ingresos'!$I$6:$I$255,'2 Ingresos'!$B$6:$B$255,$A43,'2 Ingresos'!$C$6:$C$255,$B43,'2 Ingresos'!$A$6:$A$255,Config!$B$15)-'3 Conteo Diario'!$X44)</f>
        <v/>
      </c>
      <c r="J43" s="56">
        <f>IF(OR('3 Conteo Diario'!$X44="",'3 Conteo Diario'!$Y44=""),"",'3 Conteo Diario'!$X44+SUMIFS('2 Ingresos'!$I$6:$I$255,'2 Ingresos'!$B$6:$B$255,$A43,'2 Ingresos'!$C$6:$C$255,$B43,'2 Ingresos'!$A$6:$A$255,Config!$B$16)-'3 Conteo Diario'!$Y44)</f>
        <v/>
      </c>
      <c r="K43" s="70">
        <f>IF(COUNT($D43:$J43)=0,"",SUM($D43:$J43))</f>
        <v/>
      </c>
      <c r="L43" s="69">
        <f>IF(COUNT($D43:$J43)=0,"",AVERAGE($D43:$J43))</f>
        <v/>
      </c>
      <c r="M43" s="35">
        <f>IF(COUNT($D43:$J43)=0,"",IFERROR(INDEX($D$4:$J$4,MATCH(MAX($D43:$J43),$D43:$J43,0)),""))</f>
        <v/>
      </c>
      <c r="N43" s="75">
        <f>IF(COUNT($D43:$J43)=0,"Sin conteos cargados",IF(MIN($D43:$J43)&lt;0,"Consumo negativo: ingreso sin registrar",IF(AND($L43&gt;0,MAX($D43:$J43)&gt;2*$L43),"Pico atipico el "&amp;$M43,"OK")))</f>
        <v/>
      </c>
    </row>
    <row r="44">
      <c r="A44" s="43">
        <f>Insumos!$A114</f>
        <v/>
      </c>
      <c r="B44" s="44">
        <f>Insumos!$B114</f>
        <v/>
      </c>
      <c r="C44" s="45">
        <f>Insumos!$E114</f>
        <v/>
      </c>
      <c r="D44" s="56">
        <f>IF('3 Conteo Diario'!$S45="","",'1 Inv Inicial'!$G114+SUMIFS('2 Ingresos'!$I$6:$I$255,'2 Ingresos'!$B$6:$B$255,$A44,'2 Ingresos'!$C$6:$C$255,$B44,'2 Ingresos'!$A$6:$A$255,Config!$B$10)-'3 Conteo Diario'!$S45)</f>
        <v/>
      </c>
      <c r="E44" s="56">
        <f>IF(OR('3 Conteo Diario'!$S45="",'3 Conteo Diario'!$T45=""),"",'3 Conteo Diario'!$S45+SUMIFS('2 Ingresos'!$I$6:$I$255,'2 Ingresos'!$B$6:$B$255,$A44,'2 Ingresos'!$C$6:$C$255,$B44,'2 Ingresos'!$A$6:$A$255,Config!$B$11)-'3 Conteo Diario'!$T45)</f>
        <v/>
      </c>
      <c r="F44" s="56">
        <f>IF(OR('3 Conteo Diario'!$T45="",'3 Conteo Diario'!$U45=""),"",'3 Conteo Diario'!$T45+SUMIFS('2 Ingresos'!$I$6:$I$255,'2 Ingresos'!$B$6:$B$255,$A44,'2 Ingresos'!$C$6:$C$255,$B44,'2 Ingresos'!$A$6:$A$255,Config!$B$12)-'3 Conteo Diario'!$U45)</f>
        <v/>
      </c>
      <c r="G44" s="56">
        <f>IF(OR('3 Conteo Diario'!$U45="",'3 Conteo Diario'!$V45=""),"",'3 Conteo Diario'!$U45+SUMIFS('2 Ingresos'!$I$6:$I$255,'2 Ingresos'!$B$6:$B$255,$A44,'2 Ingresos'!$C$6:$C$255,$B44,'2 Ingresos'!$A$6:$A$255,Config!$B$13)-'3 Conteo Diario'!$V45)</f>
        <v/>
      </c>
      <c r="H44" s="56">
        <f>IF(OR('3 Conteo Diario'!$V45="",'3 Conteo Diario'!$W45=""),"",'3 Conteo Diario'!$V45+SUMIFS('2 Ingresos'!$I$6:$I$255,'2 Ingresos'!$B$6:$B$255,$A44,'2 Ingresos'!$C$6:$C$255,$B44,'2 Ingresos'!$A$6:$A$255,Config!$B$14)-'3 Conteo Diario'!$W45)</f>
        <v/>
      </c>
      <c r="I44" s="56">
        <f>IF(OR('3 Conteo Diario'!$W45="",'3 Conteo Diario'!$X45=""),"",'3 Conteo Diario'!$W45+SUMIFS('2 Ingresos'!$I$6:$I$255,'2 Ingresos'!$B$6:$B$255,$A44,'2 Ingresos'!$C$6:$C$255,$B44,'2 Ingresos'!$A$6:$A$255,Config!$B$15)-'3 Conteo Diario'!$X45)</f>
        <v/>
      </c>
      <c r="J44" s="56">
        <f>IF(OR('3 Conteo Diario'!$X45="",'3 Conteo Diario'!$Y45=""),"",'3 Conteo Diario'!$X45+SUMIFS('2 Ingresos'!$I$6:$I$255,'2 Ingresos'!$B$6:$B$255,$A44,'2 Ingresos'!$C$6:$C$255,$B44,'2 Ingresos'!$A$6:$A$255,Config!$B$16)-'3 Conteo Diario'!$Y45)</f>
        <v/>
      </c>
      <c r="K44" s="70">
        <f>IF(COUNT($D44:$J44)=0,"",SUM($D44:$J44))</f>
        <v/>
      </c>
      <c r="L44" s="69">
        <f>IF(COUNT($D44:$J44)=0,"",AVERAGE($D44:$J44))</f>
        <v/>
      </c>
      <c r="M44" s="35">
        <f>IF(COUNT($D44:$J44)=0,"",IFERROR(INDEX($D$4:$J$4,MATCH(MAX($D44:$J44),$D44:$J44,0)),""))</f>
        <v/>
      </c>
      <c r="N44" s="75">
        <f>IF(COUNT($D44:$J44)=0,"Sin conteos cargados",IF(MIN($D44:$J44)&lt;0,"Consumo negativo: ingreso sin registrar",IF(AND($L44&gt;0,MAX($D44:$J44)&gt;2*$L44),"Pico atipico el "&amp;$M44,"OK")))</f>
        <v/>
      </c>
    </row>
    <row r="45">
      <c r="A45" s="38">
        <f>Insumos!$A117</f>
        <v/>
      </c>
      <c r="B45" s="39">
        <f>Insumos!$B117</f>
        <v/>
      </c>
      <c r="C45" s="40">
        <f>Insumos!$E117</f>
        <v/>
      </c>
      <c r="D45" s="56">
        <f>IF('3 Conteo Diario'!$S46="","",'1 Inv Inicial'!$G117+SUMIFS('2 Ingresos'!$I$6:$I$255,'2 Ingresos'!$B$6:$B$255,$A45,'2 Ingresos'!$C$6:$C$255,$B45,'2 Ingresos'!$A$6:$A$255,Config!$B$10)-'3 Conteo Diario'!$S46)</f>
        <v/>
      </c>
      <c r="E45" s="56">
        <f>IF(OR('3 Conteo Diario'!$S46="",'3 Conteo Diario'!$T46=""),"",'3 Conteo Diario'!$S46+SUMIFS('2 Ingresos'!$I$6:$I$255,'2 Ingresos'!$B$6:$B$255,$A45,'2 Ingresos'!$C$6:$C$255,$B45,'2 Ingresos'!$A$6:$A$255,Config!$B$11)-'3 Conteo Diario'!$T46)</f>
        <v/>
      </c>
      <c r="F45" s="56">
        <f>IF(OR('3 Conteo Diario'!$T46="",'3 Conteo Diario'!$U46=""),"",'3 Conteo Diario'!$T46+SUMIFS('2 Ingresos'!$I$6:$I$255,'2 Ingresos'!$B$6:$B$255,$A45,'2 Ingresos'!$C$6:$C$255,$B45,'2 Ingresos'!$A$6:$A$255,Config!$B$12)-'3 Conteo Diario'!$U46)</f>
        <v/>
      </c>
      <c r="G45" s="56">
        <f>IF(OR('3 Conteo Diario'!$U46="",'3 Conteo Diario'!$V46=""),"",'3 Conteo Diario'!$U46+SUMIFS('2 Ingresos'!$I$6:$I$255,'2 Ingresos'!$B$6:$B$255,$A45,'2 Ingresos'!$C$6:$C$255,$B45,'2 Ingresos'!$A$6:$A$255,Config!$B$13)-'3 Conteo Diario'!$V46)</f>
        <v/>
      </c>
      <c r="H45" s="56">
        <f>IF(OR('3 Conteo Diario'!$V46="",'3 Conteo Diario'!$W46=""),"",'3 Conteo Diario'!$V46+SUMIFS('2 Ingresos'!$I$6:$I$255,'2 Ingresos'!$B$6:$B$255,$A45,'2 Ingresos'!$C$6:$C$255,$B45,'2 Ingresos'!$A$6:$A$255,Config!$B$14)-'3 Conteo Diario'!$W46)</f>
        <v/>
      </c>
      <c r="I45" s="56">
        <f>IF(OR('3 Conteo Diario'!$W46="",'3 Conteo Diario'!$X46=""),"",'3 Conteo Diario'!$W46+SUMIFS('2 Ingresos'!$I$6:$I$255,'2 Ingresos'!$B$6:$B$255,$A45,'2 Ingresos'!$C$6:$C$255,$B45,'2 Ingresos'!$A$6:$A$255,Config!$B$15)-'3 Conteo Diario'!$X46)</f>
        <v/>
      </c>
      <c r="J45" s="56">
        <f>IF(OR('3 Conteo Diario'!$X46="",'3 Conteo Diario'!$Y46=""),"",'3 Conteo Diario'!$X46+SUMIFS('2 Ingresos'!$I$6:$I$255,'2 Ingresos'!$B$6:$B$255,$A45,'2 Ingresos'!$C$6:$C$255,$B45,'2 Ingresos'!$A$6:$A$255,Config!$B$16)-'3 Conteo Diario'!$Y46)</f>
        <v/>
      </c>
      <c r="K45" s="70">
        <f>IF(COUNT($D45:$J45)=0,"",SUM($D45:$J45))</f>
        <v/>
      </c>
      <c r="L45" s="69">
        <f>IF(COUNT($D45:$J45)=0,"",AVERAGE($D45:$J45))</f>
        <v/>
      </c>
      <c r="M45" s="35">
        <f>IF(COUNT($D45:$J45)=0,"",IFERROR(INDEX($D$4:$J$4,MATCH(MAX($D45:$J45),$D45:$J45,0)),""))</f>
        <v/>
      </c>
      <c r="N45" s="75">
        <f>IF(COUNT($D45:$J45)=0,"Sin conteos cargados",IF(MIN($D45:$J45)&lt;0,"Consumo negativo: ingreso sin registrar",IF(AND($L45&gt;0,MAX($D45:$J45)&gt;2*$L45),"Pico atipico el "&amp;$M45,"OK")))</f>
        <v/>
      </c>
    </row>
    <row r="46">
      <c r="A46" s="43">
        <f>Insumos!$A118</f>
        <v/>
      </c>
      <c r="B46" s="44">
        <f>Insumos!$B118</f>
        <v/>
      </c>
      <c r="C46" s="45">
        <f>Insumos!$E118</f>
        <v/>
      </c>
      <c r="D46" s="56">
        <f>IF('3 Conteo Diario'!$S47="","",'1 Inv Inicial'!$G118+SUMIFS('2 Ingresos'!$I$6:$I$255,'2 Ingresos'!$B$6:$B$255,$A46,'2 Ingresos'!$C$6:$C$255,$B46,'2 Ingresos'!$A$6:$A$255,Config!$B$10)-'3 Conteo Diario'!$S47)</f>
        <v/>
      </c>
      <c r="E46" s="56">
        <f>IF(OR('3 Conteo Diario'!$S47="",'3 Conteo Diario'!$T47=""),"",'3 Conteo Diario'!$S47+SUMIFS('2 Ingresos'!$I$6:$I$255,'2 Ingresos'!$B$6:$B$255,$A46,'2 Ingresos'!$C$6:$C$255,$B46,'2 Ingresos'!$A$6:$A$255,Config!$B$11)-'3 Conteo Diario'!$T47)</f>
        <v/>
      </c>
      <c r="F46" s="56">
        <f>IF(OR('3 Conteo Diario'!$T47="",'3 Conteo Diario'!$U47=""),"",'3 Conteo Diario'!$T47+SUMIFS('2 Ingresos'!$I$6:$I$255,'2 Ingresos'!$B$6:$B$255,$A46,'2 Ingresos'!$C$6:$C$255,$B46,'2 Ingresos'!$A$6:$A$255,Config!$B$12)-'3 Conteo Diario'!$U47)</f>
        <v/>
      </c>
      <c r="G46" s="56">
        <f>IF(OR('3 Conteo Diario'!$U47="",'3 Conteo Diario'!$V47=""),"",'3 Conteo Diario'!$U47+SUMIFS('2 Ingresos'!$I$6:$I$255,'2 Ingresos'!$B$6:$B$255,$A46,'2 Ingresos'!$C$6:$C$255,$B46,'2 Ingresos'!$A$6:$A$255,Config!$B$13)-'3 Conteo Diario'!$V47)</f>
        <v/>
      </c>
      <c r="H46" s="56">
        <f>IF(OR('3 Conteo Diario'!$V47="",'3 Conteo Diario'!$W47=""),"",'3 Conteo Diario'!$V47+SUMIFS('2 Ingresos'!$I$6:$I$255,'2 Ingresos'!$B$6:$B$255,$A46,'2 Ingresos'!$C$6:$C$255,$B46,'2 Ingresos'!$A$6:$A$255,Config!$B$14)-'3 Conteo Diario'!$W47)</f>
        <v/>
      </c>
      <c r="I46" s="56">
        <f>IF(OR('3 Conteo Diario'!$W47="",'3 Conteo Diario'!$X47=""),"",'3 Conteo Diario'!$W47+SUMIFS('2 Ingresos'!$I$6:$I$255,'2 Ingresos'!$B$6:$B$255,$A46,'2 Ingresos'!$C$6:$C$255,$B46,'2 Ingresos'!$A$6:$A$255,Config!$B$15)-'3 Conteo Diario'!$X47)</f>
        <v/>
      </c>
      <c r="J46" s="56">
        <f>IF(OR('3 Conteo Diario'!$X47="",'3 Conteo Diario'!$Y47=""),"",'3 Conteo Diario'!$X47+SUMIFS('2 Ingresos'!$I$6:$I$255,'2 Ingresos'!$B$6:$B$255,$A46,'2 Ingresos'!$C$6:$C$255,$B46,'2 Ingresos'!$A$6:$A$255,Config!$B$16)-'3 Conteo Diario'!$Y47)</f>
        <v/>
      </c>
      <c r="K46" s="70">
        <f>IF(COUNT($D46:$J46)=0,"",SUM($D46:$J46))</f>
        <v/>
      </c>
      <c r="L46" s="69">
        <f>IF(COUNT($D46:$J46)=0,"",AVERAGE($D46:$J46))</f>
        <v/>
      </c>
      <c r="M46" s="35">
        <f>IF(COUNT($D46:$J46)=0,"",IFERROR(INDEX($D$4:$J$4,MATCH(MAX($D46:$J46),$D46:$J46,0)),""))</f>
        <v/>
      </c>
      <c r="N46" s="75">
        <f>IF(COUNT($D46:$J46)=0,"Sin conteos cargados",IF(MIN($D46:$J46)&lt;0,"Consumo negativo: ingreso sin registrar",IF(AND($L46&gt;0,MAX($D46:$J46)&gt;2*$L46),"Pico atipico el "&amp;$M46,"OK")))</f>
        <v/>
      </c>
    </row>
    <row r="47">
      <c r="A47" s="38">
        <f>Insumos!$A119</f>
        <v/>
      </c>
      <c r="B47" s="39">
        <f>Insumos!$B119</f>
        <v/>
      </c>
      <c r="C47" s="40">
        <f>Insumos!$E119</f>
        <v/>
      </c>
      <c r="D47" s="56">
        <f>IF('3 Conteo Diario'!$S48="","",'1 Inv Inicial'!$G119+SUMIFS('2 Ingresos'!$I$6:$I$255,'2 Ingresos'!$B$6:$B$255,$A47,'2 Ingresos'!$C$6:$C$255,$B47,'2 Ingresos'!$A$6:$A$255,Config!$B$10)-'3 Conteo Diario'!$S48)</f>
        <v/>
      </c>
      <c r="E47" s="56">
        <f>IF(OR('3 Conteo Diario'!$S48="",'3 Conteo Diario'!$T48=""),"",'3 Conteo Diario'!$S48+SUMIFS('2 Ingresos'!$I$6:$I$255,'2 Ingresos'!$B$6:$B$255,$A47,'2 Ingresos'!$C$6:$C$255,$B47,'2 Ingresos'!$A$6:$A$255,Config!$B$11)-'3 Conteo Diario'!$T48)</f>
        <v/>
      </c>
      <c r="F47" s="56">
        <f>IF(OR('3 Conteo Diario'!$T48="",'3 Conteo Diario'!$U48=""),"",'3 Conteo Diario'!$T48+SUMIFS('2 Ingresos'!$I$6:$I$255,'2 Ingresos'!$B$6:$B$255,$A47,'2 Ingresos'!$C$6:$C$255,$B47,'2 Ingresos'!$A$6:$A$255,Config!$B$12)-'3 Conteo Diario'!$U48)</f>
        <v/>
      </c>
      <c r="G47" s="56">
        <f>IF(OR('3 Conteo Diario'!$U48="",'3 Conteo Diario'!$V48=""),"",'3 Conteo Diario'!$U48+SUMIFS('2 Ingresos'!$I$6:$I$255,'2 Ingresos'!$B$6:$B$255,$A47,'2 Ingresos'!$C$6:$C$255,$B47,'2 Ingresos'!$A$6:$A$255,Config!$B$13)-'3 Conteo Diario'!$V48)</f>
        <v/>
      </c>
      <c r="H47" s="56">
        <f>IF(OR('3 Conteo Diario'!$V48="",'3 Conteo Diario'!$W48=""),"",'3 Conteo Diario'!$V48+SUMIFS('2 Ingresos'!$I$6:$I$255,'2 Ingresos'!$B$6:$B$255,$A47,'2 Ingresos'!$C$6:$C$255,$B47,'2 Ingresos'!$A$6:$A$255,Config!$B$14)-'3 Conteo Diario'!$W48)</f>
        <v/>
      </c>
      <c r="I47" s="56">
        <f>IF(OR('3 Conteo Diario'!$W48="",'3 Conteo Diario'!$X48=""),"",'3 Conteo Diario'!$W48+SUMIFS('2 Ingresos'!$I$6:$I$255,'2 Ingresos'!$B$6:$B$255,$A47,'2 Ingresos'!$C$6:$C$255,$B47,'2 Ingresos'!$A$6:$A$255,Config!$B$15)-'3 Conteo Diario'!$X48)</f>
        <v/>
      </c>
      <c r="J47" s="56">
        <f>IF(OR('3 Conteo Diario'!$X48="",'3 Conteo Diario'!$Y48=""),"",'3 Conteo Diario'!$X48+SUMIFS('2 Ingresos'!$I$6:$I$255,'2 Ingresos'!$B$6:$B$255,$A47,'2 Ingresos'!$C$6:$C$255,$B47,'2 Ingresos'!$A$6:$A$255,Config!$B$16)-'3 Conteo Diario'!$Y48)</f>
        <v/>
      </c>
      <c r="K47" s="70">
        <f>IF(COUNT($D47:$J47)=0,"",SUM($D47:$J47))</f>
        <v/>
      </c>
      <c r="L47" s="69">
        <f>IF(COUNT($D47:$J47)=0,"",AVERAGE($D47:$J47))</f>
        <v/>
      </c>
      <c r="M47" s="35">
        <f>IF(COUNT($D47:$J47)=0,"",IFERROR(INDEX($D$4:$J$4,MATCH(MAX($D47:$J47),$D47:$J47,0)),""))</f>
        <v/>
      </c>
      <c r="N47" s="75">
        <f>IF(COUNT($D47:$J47)=0,"Sin conteos cargados",IF(MIN($D47:$J47)&lt;0,"Consumo negativo: ingreso sin registrar",IF(AND($L47&gt;0,MAX($D47:$J47)&gt;2*$L47),"Pico atipico el "&amp;$M47,"OK")))</f>
        <v/>
      </c>
    </row>
    <row r="48">
      <c r="A48" s="43">
        <f>Insumos!$A122</f>
        <v/>
      </c>
      <c r="B48" s="44">
        <f>Insumos!$B122</f>
        <v/>
      </c>
      <c r="C48" s="45">
        <f>Insumos!$E122</f>
        <v/>
      </c>
      <c r="D48" s="56">
        <f>IF('3 Conteo Diario'!$S49="","",'1 Inv Inicial'!$G122+SUMIFS('2 Ingresos'!$I$6:$I$255,'2 Ingresos'!$B$6:$B$255,$A48,'2 Ingresos'!$C$6:$C$255,$B48,'2 Ingresos'!$A$6:$A$255,Config!$B$10)-'3 Conteo Diario'!$S49)</f>
        <v/>
      </c>
      <c r="E48" s="56">
        <f>IF(OR('3 Conteo Diario'!$S49="",'3 Conteo Diario'!$T49=""),"",'3 Conteo Diario'!$S49+SUMIFS('2 Ingresos'!$I$6:$I$255,'2 Ingresos'!$B$6:$B$255,$A48,'2 Ingresos'!$C$6:$C$255,$B48,'2 Ingresos'!$A$6:$A$255,Config!$B$11)-'3 Conteo Diario'!$T49)</f>
        <v/>
      </c>
      <c r="F48" s="56">
        <f>IF(OR('3 Conteo Diario'!$T49="",'3 Conteo Diario'!$U49=""),"",'3 Conteo Diario'!$T49+SUMIFS('2 Ingresos'!$I$6:$I$255,'2 Ingresos'!$B$6:$B$255,$A48,'2 Ingresos'!$C$6:$C$255,$B48,'2 Ingresos'!$A$6:$A$255,Config!$B$12)-'3 Conteo Diario'!$U49)</f>
        <v/>
      </c>
      <c r="G48" s="56">
        <f>IF(OR('3 Conteo Diario'!$U49="",'3 Conteo Diario'!$V49=""),"",'3 Conteo Diario'!$U49+SUMIFS('2 Ingresos'!$I$6:$I$255,'2 Ingresos'!$B$6:$B$255,$A48,'2 Ingresos'!$C$6:$C$255,$B48,'2 Ingresos'!$A$6:$A$255,Config!$B$13)-'3 Conteo Diario'!$V49)</f>
        <v/>
      </c>
      <c r="H48" s="56">
        <f>IF(OR('3 Conteo Diario'!$V49="",'3 Conteo Diario'!$W49=""),"",'3 Conteo Diario'!$V49+SUMIFS('2 Ingresos'!$I$6:$I$255,'2 Ingresos'!$B$6:$B$255,$A48,'2 Ingresos'!$C$6:$C$255,$B48,'2 Ingresos'!$A$6:$A$255,Config!$B$14)-'3 Conteo Diario'!$W49)</f>
        <v/>
      </c>
      <c r="I48" s="56">
        <f>IF(OR('3 Conteo Diario'!$W49="",'3 Conteo Diario'!$X49=""),"",'3 Conteo Diario'!$W49+SUMIFS('2 Ingresos'!$I$6:$I$255,'2 Ingresos'!$B$6:$B$255,$A48,'2 Ingresos'!$C$6:$C$255,$B48,'2 Ingresos'!$A$6:$A$255,Config!$B$15)-'3 Conteo Diario'!$X49)</f>
        <v/>
      </c>
      <c r="J48" s="56">
        <f>IF(OR('3 Conteo Diario'!$X49="",'3 Conteo Diario'!$Y49=""),"",'3 Conteo Diario'!$X49+SUMIFS('2 Ingresos'!$I$6:$I$255,'2 Ingresos'!$B$6:$B$255,$A48,'2 Ingresos'!$C$6:$C$255,$B48,'2 Ingresos'!$A$6:$A$255,Config!$B$16)-'3 Conteo Diario'!$Y49)</f>
        <v/>
      </c>
      <c r="K48" s="70">
        <f>IF(COUNT($D48:$J48)=0,"",SUM($D48:$J48))</f>
        <v/>
      </c>
      <c r="L48" s="69">
        <f>IF(COUNT($D48:$J48)=0,"",AVERAGE($D48:$J48))</f>
        <v/>
      </c>
      <c r="M48" s="35">
        <f>IF(COUNT($D48:$J48)=0,"",IFERROR(INDEX($D$4:$J$4,MATCH(MAX($D48:$J48),$D48:$J48,0)),""))</f>
        <v/>
      </c>
      <c r="N48" s="75">
        <f>IF(COUNT($D48:$J48)=0,"Sin conteos cargados",IF(MIN($D48:$J48)&lt;0,"Consumo negativo: ingreso sin registrar",IF(AND($L48&gt;0,MAX($D48:$J48)&gt;2*$L48),"Pico atipico el "&amp;$M48,"OK")))</f>
        <v/>
      </c>
    </row>
    <row r="49">
      <c r="A49" s="38">
        <f>Insumos!$A123</f>
        <v/>
      </c>
      <c r="B49" s="39">
        <f>Insumos!$B123</f>
        <v/>
      </c>
      <c r="C49" s="40">
        <f>Insumos!$E123</f>
        <v/>
      </c>
      <c r="D49" s="56">
        <f>IF('3 Conteo Diario'!$S50="","",'1 Inv Inicial'!$G123+SUMIFS('2 Ingresos'!$I$6:$I$255,'2 Ingresos'!$B$6:$B$255,$A49,'2 Ingresos'!$C$6:$C$255,$B49,'2 Ingresos'!$A$6:$A$255,Config!$B$10)-'3 Conteo Diario'!$S50)</f>
        <v/>
      </c>
      <c r="E49" s="56">
        <f>IF(OR('3 Conteo Diario'!$S50="",'3 Conteo Diario'!$T50=""),"",'3 Conteo Diario'!$S50+SUMIFS('2 Ingresos'!$I$6:$I$255,'2 Ingresos'!$B$6:$B$255,$A49,'2 Ingresos'!$C$6:$C$255,$B49,'2 Ingresos'!$A$6:$A$255,Config!$B$11)-'3 Conteo Diario'!$T50)</f>
        <v/>
      </c>
      <c r="F49" s="56">
        <f>IF(OR('3 Conteo Diario'!$T50="",'3 Conteo Diario'!$U50=""),"",'3 Conteo Diario'!$T50+SUMIFS('2 Ingresos'!$I$6:$I$255,'2 Ingresos'!$B$6:$B$255,$A49,'2 Ingresos'!$C$6:$C$255,$B49,'2 Ingresos'!$A$6:$A$255,Config!$B$12)-'3 Conteo Diario'!$U50)</f>
        <v/>
      </c>
      <c r="G49" s="56">
        <f>IF(OR('3 Conteo Diario'!$U50="",'3 Conteo Diario'!$V50=""),"",'3 Conteo Diario'!$U50+SUMIFS('2 Ingresos'!$I$6:$I$255,'2 Ingresos'!$B$6:$B$255,$A49,'2 Ingresos'!$C$6:$C$255,$B49,'2 Ingresos'!$A$6:$A$255,Config!$B$13)-'3 Conteo Diario'!$V50)</f>
        <v/>
      </c>
      <c r="H49" s="56">
        <f>IF(OR('3 Conteo Diario'!$V50="",'3 Conteo Diario'!$W50=""),"",'3 Conteo Diario'!$V50+SUMIFS('2 Ingresos'!$I$6:$I$255,'2 Ingresos'!$B$6:$B$255,$A49,'2 Ingresos'!$C$6:$C$255,$B49,'2 Ingresos'!$A$6:$A$255,Config!$B$14)-'3 Conteo Diario'!$W50)</f>
        <v/>
      </c>
      <c r="I49" s="56">
        <f>IF(OR('3 Conteo Diario'!$W50="",'3 Conteo Diario'!$X50=""),"",'3 Conteo Diario'!$W50+SUMIFS('2 Ingresos'!$I$6:$I$255,'2 Ingresos'!$B$6:$B$255,$A49,'2 Ingresos'!$C$6:$C$255,$B49,'2 Ingresos'!$A$6:$A$255,Config!$B$15)-'3 Conteo Diario'!$X50)</f>
        <v/>
      </c>
      <c r="J49" s="56">
        <f>IF(OR('3 Conteo Diario'!$X50="",'3 Conteo Diario'!$Y50=""),"",'3 Conteo Diario'!$X50+SUMIFS('2 Ingresos'!$I$6:$I$255,'2 Ingresos'!$B$6:$B$255,$A49,'2 Ingresos'!$C$6:$C$255,$B49,'2 Ingresos'!$A$6:$A$255,Config!$B$16)-'3 Conteo Diario'!$Y50)</f>
        <v/>
      </c>
      <c r="K49" s="70">
        <f>IF(COUNT($D49:$J49)=0,"",SUM($D49:$J49))</f>
        <v/>
      </c>
      <c r="L49" s="69">
        <f>IF(COUNT($D49:$J49)=0,"",AVERAGE($D49:$J49))</f>
        <v/>
      </c>
      <c r="M49" s="35">
        <f>IF(COUNT($D49:$J49)=0,"",IFERROR(INDEX($D$4:$J$4,MATCH(MAX($D49:$J49),$D49:$J49,0)),""))</f>
        <v/>
      </c>
      <c r="N49" s="75">
        <f>IF(COUNT($D49:$J49)=0,"Sin conteos cargados",IF(MIN($D49:$J49)&lt;0,"Consumo negativo: ingreso sin registrar",IF(AND($L49&gt;0,MAX($D49:$J49)&gt;2*$L49),"Pico atipico el "&amp;$M49,"OK")))</f>
        <v/>
      </c>
    </row>
    <row r="50">
      <c r="A50" s="43">
        <f>Insumos!$A124</f>
        <v/>
      </c>
      <c r="B50" s="44">
        <f>Insumos!$B124</f>
        <v/>
      </c>
      <c r="C50" s="45">
        <f>Insumos!$E124</f>
        <v/>
      </c>
      <c r="D50" s="56">
        <f>IF('3 Conteo Diario'!$S51="","",'1 Inv Inicial'!$G124+SUMIFS('2 Ingresos'!$I$6:$I$255,'2 Ingresos'!$B$6:$B$255,$A50,'2 Ingresos'!$C$6:$C$255,$B50,'2 Ingresos'!$A$6:$A$255,Config!$B$10)-'3 Conteo Diario'!$S51)</f>
        <v/>
      </c>
      <c r="E50" s="56">
        <f>IF(OR('3 Conteo Diario'!$S51="",'3 Conteo Diario'!$T51=""),"",'3 Conteo Diario'!$S51+SUMIFS('2 Ingresos'!$I$6:$I$255,'2 Ingresos'!$B$6:$B$255,$A50,'2 Ingresos'!$C$6:$C$255,$B50,'2 Ingresos'!$A$6:$A$255,Config!$B$11)-'3 Conteo Diario'!$T51)</f>
        <v/>
      </c>
      <c r="F50" s="56">
        <f>IF(OR('3 Conteo Diario'!$T51="",'3 Conteo Diario'!$U51=""),"",'3 Conteo Diario'!$T51+SUMIFS('2 Ingresos'!$I$6:$I$255,'2 Ingresos'!$B$6:$B$255,$A50,'2 Ingresos'!$C$6:$C$255,$B50,'2 Ingresos'!$A$6:$A$255,Config!$B$12)-'3 Conteo Diario'!$U51)</f>
        <v/>
      </c>
      <c r="G50" s="56">
        <f>IF(OR('3 Conteo Diario'!$U51="",'3 Conteo Diario'!$V51=""),"",'3 Conteo Diario'!$U51+SUMIFS('2 Ingresos'!$I$6:$I$255,'2 Ingresos'!$B$6:$B$255,$A50,'2 Ingresos'!$C$6:$C$255,$B50,'2 Ingresos'!$A$6:$A$255,Config!$B$13)-'3 Conteo Diario'!$V51)</f>
        <v/>
      </c>
      <c r="H50" s="56">
        <f>IF(OR('3 Conteo Diario'!$V51="",'3 Conteo Diario'!$W51=""),"",'3 Conteo Diario'!$V51+SUMIFS('2 Ingresos'!$I$6:$I$255,'2 Ingresos'!$B$6:$B$255,$A50,'2 Ingresos'!$C$6:$C$255,$B50,'2 Ingresos'!$A$6:$A$255,Config!$B$14)-'3 Conteo Diario'!$W51)</f>
        <v/>
      </c>
      <c r="I50" s="56">
        <f>IF(OR('3 Conteo Diario'!$W51="",'3 Conteo Diario'!$X51=""),"",'3 Conteo Diario'!$W51+SUMIFS('2 Ingresos'!$I$6:$I$255,'2 Ingresos'!$B$6:$B$255,$A50,'2 Ingresos'!$C$6:$C$255,$B50,'2 Ingresos'!$A$6:$A$255,Config!$B$15)-'3 Conteo Diario'!$X51)</f>
        <v/>
      </c>
      <c r="J50" s="56">
        <f>IF(OR('3 Conteo Diario'!$X51="",'3 Conteo Diario'!$Y51=""),"",'3 Conteo Diario'!$X51+SUMIFS('2 Ingresos'!$I$6:$I$255,'2 Ingresos'!$B$6:$B$255,$A50,'2 Ingresos'!$C$6:$C$255,$B50,'2 Ingresos'!$A$6:$A$255,Config!$B$16)-'3 Conteo Diario'!$Y51)</f>
        <v/>
      </c>
      <c r="K50" s="70">
        <f>IF(COUNT($D50:$J50)=0,"",SUM($D50:$J50))</f>
        <v/>
      </c>
      <c r="L50" s="69">
        <f>IF(COUNT($D50:$J50)=0,"",AVERAGE($D50:$J50))</f>
        <v/>
      </c>
      <c r="M50" s="35">
        <f>IF(COUNT($D50:$J50)=0,"",IFERROR(INDEX($D$4:$J$4,MATCH(MAX($D50:$J50),$D50:$J50,0)),""))</f>
        <v/>
      </c>
      <c r="N50" s="75">
        <f>IF(COUNT($D50:$J50)=0,"Sin conteos cargados",IF(MIN($D50:$J50)&lt;0,"Consumo negativo: ingreso sin registrar",IF(AND($L50&gt;0,MAX($D50:$J50)&gt;2*$L50),"Pico atipico el "&amp;$M50,"OK")))</f>
        <v/>
      </c>
    </row>
    <row r="51">
      <c r="A51" s="38">
        <f>Insumos!$A125</f>
        <v/>
      </c>
      <c r="B51" s="39">
        <f>Insumos!$B125</f>
        <v/>
      </c>
      <c r="C51" s="40">
        <f>Insumos!$E125</f>
        <v/>
      </c>
      <c r="D51" s="56">
        <f>IF('3 Conteo Diario'!$S52="","",'1 Inv Inicial'!$G125+SUMIFS('2 Ingresos'!$I$6:$I$255,'2 Ingresos'!$B$6:$B$255,$A51,'2 Ingresos'!$C$6:$C$255,$B51,'2 Ingresos'!$A$6:$A$255,Config!$B$10)-'3 Conteo Diario'!$S52)</f>
        <v/>
      </c>
      <c r="E51" s="56">
        <f>IF(OR('3 Conteo Diario'!$S52="",'3 Conteo Diario'!$T52=""),"",'3 Conteo Diario'!$S52+SUMIFS('2 Ingresos'!$I$6:$I$255,'2 Ingresos'!$B$6:$B$255,$A51,'2 Ingresos'!$C$6:$C$255,$B51,'2 Ingresos'!$A$6:$A$255,Config!$B$11)-'3 Conteo Diario'!$T52)</f>
        <v/>
      </c>
      <c r="F51" s="56">
        <f>IF(OR('3 Conteo Diario'!$T52="",'3 Conteo Diario'!$U52=""),"",'3 Conteo Diario'!$T52+SUMIFS('2 Ingresos'!$I$6:$I$255,'2 Ingresos'!$B$6:$B$255,$A51,'2 Ingresos'!$C$6:$C$255,$B51,'2 Ingresos'!$A$6:$A$255,Config!$B$12)-'3 Conteo Diario'!$U52)</f>
        <v/>
      </c>
      <c r="G51" s="56">
        <f>IF(OR('3 Conteo Diario'!$U52="",'3 Conteo Diario'!$V52=""),"",'3 Conteo Diario'!$U52+SUMIFS('2 Ingresos'!$I$6:$I$255,'2 Ingresos'!$B$6:$B$255,$A51,'2 Ingresos'!$C$6:$C$255,$B51,'2 Ingresos'!$A$6:$A$255,Config!$B$13)-'3 Conteo Diario'!$V52)</f>
        <v/>
      </c>
      <c r="H51" s="56">
        <f>IF(OR('3 Conteo Diario'!$V52="",'3 Conteo Diario'!$W52=""),"",'3 Conteo Diario'!$V52+SUMIFS('2 Ingresos'!$I$6:$I$255,'2 Ingresos'!$B$6:$B$255,$A51,'2 Ingresos'!$C$6:$C$255,$B51,'2 Ingresos'!$A$6:$A$255,Config!$B$14)-'3 Conteo Diario'!$W52)</f>
        <v/>
      </c>
      <c r="I51" s="56">
        <f>IF(OR('3 Conteo Diario'!$W52="",'3 Conteo Diario'!$X52=""),"",'3 Conteo Diario'!$W52+SUMIFS('2 Ingresos'!$I$6:$I$255,'2 Ingresos'!$B$6:$B$255,$A51,'2 Ingresos'!$C$6:$C$255,$B51,'2 Ingresos'!$A$6:$A$255,Config!$B$15)-'3 Conteo Diario'!$X52)</f>
        <v/>
      </c>
      <c r="J51" s="56">
        <f>IF(OR('3 Conteo Diario'!$X52="",'3 Conteo Diario'!$Y52=""),"",'3 Conteo Diario'!$X52+SUMIFS('2 Ingresos'!$I$6:$I$255,'2 Ingresos'!$B$6:$B$255,$A51,'2 Ingresos'!$C$6:$C$255,$B51,'2 Ingresos'!$A$6:$A$255,Config!$B$16)-'3 Conteo Diario'!$Y52)</f>
        <v/>
      </c>
      <c r="K51" s="70">
        <f>IF(COUNT($D51:$J51)=0,"",SUM($D51:$J51))</f>
        <v/>
      </c>
      <c r="L51" s="69">
        <f>IF(COUNT($D51:$J51)=0,"",AVERAGE($D51:$J51))</f>
        <v/>
      </c>
      <c r="M51" s="35">
        <f>IF(COUNT($D51:$J51)=0,"",IFERROR(INDEX($D$4:$J$4,MATCH(MAX($D51:$J51),$D51:$J51,0)),""))</f>
        <v/>
      </c>
      <c r="N51" s="75">
        <f>IF(COUNT($D51:$J51)=0,"Sin conteos cargados",IF(MIN($D51:$J51)&lt;0,"Consumo negativo: ingreso sin registrar",IF(AND($L51&gt;0,MAX($D51:$J51)&gt;2*$L51),"Pico atipico el "&amp;$M51,"OK")))</f>
        <v/>
      </c>
    </row>
    <row r="52">
      <c r="A52" s="43">
        <f>Insumos!$A126</f>
        <v/>
      </c>
      <c r="B52" s="44">
        <f>Insumos!$B126</f>
        <v/>
      </c>
      <c r="C52" s="45">
        <f>Insumos!$E126</f>
        <v/>
      </c>
      <c r="D52" s="56">
        <f>IF('3 Conteo Diario'!$S53="","",'1 Inv Inicial'!$G126+SUMIFS('2 Ingresos'!$I$6:$I$255,'2 Ingresos'!$B$6:$B$255,$A52,'2 Ingresos'!$C$6:$C$255,$B52,'2 Ingresos'!$A$6:$A$255,Config!$B$10)-'3 Conteo Diario'!$S53)</f>
        <v/>
      </c>
      <c r="E52" s="56">
        <f>IF(OR('3 Conteo Diario'!$S53="",'3 Conteo Diario'!$T53=""),"",'3 Conteo Diario'!$S53+SUMIFS('2 Ingresos'!$I$6:$I$255,'2 Ingresos'!$B$6:$B$255,$A52,'2 Ingresos'!$C$6:$C$255,$B52,'2 Ingresos'!$A$6:$A$255,Config!$B$11)-'3 Conteo Diario'!$T53)</f>
        <v/>
      </c>
      <c r="F52" s="56">
        <f>IF(OR('3 Conteo Diario'!$T53="",'3 Conteo Diario'!$U53=""),"",'3 Conteo Diario'!$T53+SUMIFS('2 Ingresos'!$I$6:$I$255,'2 Ingresos'!$B$6:$B$255,$A52,'2 Ingresos'!$C$6:$C$255,$B52,'2 Ingresos'!$A$6:$A$255,Config!$B$12)-'3 Conteo Diario'!$U53)</f>
        <v/>
      </c>
      <c r="G52" s="56">
        <f>IF(OR('3 Conteo Diario'!$U53="",'3 Conteo Diario'!$V53=""),"",'3 Conteo Diario'!$U53+SUMIFS('2 Ingresos'!$I$6:$I$255,'2 Ingresos'!$B$6:$B$255,$A52,'2 Ingresos'!$C$6:$C$255,$B52,'2 Ingresos'!$A$6:$A$255,Config!$B$13)-'3 Conteo Diario'!$V53)</f>
        <v/>
      </c>
      <c r="H52" s="56">
        <f>IF(OR('3 Conteo Diario'!$V53="",'3 Conteo Diario'!$W53=""),"",'3 Conteo Diario'!$V53+SUMIFS('2 Ingresos'!$I$6:$I$255,'2 Ingresos'!$B$6:$B$255,$A52,'2 Ingresos'!$C$6:$C$255,$B52,'2 Ingresos'!$A$6:$A$255,Config!$B$14)-'3 Conteo Diario'!$W53)</f>
        <v/>
      </c>
      <c r="I52" s="56">
        <f>IF(OR('3 Conteo Diario'!$W53="",'3 Conteo Diario'!$X53=""),"",'3 Conteo Diario'!$W53+SUMIFS('2 Ingresos'!$I$6:$I$255,'2 Ingresos'!$B$6:$B$255,$A52,'2 Ingresos'!$C$6:$C$255,$B52,'2 Ingresos'!$A$6:$A$255,Config!$B$15)-'3 Conteo Diario'!$X53)</f>
        <v/>
      </c>
      <c r="J52" s="56">
        <f>IF(OR('3 Conteo Diario'!$X53="",'3 Conteo Diario'!$Y53=""),"",'3 Conteo Diario'!$X53+SUMIFS('2 Ingresos'!$I$6:$I$255,'2 Ingresos'!$B$6:$B$255,$A52,'2 Ingresos'!$C$6:$C$255,$B52,'2 Ingresos'!$A$6:$A$255,Config!$B$16)-'3 Conteo Diario'!$Y53)</f>
        <v/>
      </c>
      <c r="K52" s="70">
        <f>IF(COUNT($D52:$J52)=0,"",SUM($D52:$J52))</f>
        <v/>
      </c>
      <c r="L52" s="69">
        <f>IF(COUNT($D52:$J52)=0,"",AVERAGE($D52:$J52))</f>
        <v/>
      </c>
      <c r="M52" s="35">
        <f>IF(COUNT($D52:$J52)=0,"",IFERROR(INDEX($D$4:$J$4,MATCH(MAX($D52:$J52),$D52:$J52,0)),""))</f>
        <v/>
      </c>
      <c r="N52" s="75">
        <f>IF(COUNT($D52:$J52)=0,"Sin conteos cargados",IF(MIN($D52:$J52)&lt;0,"Consumo negativo: ingreso sin registrar",IF(AND($L52&gt;0,MAX($D52:$J52)&gt;2*$L52),"Pico atipico el "&amp;$M52,"OK")))</f>
        <v/>
      </c>
    </row>
    <row r="53">
      <c r="A53" s="38">
        <f>Insumos!$A127</f>
        <v/>
      </c>
      <c r="B53" s="39">
        <f>Insumos!$B127</f>
        <v/>
      </c>
      <c r="C53" s="40">
        <f>Insumos!$E127</f>
        <v/>
      </c>
      <c r="D53" s="56">
        <f>IF('3 Conteo Diario'!$S54="","",'1 Inv Inicial'!$G127+SUMIFS('2 Ingresos'!$I$6:$I$255,'2 Ingresos'!$B$6:$B$255,$A53,'2 Ingresos'!$C$6:$C$255,$B53,'2 Ingresos'!$A$6:$A$255,Config!$B$10)-'3 Conteo Diario'!$S54)</f>
        <v/>
      </c>
      <c r="E53" s="56">
        <f>IF(OR('3 Conteo Diario'!$S54="",'3 Conteo Diario'!$T54=""),"",'3 Conteo Diario'!$S54+SUMIFS('2 Ingresos'!$I$6:$I$255,'2 Ingresos'!$B$6:$B$255,$A53,'2 Ingresos'!$C$6:$C$255,$B53,'2 Ingresos'!$A$6:$A$255,Config!$B$11)-'3 Conteo Diario'!$T54)</f>
        <v/>
      </c>
      <c r="F53" s="56">
        <f>IF(OR('3 Conteo Diario'!$T54="",'3 Conteo Diario'!$U54=""),"",'3 Conteo Diario'!$T54+SUMIFS('2 Ingresos'!$I$6:$I$255,'2 Ingresos'!$B$6:$B$255,$A53,'2 Ingresos'!$C$6:$C$255,$B53,'2 Ingresos'!$A$6:$A$255,Config!$B$12)-'3 Conteo Diario'!$U54)</f>
        <v/>
      </c>
      <c r="G53" s="56">
        <f>IF(OR('3 Conteo Diario'!$U54="",'3 Conteo Diario'!$V54=""),"",'3 Conteo Diario'!$U54+SUMIFS('2 Ingresos'!$I$6:$I$255,'2 Ingresos'!$B$6:$B$255,$A53,'2 Ingresos'!$C$6:$C$255,$B53,'2 Ingresos'!$A$6:$A$255,Config!$B$13)-'3 Conteo Diario'!$V54)</f>
        <v/>
      </c>
      <c r="H53" s="56">
        <f>IF(OR('3 Conteo Diario'!$V54="",'3 Conteo Diario'!$W54=""),"",'3 Conteo Diario'!$V54+SUMIFS('2 Ingresos'!$I$6:$I$255,'2 Ingresos'!$B$6:$B$255,$A53,'2 Ingresos'!$C$6:$C$255,$B53,'2 Ingresos'!$A$6:$A$255,Config!$B$14)-'3 Conteo Diario'!$W54)</f>
        <v/>
      </c>
      <c r="I53" s="56">
        <f>IF(OR('3 Conteo Diario'!$W54="",'3 Conteo Diario'!$X54=""),"",'3 Conteo Diario'!$W54+SUMIFS('2 Ingresos'!$I$6:$I$255,'2 Ingresos'!$B$6:$B$255,$A53,'2 Ingresos'!$C$6:$C$255,$B53,'2 Ingresos'!$A$6:$A$255,Config!$B$15)-'3 Conteo Diario'!$X54)</f>
        <v/>
      </c>
      <c r="J53" s="56">
        <f>IF(OR('3 Conteo Diario'!$X54="",'3 Conteo Diario'!$Y54=""),"",'3 Conteo Diario'!$X54+SUMIFS('2 Ingresos'!$I$6:$I$255,'2 Ingresos'!$B$6:$B$255,$A53,'2 Ingresos'!$C$6:$C$255,$B53,'2 Ingresos'!$A$6:$A$255,Config!$B$16)-'3 Conteo Diario'!$Y54)</f>
        <v/>
      </c>
      <c r="K53" s="70">
        <f>IF(COUNT($D53:$J53)=0,"",SUM($D53:$J53))</f>
        <v/>
      </c>
      <c r="L53" s="69">
        <f>IF(COUNT($D53:$J53)=0,"",AVERAGE($D53:$J53))</f>
        <v/>
      </c>
      <c r="M53" s="35">
        <f>IF(COUNT($D53:$J53)=0,"",IFERROR(INDEX($D$4:$J$4,MATCH(MAX($D53:$J53),$D53:$J53,0)),""))</f>
        <v/>
      </c>
      <c r="N53" s="75">
        <f>IF(COUNT($D53:$J53)=0,"Sin conteos cargados",IF(MIN($D53:$J53)&lt;0,"Consumo negativo: ingreso sin registrar",IF(AND($L53&gt;0,MAX($D53:$J53)&gt;2*$L53),"Pico atipico el "&amp;$M53,"OK")))</f>
        <v/>
      </c>
    </row>
    <row r="54">
      <c r="A54" s="43">
        <f>Insumos!$A137</f>
        <v/>
      </c>
      <c r="B54" s="44">
        <f>Insumos!$B137</f>
        <v/>
      </c>
      <c r="C54" s="45">
        <f>Insumos!$E137</f>
        <v/>
      </c>
      <c r="D54" s="56">
        <f>IF('3 Conteo Diario'!$S55="","",'1 Inv Inicial'!$G137+SUMIFS('2 Ingresos'!$I$6:$I$255,'2 Ingresos'!$B$6:$B$255,$A54,'2 Ingresos'!$C$6:$C$255,$B54,'2 Ingresos'!$A$6:$A$255,Config!$B$10)-'3 Conteo Diario'!$S55)</f>
        <v/>
      </c>
      <c r="E54" s="56">
        <f>IF(OR('3 Conteo Diario'!$S55="",'3 Conteo Diario'!$T55=""),"",'3 Conteo Diario'!$S55+SUMIFS('2 Ingresos'!$I$6:$I$255,'2 Ingresos'!$B$6:$B$255,$A54,'2 Ingresos'!$C$6:$C$255,$B54,'2 Ingresos'!$A$6:$A$255,Config!$B$11)-'3 Conteo Diario'!$T55)</f>
        <v/>
      </c>
      <c r="F54" s="56">
        <f>IF(OR('3 Conteo Diario'!$T55="",'3 Conteo Diario'!$U55=""),"",'3 Conteo Diario'!$T55+SUMIFS('2 Ingresos'!$I$6:$I$255,'2 Ingresos'!$B$6:$B$255,$A54,'2 Ingresos'!$C$6:$C$255,$B54,'2 Ingresos'!$A$6:$A$255,Config!$B$12)-'3 Conteo Diario'!$U55)</f>
        <v/>
      </c>
      <c r="G54" s="56">
        <f>IF(OR('3 Conteo Diario'!$U55="",'3 Conteo Diario'!$V55=""),"",'3 Conteo Diario'!$U55+SUMIFS('2 Ingresos'!$I$6:$I$255,'2 Ingresos'!$B$6:$B$255,$A54,'2 Ingresos'!$C$6:$C$255,$B54,'2 Ingresos'!$A$6:$A$255,Config!$B$13)-'3 Conteo Diario'!$V55)</f>
        <v/>
      </c>
      <c r="H54" s="56">
        <f>IF(OR('3 Conteo Diario'!$V55="",'3 Conteo Diario'!$W55=""),"",'3 Conteo Diario'!$V55+SUMIFS('2 Ingresos'!$I$6:$I$255,'2 Ingresos'!$B$6:$B$255,$A54,'2 Ingresos'!$C$6:$C$255,$B54,'2 Ingresos'!$A$6:$A$255,Config!$B$14)-'3 Conteo Diario'!$W55)</f>
        <v/>
      </c>
      <c r="I54" s="56">
        <f>IF(OR('3 Conteo Diario'!$W55="",'3 Conteo Diario'!$X55=""),"",'3 Conteo Diario'!$W55+SUMIFS('2 Ingresos'!$I$6:$I$255,'2 Ingresos'!$B$6:$B$255,$A54,'2 Ingresos'!$C$6:$C$255,$B54,'2 Ingresos'!$A$6:$A$255,Config!$B$15)-'3 Conteo Diario'!$X55)</f>
        <v/>
      </c>
      <c r="J54" s="56">
        <f>IF(OR('3 Conteo Diario'!$X55="",'3 Conteo Diario'!$Y55=""),"",'3 Conteo Diario'!$X55+SUMIFS('2 Ingresos'!$I$6:$I$255,'2 Ingresos'!$B$6:$B$255,$A54,'2 Ingresos'!$C$6:$C$255,$B54,'2 Ingresos'!$A$6:$A$255,Config!$B$16)-'3 Conteo Diario'!$Y55)</f>
        <v/>
      </c>
      <c r="K54" s="70">
        <f>IF(COUNT($D54:$J54)=0,"",SUM($D54:$J54))</f>
        <v/>
      </c>
      <c r="L54" s="69">
        <f>IF(COUNT($D54:$J54)=0,"",AVERAGE($D54:$J54))</f>
        <v/>
      </c>
      <c r="M54" s="35">
        <f>IF(COUNT($D54:$J54)=0,"",IFERROR(INDEX($D$4:$J$4,MATCH(MAX($D54:$J54),$D54:$J54,0)),""))</f>
        <v/>
      </c>
      <c r="N54" s="75">
        <f>IF(COUNT($D54:$J54)=0,"Sin conteos cargados",IF(MIN($D54:$J54)&lt;0,"Consumo negativo: ingreso sin registrar",IF(AND($L54&gt;0,MAX($D54:$J54)&gt;2*$L54),"Pico atipico el "&amp;$M54,"OK")))</f>
        <v/>
      </c>
    </row>
    <row r="55">
      <c r="A55" s="38">
        <f>Insumos!$A138</f>
        <v/>
      </c>
      <c r="B55" s="39">
        <f>Insumos!$B138</f>
        <v/>
      </c>
      <c r="C55" s="40">
        <f>Insumos!$E138</f>
        <v/>
      </c>
      <c r="D55" s="56">
        <f>IF('3 Conteo Diario'!$S56="","",'1 Inv Inicial'!$G138+SUMIFS('2 Ingresos'!$I$6:$I$255,'2 Ingresos'!$B$6:$B$255,$A55,'2 Ingresos'!$C$6:$C$255,$B55,'2 Ingresos'!$A$6:$A$255,Config!$B$10)-'3 Conteo Diario'!$S56)</f>
        <v/>
      </c>
      <c r="E55" s="56">
        <f>IF(OR('3 Conteo Diario'!$S56="",'3 Conteo Diario'!$T56=""),"",'3 Conteo Diario'!$S56+SUMIFS('2 Ingresos'!$I$6:$I$255,'2 Ingresos'!$B$6:$B$255,$A55,'2 Ingresos'!$C$6:$C$255,$B55,'2 Ingresos'!$A$6:$A$255,Config!$B$11)-'3 Conteo Diario'!$T56)</f>
        <v/>
      </c>
      <c r="F55" s="56">
        <f>IF(OR('3 Conteo Diario'!$T56="",'3 Conteo Diario'!$U56=""),"",'3 Conteo Diario'!$T56+SUMIFS('2 Ingresos'!$I$6:$I$255,'2 Ingresos'!$B$6:$B$255,$A55,'2 Ingresos'!$C$6:$C$255,$B55,'2 Ingresos'!$A$6:$A$255,Config!$B$12)-'3 Conteo Diario'!$U56)</f>
        <v/>
      </c>
      <c r="G55" s="56">
        <f>IF(OR('3 Conteo Diario'!$U56="",'3 Conteo Diario'!$V56=""),"",'3 Conteo Diario'!$U56+SUMIFS('2 Ingresos'!$I$6:$I$255,'2 Ingresos'!$B$6:$B$255,$A55,'2 Ingresos'!$C$6:$C$255,$B55,'2 Ingresos'!$A$6:$A$255,Config!$B$13)-'3 Conteo Diario'!$V56)</f>
        <v/>
      </c>
      <c r="H55" s="56">
        <f>IF(OR('3 Conteo Diario'!$V56="",'3 Conteo Diario'!$W56=""),"",'3 Conteo Diario'!$V56+SUMIFS('2 Ingresos'!$I$6:$I$255,'2 Ingresos'!$B$6:$B$255,$A55,'2 Ingresos'!$C$6:$C$255,$B55,'2 Ingresos'!$A$6:$A$255,Config!$B$14)-'3 Conteo Diario'!$W56)</f>
        <v/>
      </c>
      <c r="I55" s="56">
        <f>IF(OR('3 Conteo Diario'!$W56="",'3 Conteo Diario'!$X56=""),"",'3 Conteo Diario'!$W56+SUMIFS('2 Ingresos'!$I$6:$I$255,'2 Ingresos'!$B$6:$B$255,$A55,'2 Ingresos'!$C$6:$C$255,$B55,'2 Ingresos'!$A$6:$A$255,Config!$B$15)-'3 Conteo Diario'!$X56)</f>
        <v/>
      </c>
      <c r="J55" s="56">
        <f>IF(OR('3 Conteo Diario'!$X56="",'3 Conteo Diario'!$Y56=""),"",'3 Conteo Diario'!$X56+SUMIFS('2 Ingresos'!$I$6:$I$255,'2 Ingresos'!$B$6:$B$255,$A55,'2 Ingresos'!$C$6:$C$255,$B55,'2 Ingresos'!$A$6:$A$255,Config!$B$16)-'3 Conteo Diario'!$Y56)</f>
        <v/>
      </c>
      <c r="K55" s="70">
        <f>IF(COUNT($D55:$J55)=0,"",SUM($D55:$J55))</f>
        <v/>
      </c>
      <c r="L55" s="69">
        <f>IF(COUNT($D55:$J55)=0,"",AVERAGE($D55:$J55))</f>
        <v/>
      </c>
      <c r="M55" s="35">
        <f>IF(COUNT($D55:$J55)=0,"",IFERROR(INDEX($D$4:$J$4,MATCH(MAX($D55:$J55),$D55:$J55,0)),""))</f>
        <v/>
      </c>
      <c r="N55" s="75">
        <f>IF(COUNT($D55:$J55)=0,"Sin conteos cargados",IF(MIN($D55:$J55)&lt;0,"Consumo negativo: ingreso sin registrar",IF(AND($L55&gt;0,MAX($D55:$J55)&gt;2*$L55),"Pico atipico el "&amp;$M55,"OK")))</f>
        <v/>
      </c>
    </row>
    <row r="56">
      <c r="A56" s="43">
        <f>Insumos!$A139</f>
        <v/>
      </c>
      <c r="B56" s="44">
        <f>Insumos!$B139</f>
        <v/>
      </c>
      <c r="C56" s="45">
        <f>Insumos!$E139</f>
        <v/>
      </c>
      <c r="D56" s="56">
        <f>IF('3 Conteo Diario'!$S57="","",'1 Inv Inicial'!$G139+SUMIFS('2 Ingresos'!$I$6:$I$255,'2 Ingresos'!$B$6:$B$255,$A56,'2 Ingresos'!$C$6:$C$255,$B56,'2 Ingresos'!$A$6:$A$255,Config!$B$10)-'3 Conteo Diario'!$S57)</f>
        <v/>
      </c>
      <c r="E56" s="56">
        <f>IF(OR('3 Conteo Diario'!$S57="",'3 Conteo Diario'!$T57=""),"",'3 Conteo Diario'!$S57+SUMIFS('2 Ingresos'!$I$6:$I$255,'2 Ingresos'!$B$6:$B$255,$A56,'2 Ingresos'!$C$6:$C$255,$B56,'2 Ingresos'!$A$6:$A$255,Config!$B$11)-'3 Conteo Diario'!$T57)</f>
        <v/>
      </c>
      <c r="F56" s="56">
        <f>IF(OR('3 Conteo Diario'!$T57="",'3 Conteo Diario'!$U57=""),"",'3 Conteo Diario'!$T57+SUMIFS('2 Ingresos'!$I$6:$I$255,'2 Ingresos'!$B$6:$B$255,$A56,'2 Ingresos'!$C$6:$C$255,$B56,'2 Ingresos'!$A$6:$A$255,Config!$B$12)-'3 Conteo Diario'!$U57)</f>
        <v/>
      </c>
      <c r="G56" s="56">
        <f>IF(OR('3 Conteo Diario'!$U57="",'3 Conteo Diario'!$V57=""),"",'3 Conteo Diario'!$U57+SUMIFS('2 Ingresos'!$I$6:$I$255,'2 Ingresos'!$B$6:$B$255,$A56,'2 Ingresos'!$C$6:$C$255,$B56,'2 Ingresos'!$A$6:$A$255,Config!$B$13)-'3 Conteo Diario'!$V57)</f>
        <v/>
      </c>
      <c r="H56" s="56">
        <f>IF(OR('3 Conteo Diario'!$V57="",'3 Conteo Diario'!$W57=""),"",'3 Conteo Diario'!$V57+SUMIFS('2 Ingresos'!$I$6:$I$255,'2 Ingresos'!$B$6:$B$255,$A56,'2 Ingresos'!$C$6:$C$255,$B56,'2 Ingresos'!$A$6:$A$255,Config!$B$14)-'3 Conteo Diario'!$W57)</f>
        <v/>
      </c>
      <c r="I56" s="56">
        <f>IF(OR('3 Conteo Diario'!$W57="",'3 Conteo Diario'!$X57=""),"",'3 Conteo Diario'!$W57+SUMIFS('2 Ingresos'!$I$6:$I$255,'2 Ingresos'!$B$6:$B$255,$A56,'2 Ingresos'!$C$6:$C$255,$B56,'2 Ingresos'!$A$6:$A$255,Config!$B$15)-'3 Conteo Diario'!$X57)</f>
        <v/>
      </c>
      <c r="J56" s="56">
        <f>IF(OR('3 Conteo Diario'!$X57="",'3 Conteo Diario'!$Y57=""),"",'3 Conteo Diario'!$X57+SUMIFS('2 Ingresos'!$I$6:$I$255,'2 Ingresos'!$B$6:$B$255,$A56,'2 Ingresos'!$C$6:$C$255,$B56,'2 Ingresos'!$A$6:$A$255,Config!$B$16)-'3 Conteo Diario'!$Y57)</f>
        <v/>
      </c>
      <c r="K56" s="70">
        <f>IF(COUNT($D56:$J56)=0,"",SUM($D56:$J56))</f>
        <v/>
      </c>
      <c r="L56" s="69">
        <f>IF(COUNT($D56:$J56)=0,"",AVERAGE($D56:$J56))</f>
        <v/>
      </c>
      <c r="M56" s="35">
        <f>IF(COUNT($D56:$J56)=0,"",IFERROR(INDEX($D$4:$J$4,MATCH(MAX($D56:$J56),$D56:$J56,0)),""))</f>
        <v/>
      </c>
      <c r="N56" s="75">
        <f>IF(COUNT($D56:$J56)=0,"Sin conteos cargados",IF(MIN($D56:$J56)&lt;0,"Consumo negativo: ingreso sin registrar",IF(AND($L56&gt;0,MAX($D56:$J56)&gt;2*$L56),"Pico atipico el "&amp;$M56,"OK")))</f>
        <v/>
      </c>
    </row>
    <row r="57">
      <c r="A57" s="38">
        <f>Insumos!$A140</f>
        <v/>
      </c>
      <c r="B57" s="39">
        <f>Insumos!$B140</f>
        <v/>
      </c>
      <c r="C57" s="40">
        <f>Insumos!$E140</f>
        <v/>
      </c>
      <c r="D57" s="56">
        <f>IF('3 Conteo Diario'!$S58="","",'1 Inv Inicial'!$G140+SUMIFS('2 Ingresos'!$I$6:$I$255,'2 Ingresos'!$B$6:$B$255,$A57,'2 Ingresos'!$C$6:$C$255,$B57,'2 Ingresos'!$A$6:$A$255,Config!$B$10)-'3 Conteo Diario'!$S58)</f>
        <v/>
      </c>
      <c r="E57" s="56">
        <f>IF(OR('3 Conteo Diario'!$S58="",'3 Conteo Diario'!$T58=""),"",'3 Conteo Diario'!$S58+SUMIFS('2 Ingresos'!$I$6:$I$255,'2 Ingresos'!$B$6:$B$255,$A57,'2 Ingresos'!$C$6:$C$255,$B57,'2 Ingresos'!$A$6:$A$255,Config!$B$11)-'3 Conteo Diario'!$T58)</f>
        <v/>
      </c>
      <c r="F57" s="56">
        <f>IF(OR('3 Conteo Diario'!$T58="",'3 Conteo Diario'!$U58=""),"",'3 Conteo Diario'!$T58+SUMIFS('2 Ingresos'!$I$6:$I$255,'2 Ingresos'!$B$6:$B$255,$A57,'2 Ingresos'!$C$6:$C$255,$B57,'2 Ingresos'!$A$6:$A$255,Config!$B$12)-'3 Conteo Diario'!$U58)</f>
        <v/>
      </c>
      <c r="G57" s="56">
        <f>IF(OR('3 Conteo Diario'!$U58="",'3 Conteo Diario'!$V58=""),"",'3 Conteo Diario'!$U58+SUMIFS('2 Ingresos'!$I$6:$I$255,'2 Ingresos'!$B$6:$B$255,$A57,'2 Ingresos'!$C$6:$C$255,$B57,'2 Ingresos'!$A$6:$A$255,Config!$B$13)-'3 Conteo Diario'!$V58)</f>
        <v/>
      </c>
      <c r="H57" s="56">
        <f>IF(OR('3 Conteo Diario'!$V58="",'3 Conteo Diario'!$W58=""),"",'3 Conteo Diario'!$V58+SUMIFS('2 Ingresos'!$I$6:$I$255,'2 Ingresos'!$B$6:$B$255,$A57,'2 Ingresos'!$C$6:$C$255,$B57,'2 Ingresos'!$A$6:$A$255,Config!$B$14)-'3 Conteo Diario'!$W58)</f>
        <v/>
      </c>
      <c r="I57" s="56">
        <f>IF(OR('3 Conteo Diario'!$W58="",'3 Conteo Diario'!$X58=""),"",'3 Conteo Diario'!$W58+SUMIFS('2 Ingresos'!$I$6:$I$255,'2 Ingresos'!$B$6:$B$255,$A57,'2 Ingresos'!$C$6:$C$255,$B57,'2 Ingresos'!$A$6:$A$255,Config!$B$15)-'3 Conteo Diario'!$X58)</f>
        <v/>
      </c>
      <c r="J57" s="56">
        <f>IF(OR('3 Conteo Diario'!$X58="",'3 Conteo Diario'!$Y58=""),"",'3 Conteo Diario'!$X58+SUMIFS('2 Ingresos'!$I$6:$I$255,'2 Ingresos'!$B$6:$B$255,$A57,'2 Ingresos'!$C$6:$C$255,$B57,'2 Ingresos'!$A$6:$A$255,Config!$B$16)-'3 Conteo Diario'!$Y58)</f>
        <v/>
      </c>
      <c r="K57" s="70">
        <f>IF(COUNT($D57:$J57)=0,"",SUM($D57:$J57))</f>
        <v/>
      </c>
      <c r="L57" s="69">
        <f>IF(COUNT($D57:$J57)=0,"",AVERAGE($D57:$J57))</f>
        <v/>
      </c>
      <c r="M57" s="35">
        <f>IF(COUNT($D57:$J57)=0,"",IFERROR(INDEX($D$4:$J$4,MATCH(MAX($D57:$J57),$D57:$J57,0)),""))</f>
        <v/>
      </c>
      <c r="N57" s="75">
        <f>IF(COUNT($D57:$J57)=0,"Sin conteos cargados",IF(MIN($D57:$J57)&lt;0,"Consumo negativo: ingreso sin registrar",IF(AND($L57&gt;0,MAX($D57:$J57)&gt;2*$L57),"Pico atipico el "&amp;$M57,"OK")))</f>
        <v/>
      </c>
    </row>
    <row r="58">
      <c r="A58" s="43">
        <f>Insumos!$A142</f>
        <v/>
      </c>
      <c r="B58" s="44">
        <f>Insumos!$B142</f>
        <v/>
      </c>
      <c r="C58" s="45">
        <f>Insumos!$E142</f>
        <v/>
      </c>
      <c r="D58" s="56">
        <f>IF('3 Conteo Diario'!$S59="","",'1 Inv Inicial'!$G142+SUMIFS('2 Ingresos'!$I$6:$I$255,'2 Ingresos'!$B$6:$B$255,$A58,'2 Ingresos'!$C$6:$C$255,$B58,'2 Ingresos'!$A$6:$A$255,Config!$B$10)-'3 Conteo Diario'!$S59)</f>
        <v/>
      </c>
      <c r="E58" s="56">
        <f>IF(OR('3 Conteo Diario'!$S59="",'3 Conteo Diario'!$T59=""),"",'3 Conteo Diario'!$S59+SUMIFS('2 Ingresos'!$I$6:$I$255,'2 Ingresos'!$B$6:$B$255,$A58,'2 Ingresos'!$C$6:$C$255,$B58,'2 Ingresos'!$A$6:$A$255,Config!$B$11)-'3 Conteo Diario'!$T59)</f>
        <v/>
      </c>
      <c r="F58" s="56">
        <f>IF(OR('3 Conteo Diario'!$T59="",'3 Conteo Diario'!$U59=""),"",'3 Conteo Diario'!$T59+SUMIFS('2 Ingresos'!$I$6:$I$255,'2 Ingresos'!$B$6:$B$255,$A58,'2 Ingresos'!$C$6:$C$255,$B58,'2 Ingresos'!$A$6:$A$255,Config!$B$12)-'3 Conteo Diario'!$U59)</f>
        <v/>
      </c>
      <c r="G58" s="56">
        <f>IF(OR('3 Conteo Diario'!$U59="",'3 Conteo Diario'!$V59=""),"",'3 Conteo Diario'!$U59+SUMIFS('2 Ingresos'!$I$6:$I$255,'2 Ingresos'!$B$6:$B$255,$A58,'2 Ingresos'!$C$6:$C$255,$B58,'2 Ingresos'!$A$6:$A$255,Config!$B$13)-'3 Conteo Diario'!$V59)</f>
        <v/>
      </c>
      <c r="H58" s="56">
        <f>IF(OR('3 Conteo Diario'!$V59="",'3 Conteo Diario'!$W59=""),"",'3 Conteo Diario'!$V59+SUMIFS('2 Ingresos'!$I$6:$I$255,'2 Ingresos'!$B$6:$B$255,$A58,'2 Ingresos'!$C$6:$C$255,$B58,'2 Ingresos'!$A$6:$A$255,Config!$B$14)-'3 Conteo Diario'!$W59)</f>
        <v/>
      </c>
      <c r="I58" s="56">
        <f>IF(OR('3 Conteo Diario'!$W59="",'3 Conteo Diario'!$X59=""),"",'3 Conteo Diario'!$W59+SUMIFS('2 Ingresos'!$I$6:$I$255,'2 Ingresos'!$B$6:$B$255,$A58,'2 Ingresos'!$C$6:$C$255,$B58,'2 Ingresos'!$A$6:$A$255,Config!$B$15)-'3 Conteo Diario'!$X59)</f>
        <v/>
      </c>
      <c r="J58" s="56">
        <f>IF(OR('3 Conteo Diario'!$X59="",'3 Conteo Diario'!$Y59=""),"",'3 Conteo Diario'!$X59+SUMIFS('2 Ingresos'!$I$6:$I$255,'2 Ingresos'!$B$6:$B$255,$A58,'2 Ingresos'!$C$6:$C$255,$B58,'2 Ingresos'!$A$6:$A$255,Config!$B$16)-'3 Conteo Diario'!$Y59)</f>
        <v/>
      </c>
      <c r="K58" s="70">
        <f>IF(COUNT($D58:$J58)=0,"",SUM($D58:$J58))</f>
        <v/>
      </c>
      <c r="L58" s="69">
        <f>IF(COUNT($D58:$J58)=0,"",AVERAGE($D58:$J58))</f>
        <v/>
      </c>
      <c r="M58" s="35">
        <f>IF(COUNT($D58:$J58)=0,"",IFERROR(INDEX($D$4:$J$4,MATCH(MAX($D58:$J58),$D58:$J58,0)),""))</f>
        <v/>
      </c>
      <c r="N58" s="75">
        <f>IF(COUNT($D58:$J58)=0,"Sin conteos cargados",IF(MIN($D58:$J58)&lt;0,"Consumo negativo: ingreso sin registrar",IF(AND($L58&gt;0,MAX($D58:$J58)&gt;2*$L58),"Pico atipico el "&amp;$M58,"OK")))</f>
        <v/>
      </c>
    </row>
    <row r="59">
      <c r="A59" s="38">
        <f>Insumos!$A143</f>
        <v/>
      </c>
      <c r="B59" s="39">
        <f>Insumos!$B143</f>
        <v/>
      </c>
      <c r="C59" s="40">
        <f>Insumos!$E143</f>
        <v/>
      </c>
      <c r="D59" s="56">
        <f>IF('3 Conteo Diario'!$S60="","",'1 Inv Inicial'!$G143+SUMIFS('2 Ingresos'!$I$6:$I$255,'2 Ingresos'!$B$6:$B$255,$A59,'2 Ingresos'!$C$6:$C$255,$B59,'2 Ingresos'!$A$6:$A$255,Config!$B$10)-'3 Conteo Diario'!$S60)</f>
        <v/>
      </c>
      <c r="E59" s="56">
        <f>IF(OR('3 Conteo Diario'!$S60="",'3 Conteo Diario'!$T60=""),"",'3 Conteo Diario'!$S60+SUMIFS('2 Ingresos'!$I$6:$I$255,'2 Ingresos'!$B$6:$B$255,$A59,'2 Ingresos'!$C$6:$C$255,$B59,'2 Ingresos'!$A$6:$A$255,Config!$B$11)-'3 Conteo Diario'!$T60)</f>
        <v/>
      </c>
      <c r="F59" s="56">
        <f>IF(OR('3 Conteo Diario'!$T60="",'3 Conteo Diario'!$U60=""),"",'3 Conteo Diario'!$T60+SUMIFS('2 Ingresos'!$I$6:$I$255,'2 Ingresos'!$B$6:$B$255,$A59,'2 Ingresos'!$C$6:$C$255,$B59,'2 Ingresos'!$A$6:$A$255,Config!$B$12)-'3 Conteo Diario'!$U60)</f>
        <v/>
      </c>
      <c r="G59" s="56">
        <f>IF(OR('3 Conteo Diario'!$U60="",'3 Conteo Diario'!$V60=""),"",'3 Conteo Diario'!$U60+SUMIFS('2 Ingresos'!$I$6:$I$255,'2 Ingresos'!$B$6:$B$255,$A59,'2 Ingresos'!$C$6:$C$255,$B59,'2 Ingresos'!$A$6:$A$255,Config!$B$13)-'3 Conteo Diario'!$V60)</f>
        <v/>
      </c>
      <c r="H59" s="56">
        <f>IF(OR('3 Conteo Diario'!$V60="",'3 Conteo Diario'!$W60=""),"",'3 Conteo Diario'!$V60+SUMIFS('2 Ingresos'!$I$6:$I$255,'2 Ingresos'!$B$6:$B$255,$A59,'2 Ingresos'!$C$6:$C$255,$B59,'2 Ingresos'!$A$6:$A$255,Config!$B$14)-'3 Conteo Diario'!$W60)</f>
        <v/>
      </c>
      <c r="I59" s="56">
        <f>IF(OR('3 Conteo Diario'!$W60="",'3 Conteo Diario'!$X60=""),"",'3 Conteo Diario'!$W60+SUMIFS('2 Ingresos'!$I$6:$I$255,'2 Ingresos'!$B$6:$B$255,$A59,'2 Ingresos'!$C$6:$C$255,$B59,'2 Ingresos'!$A$6:$A$255,Config!$B$15)-'3 Conteo Diario'!$X60)</f>
        <v/>
      </c>
      <c r="J59" s="56">
        <f>IF(OR('3 Conteo Diario'!$X60="",'3 Conteo Diario'!$Y60=""),"",'3 Conteo Diario'!$X60+SUMIFS('2 Ingresos'!$I$6:$I$255,'2 Ingresos'!$B$6:$B$255,$A59,'2 Ingresos'!$C$6:$C$255,$B59,'2 Ingresos'!$A$6:$A$255,Config!$B$16)-'3 Conteo Diario'!$Y60)</f>
        <v/>
      </c>
      <c r="K59" s="70">
        <f>IF(COUNT($D59:$J59)=0,"",SUM($D59:$J59))</f>
        <v/>
      </c>
      <c r="L59" s="69">
        <f>IF(COUNT($D59:$J59)=0,"",AVERAGE($D59:$J59))</f>
        <v/>
      </c>
      <c r="M59" s="35">
        <f>IF(COUNT($D59:$J59)=0,"",IFERROR(INDEX($D$4:$J$4,MATCH(MAX($D59:$J59),$D59:$J59,0)),""))</f>
        <v/>
      </c>
      <c r="N59" s="75">
        <f>IF(COUNT($D59:$J59)=0,"Sin conteos cargados",IF(MIN($D59:$J59)&lt;0,"Consumo negativo: ingreso sin registrar",IF(AND($L59&gt;0,MAX($D59:$J59)&gt;2*$L59),"Pico atipico el "&amp;$M59,"OK")))</f>
        <v/>
      </c>
    </row>
    <row r="60">
      <c r="A60" s="43">
        <f>Insumos!$A144</f>
        <v/>
      </c>
      <c r="B60" s="44">
        <f>Insumos!$B144</f>
        <v/>
      </c>
      <c r="C60" s="45">
        <f>Insumos!$E144</f>
        <v/>
      </c>
      <c r="D60" s="56">
        <f>IF('3 Conteo Diario'!$S61="","",'1 Inv Inicial'!$G144+SUMIFS('2 Ingresos'!$I$6:$I$255,'2 Ingresos'!$B$6:$B$255,$A60,'2 Ingresos'!$C$6:$C$255,$B60,'2 Ingresos'!$A$6:$A$255,Config!$B$10)-'3 Conteo Diario'!$S61)</f>
        <v/>
      </c>
      <c r="E60" s="56">
        <f>IF(OR('3 Conteo Diario'!$S61="",'3 Conteo Diario'!$T61=""),"",'3 Conteo Diario'!$S61+SUMIFS('2 Ingresos'!$I$6:$I$255,'2 Ingresos'!$B$6:$B$255,$A60,'2 Ingresos'!$C$6:$C$255,$B60,'2 Ingresos'!$A$6:$A$255,Config!$B$11)-'3 Conteo Diario'!$T61)</f>
        <v/>
      </c>
      <c r="F60" s="56">
        <f>IF(OR('3 Conteo Diario'!$T61="",'3 Conteo Diario'!$U61=""),"",'3 Conteo Diario'!$T61+SUMIFS('2 Ingresos'!$I$6:$I$255,'2 Ingresos'!$B$6:$B$255,$A60,'2 Ingresos'!$C$6:$C$255,$B60,'2 Ingresos'!$A$6:$A$255,Config!$B$12)-'3 Conteo Diario'!$U61)</f>
        <v/>
      </c>
      <c r="G60" s="56">
        <f>IF(OR('3 Conteo Diario'!$U61="",'3 Conteo Diario'!$V61=""),"",'3 Conteo Diario'!$U61+SUMIFS('2 Ingresos'!$I$6:$I$255,'2 Ingresos'!$B$6:$B$255,$A60,'2 Ingresos'!$C$6:$C$255,$B60,'2 Ingresos'!$A$6:$A$255,Config!$B$13)-'3 Conteo Diario'!$V61)</f>
        <v/>
      </c>
      <c r="H60" s="56">
        <f>IF(OR('3 Conteo Diario'!$V61="",'3 Conteo Diario'!$W61=""),"",'3 Conteo Diario'!$V61+SUMIFS('2 Ingresos'!$I$6:$I$255,'2 Ingresos'!$B$6:$B$255,$A60,'2 Ingresos'!$C$6:$C$255,$B60,'2 Ingresos'!$A$6:$A$255,Config!$B$14)-'3 Conteo Diario'!$W61)</f>
        <v/>
      </c>
      <c r="I60" s="56">
        <f>IF(OR('3 Conteo Diario'!$W61="",'3 Conteo Diario'!$X61=""),"",'3 Conteo Diario'!$W61+SUMIFS('2 Ingresos'!$I$6:$I$255,'2 Ingresos'!$B$6:$B$255,$A60,'2 Ingresos'!$C$6:$C$255,$B60,'2 Ingresos'!$A$6:$A$255,Config!$B$15)-'3 Conteo Diario'!$X61)</f>
        <v/>
      </c>
      <c r="J60" s="56">
        <f>IF(OR('3 Conteo Diario'!$X61="",'3 Conteo Diario'!$Y61=""),"",'3 Conteo Diario'!$X61+SUMIFS('2 Ingresos'!$I$6:$I$255,'2 Ingresos'!$B$6:$B$255,$A60,'2 Ingresos'!$C$6:$C$255,$B60,'2 Ingresos'!$A$6:$A$255,Config!$B$16)-'3 Conteo Diario'!$Y61)</f>
        <v/>
      </c>
      <c r="K60" s="70">
        <f>IF(COUNT($D60:$J60)=0,"",SUM($D60:$J60))</f>
        <v/>
      </c>
      <c r="L60" s="69">
        <f>IF(COUNT($D60:$J60)=0,"",AVERAGE($D60:$J60))</f>
        <v/>
      </c>
      <c r="M60" s="35">
        <f>IF(COUNT($D60:$J60)=0,"",IFERROR(INDEX($D$4:$J$4,MATCH(MAX($D60:$J60),$D60:$J60,0)),""))</f>
        <v/>
      </c>
      <c r="N60" s="75">
        <f>IF(COUNT($D60:$J60)=0,"Sin conteos cargados",IF(MIN($D60:$J60)&lt;0,"Consumo negativo: ingreso sin registrar",IF(AND($L60&gt;0,MAX($D60:$J60)&gt;2*$L60),"Pico atipico el "&amp;$M60,"OK")))</f>
        <v/>
      </c>
    </row>
    <row r="61">
      <c r="A61" s="38">
        <f>Insumos!$A145</f>
        <v/>
      </c>
      <c r="B61" s="39">
        <f>Insumos!$B145</f>
        <v/>
      </c>
      <c r="C61" s="40">
        <f>Insumos!$E145</f>
        <v/>
      </c>
      <c r="D61" s="56">
        <f>IF('3 Conteo Diario'!$S62="","",'1 Inv Inicial'!$G145+SUMIFS('2 Ingresos'!$I$6:$I$255,'2 Ingresos'!$B$6:$B$255,$A61,'2 Ingresos'!$C$6:$C$255,$B61,'2 Ingresos'!$A$6:$A$255,Config!$B$10)-'3 Conteo Diario'!$S62)</f>
        <v/>
      </c>
      <c r="E61" s="56">
        <f>IF(OR('3 Conteo Diario'!$S62="",'3 Conteo Diario'!$T62=""),"",'3 Conteo Diario'!$S62+SUMIFS('2 Ingresos'!$I$6:$I$255,'2 Ingresos'!$B$6:$B$255,$A61,'2 Ingresos'!$C$6:$C$255,$B61,'2 Ingresos'!$A$6:$A$255,Config!$B$11)-'3 Conteo Diario'!$T62)</f>
        <v/>
      </c>
      <c r="F61" s="56">
        <f>IF(OR('3 Conteo Diario'!$T62="",'3 Conteo Diario'!$U62=""),"",'3 Conteo Diario'!$T62+SUMIFS('2 Ingresos'!$I$6:$I$255,'2 Ingresos'!$B$6:$B$255,$A61,'2 Ingresos'!$C$6:$C$255,$B61,'2 Ingresos'!$A$6:$A$255,Config!$B$12)-'3 Conteo Diario'!$U62)</f>
        <v/>
      </c>
      <c r="G61" s="56">
        <f>IF(OR('3 Conteo Diario'!$U62="",'3 Conteo Diario'!$V62=""),"",'3 Conteo Diario'!$U62+SUMIFS('2 Ingresos'!$I$6:$I$255,'2 Ingresos'!$B$6:$B$255,$A61,'2 Ingresos'!$C$6:$C$255,$B61,'2 Ingresos'!$A$6:$A$255,Config!$B$13)-'3 Conteo Diario'!$V62)</f>
        <v/>
      </c>
      <c r="H61" s="56">
        <f>IF(OR('3 Conteo Diario'!$V62="",'3 Conteo Diario'!$W62=""),"",'3 Conteo Diario'!$V62+SUMIFS('2 Ingresos'!$I$6:$I$255,'2 Ingresos'!$B$6:$B$255,$A61,'2 Ingresos'!$C$6:$C$255,$B61,'2 Ingresos'!$A$6:$A$255,Config!$B$14)-'3 Conteo Diario'!$W62)</f>
        <v/>
      </c>
      <c r="I61" s="56">
        <f>IF(OR('3 Conteo Diario'!$W62="",'3 Conteo Diario'!$X62=""),"",'3 Conteo Diario'!$W62+SUMIFS('2 Ingresos'!$I$6:$I$255,'2 Ingresos'!$B$6:$B$255,$A61,'2 Ingresos'!$C$6:$C$255,$B61,'2 Ingresos'!$A$6:$A$255,Config!$B$15)-'3 Conteo Diario'!$X62)</f>
        <v/>
      </c>
      <c r="J61" s="56">
        <f>IF(OR('3 Conteo Diario'!$X62="",'3 Conteo Diario'!$Y62=""),"",'3 Conteo Diario'!$X62+SUMIFS('2 Ingresos'!$I$6:$I$255,'2 Ingresos'!$B$6:$B$255,$A61,'2 Ingresos'!$C$6:$C$255,$B61,'2 Ingresos'!$A$6:$A$255,Config!$B$16)-'3 Conteo Diario'!$Y62)</f>
        <v/>
      </c>
      <c r="K61" s="70">
        <f>IF(COUNT($D61:$J61)=0,"",SUM($D61:$J61))</f>
        <v/>
      </c>
      <c r="L61" s="69">
        <f>IF(COUNT($D61:$J61)=0,"",AVERAGE($D61:$J61))</f>
        <v/>
      </c>
      <c r="M61" s="35">
        <f>IF(COUNT($D61:$J61)=0,"",IFERROR(INDEX($D$4:$J$4,MATCH(MAX($D61:$J61),$D61:$J61,0)),""))</f>
        <v/>
      </c>
      <c r="N61" s="75">
        <f>IF(COUNT($D61:$J61)=0,"Sin conteos cargados",IF(MIN($D61:$J61)&lt;0,"Consumo negativo: ingreso sin registrar",IF(AND($L61&gt;0,MAX($D61:$J61)&gt;2*$L61),"Pico atipico el "&amp;$M61,"OK")))</f>
        <v/>
      </c>
    </row>
    <row r="62">
      <c r="A62" s="43">
        <f>Insumos!$A147</f>
        <v/>
      </c>
      <c r="B62" s="44">
        <f>Insumos!$B147</f>
        <v/>
      </c>
      <c r="C62" s="45">
        <f>Insumos!$E147</f>
        <v/>
      </c>
      <c r="D62" s="56">
        <f>IF('3 Conteo Diario'!$S63="","",'1 Inv Inicial'!$G147+SUMIFS('2 Ingresos'!$I$6:$I$255,'2 Ingresos'!$B$6:$B$255,$A62,'2 Ingresos'!$C$6:$C$255,$B62,'2 Ingresos'!$A$6:$A$255,Config!$B$10)-'3 Conteo Diario'!$S63)</f>
        <v/>
      </c>
      <c r="E62" s="56">
        <f>IF(OR('3 Conteo Diario'!$S63="",'3 Conteo Diario'!$T63=""),"",'3 Conteo Diario'!$S63+SUMIFS('2 Ingresos'!$I$6:$I$255,'2 Ingresos'!$B$6:$B$255,$A62,'2 Ingresos'!$C$6:$C$255,$B62,'2 Ingresos'!$A$6:$A$255,Config!$B$11)-'3 Conteo Diario'!$T63)</f>
        <v/>
      </c>
      <c r="F62" s="56">
        <f>IF(OR('3 Conteo Diario'!$T63="",'3 Conteo Diario'!$U63=""),"",'3 Conteo Diario'!$T63+SUMIFS('2 Ingresos'!$I$6:$I$255,'2 Ingresos'!$B$6:$B$255,$A62,'2 Ingresos'!$C$6:$C$255,$B62,'2 Ingresos'!$A$6:$A$255,Config!$B$12)-'3 Conteo Diario'!$U63)</f>
        <v/>
      </c>
      <c r="G62" s="56">
        <f>IF(OR('3 Conteo Diario'!$U63="",'3 Conteo Diario'!$V63=""),"",'3 Conteo Diario'!$U63+SUMIFS('2 Ingresos'!$I$6:$I$255,'2 Ingresos'!$B$6:$B$255,$A62,'2 Ingresos'!$C$6:$C$255,$B62,'2 Ingresos'!$A$6:$A$255,Config!$B$13)-'3 Conteo Diario'!$V63)</f>
        <v/>
      </c>
      <c r="H62" s="56">
        <f>IF(OR('3 Conteo Diario'!$V63="",'3 Conteo Diario'!$W63=""),"",'3 Conteo Diario'!$V63+SUMIFS('2 Ingresos'!$I$6:$I$255,'2 Ingresos'!$B$6:$B$255,$A62,'2 Ingresos'!$C$6:$C$255,$B62,'2 Ingresos'!$A$6:$A$255,Config!$B$14)-'3 Conteo Diario'!$W63)</f>
        <v/>
      </c>
      <c r="I62" s="56">
        <f>IF(OR('3 Conteo Diario'!$W63="",'3 Conteo Diario'!$X63=""),"",'3 Conteo Diario'!$W63+SUMIFS('2 Ingresos'!$I$6:$I$255,'2 Ingresos'!$B$6:$B$255,$A62,'2 Ingresos'!$C$6:$C$255,$B62,'2 Ingresos'!$A$6:$A$255,Config!$B$15)-'3 Conteo Diario'!$X63)</f>
        <v/>
      </c>
      <c r="J62" s="56">
        <f>IF(OR('3 Conteo Diario'!$X63="",'3 Conteo Diario'!$Y63=""),"",'3 Conteo Diario'!$X63+SUMIFS('2 Ingresos'!$I$6:$I$255,'2 Ingresos'!$B$6:$B$255,$A62,'2 Ingresos'!$C$6:$C$255,$B62,'2 Ingresos'!$A$6:$A$255,Config!$B$16)-'3 Conteo Diario'!$Y63)</f>
        <v/>
      </c>
      <c r="K62" s="70">
        <f>IF(COUNT($D62:$J62)=0,"",SUM($D62:$J62))</f>
        <v/>
      </c>
      <c r="L62" s="69">
        <f>IF(COUNT($D62:$J62)=0,"",AVERAGE($D62:$J62))</f>
        <v/>
      </c>
      <c r="M62" s="35">
        <f>IF(COUNT($D62:$J62)=0,"",IFERROR(INDEX($D$4:$J$4,MATCH(MAX($D62:$J62),$D62:$J62,0)),""))</f>
        <v/>
      </c>
      <c r="N62" s="75">
        <f>IF(COUNT($D62:$J62)=0,"Sin conteos cargados",IF(MIN($D62:$J62)&lt;0,"Consumo negativo: ingreso sin registrar",IF(AND($L62&gt;0,MAX($D62:$J62)&gt;2*$L62),"Pico atipico el "&amp;$M62,"OK")))</f>
        <v/>
      </c>
    </row>
    <row r="63">
      <c r="A63" s="38">
        <f>Insumos!$A148</f>
        <v/>
      </c>
      <c r="B63" s="39">
        <f>Insumos!$B148</f>
        <v/>
      </c>
      <c r="C63" s="40">
        <f>Insumos!$E148</f>
        <v/>
      </c>
      <c r="D63" s="56">
        <f>IF('3 Conteo Diario'!$S64="","",'1 Inv Inicial'!$G148+SUMIFS('2 Ingresos'!$I$6:$I$255,'2 Ingresos'!$B$6:$B$255,$A63,'2 Ingresos'!$C$6:$C$255,$B63,'2 Ingresos'!$A$6:$A$255,Config!$B$10)-'3 Conteo Diario'!$S64)</f>
        <v/>
      </c>
      <c r="E63" s="56">
        <f>IF(OR('3 Conteo Diario'!$S64="",'3 Conteo Diario'!$T64=""),"",'3 Conteo Diario'!$S64+SUMIFS('2 Ingresos'!$I$6:$I$255,'2 Ingresos'!$B$6:$B$255,$A63,'2 Ingresos'!$C$6:$C$255,$B63,'2 Ingresos'!$A$6:$A$255,Config!$B$11)-'3 Conteo Diario'!$T64)</f>
        <v/>
      </c>
      <c r="F63" s="56">
        <f>IF(OR('3 Conteo Diario'!$T64="",'3 Conteo Diario'!$U64=""),"",'3 Conteo Diario'!$T64+SUMIFS('2 Ingresos'!$I$6:$I$255,'2 Ingresos'!$B$6:$B$255,$A63,'2 Ingresos'!$C$6:$C$255,$B63,'2 Ingresos'!$A$6:$A$255,Config!$B$12)-'3 Conteo Diario'!$U64)</f>
        <v/>
      </c>
      <c r="G63" s="56">
        <f>IF(OR('3 Conteo Diario'!$U64="",'3 Conteo Diario'!$V64=""),"",'3 Conteo Diario'!$U64+SUMIFS('2 Ingresos'!$I$6:$I$255,'2 Ingresos'!$B$6:$B$255,$A63,'2 Ingresos'!$C$6:$C$255,$B63,'2 Ingresos'!$A$6:$A$255,Config!$B$13)-'3 Conteo Diario'!$V64)</f>
        <v/>
      </c>
      <c r="H63" s="56">
        <f>IF(OR('3 Conteo Diario'!$V64="",'3 Conteo Diario'!$W64=""),"",'3 Conteo Diario'!$V64+SUMIFS('2 Ingresos'!$I$6:$I$255,'2 Ingresos'!$B$6:$B$255,$A63,'2 Ingresos'!$C$6:$C$255,$B63,'2 Ingresos'!$A$6:$A$255,Config!$B$14)-'3 Conteo Diario'!$W64)</f>
        <v/>
      </c>
      <c r="I63" s="56">
        <f>IF(OR('3 Conteo Diario'!$W64="",'3 Conteo Diario'!$X64=""),"",'3 Conteo Diario'!$W64+SUMIFS('2 Ingresos'!$I$6:$I$255,'2 Ingresos'!$B$6:$B$255,$A63,'2 Ingresos'!$C$6:$C$255,$B63,'2 Ingresos'!$A$6:$A$255,Config!$B$15)-'3 Conteo Diario'!$X64)</f>
        <v/>
      </c>
      <c r="J63" s="56">
        <f>IF(OR('3 Conteo Diario'!$X64="",'3 Conteo Diario'!$Y64=""),"",'3 Conteo Diario'!$X64+SUMIFS('2 Ingresos'!$I$6:$I$255,'2 Ingresos'!$B$6:$B$255,$A63,'2 Ingresos'!$C$6:$C$255,$B63,'2 Ingresos'!$A$6:$A$255,Config!$B$16)-'3 Conteo Diario'!$Y64)</f>
        <v/>
      </c>
      <c r="K63" s="70">
        <f>IF(COUNT($D63:$J63)=0,"",SUM($D63:$J63))</f>
        <v/>
      </c>
      <c r="L63" s="69">
        <f>IF(COUNT($D63:$J63)=0,"",AVERAGE($D63:$J63))</f>
        <v/>
      </c>
      <c r="M63" s="35">
        <f>IF(COUNT($D63:$J63)=0,"",IFERROR(INDEX($D$4:$J$4,MATCH(MAX($D63:$J63),$D63:$J63,0)),""))</f>
        <v/>
      </c>
      <c r="N63" s="75">
        <f>IF(COUNT($D63:$J63)=0,"Sin conteos cargados",IF(MIN($D63:$J63)&lt;0,"Consumo negativo: ingreso sin registrar",IF(AND($L63&gt;0,MAX($D63:$J63)&gt;2*$L63),"Pico atipico el "&amp;$M63,"OK")))</f>
        <v/>
      </c>
    </row>
    <row r="64">
      <c r="A64" s="43">
        <f>Insumos!$A159</f>
        <v/>
      </c>
      <c r="B64" s="44">
        <f>Insumos!$B159</f>
        <v/>
      </c>
      <c r="C64" s="45">
        <f>Insumos!$E159</f>
        <v/>
      </c>
      <c r="D64" s="56">
        <f>IF('3 Conteo Diario'!$S65="","",'1 Inv Inicial'!$G159+SUMIFS('2 Ingresos'!$I$6:$I$255,'2 Ingresos'!$B$6:$B$255,$A64,'2 Ingresos'!$C$6:$C$255,$B64,'2 Ingresos'!$A$6:$A$255,Config!$B$10)-'3 Conteo Diario'!$S65)</f>
        <v/>
      </c>
      <c r="E64" s="56">
        <f>IF(OR('3 Conteo Diario'!$S65="",'3 Conteo Diario'!$T65=""),"",'3 Conteo Diario'!$S65+SUMIFS('2 Ingresos'!$I$6:$I$255,'2 Ingresos'!$B$6:$B$255,$A64,'2 Ingresos'!$C$6:$C$255,$B64,'2 Ingresos'!$A$6:$A$255,Config!$B$11)-'3 Conteo Diario'!$T65)</f>
        <v/>
      </c>
      <c r="F64" s="56">
        <f>IF(OR('3 Conteo Diario'!$T65="",'3 Conteo Diario'!$U65=""),"",'3 Conteo Diario'!$T65+SUMIFS('2 Ingresos'!$I$6:$I$255,'2 Ingresos'!$B$6:$B$255,$A64,'2 Ingresos'!$C$6:$C$255,$B64,'2 Ingresos'!$A$6:$A$255,Config!$B$12)-'3 Conteo Diario'!$U65)</f>
        <v/>
      </c>
      <c r="G64" s="56">
        <f>IF(OR('3 Conteo Diario'!$U65="",'3 Conteo Diario'!$V65=""),"",'3 Conteo Diario'!$U65+SUMIFS('2 Ingresos'!$I$6:$I$255,'2 Ingresos'!$B$6:$B$255,$A64,'2 Ingresos'!$C$6:$C$255,$B64,'2 Ingresos'!$A$6:$A$255,Config!$B$13)-'3 Conteo Diario'!$V65)</f>
        <v/>
      </c>
      <c r="H64" s="56">
        <f>IF(OR('3 Conteo Diario'!$V65="",'3 Conteo Diario'!$W65=""),"",'3 Conteo Diario'!$V65+SUMIFS('2 Ingresos'!$I$6:$I$255,'2 Ingresos'!$B$6:$B$255,$A64,'2 Ingresos'!$C$6:$C$255,$B64,'2 Ingresos'!$A$6:$A$255,Config!$B$14)-'3 Conteo Diario'!$W65)</f>
        <v/>
      </c>
      <c r="I64" s="56">
        <f>IF(OR('3 Conteo Diario'!$W65="",'3 Conteo Diario'!$X65=""),"",'3 Conteo Diario'!$W65+SUMIFS('2 Ingresos'!$I$6:$I$255,'2 Ingresos'!$B$6:$B$255,$A64,'2 Ingresos'!$C$6:$C$255,$B64,'2 Ingresos'!$A$6:$A$255,Config!$B$15)-'3 Conteo Diario'!$X65)</f>
        <v/>
      </c>
      <c r="J64" s="56">
        <f>IF(OR('3 Conteo Diario'!$X65="",'3 Conteo Diario'!$Y65=""),"",'3 Conteo Diario'!$X65+SUMIFS('2 Ingresos'!$I$6:$I$255,'2 Ingresos'!$B$6:$B$255,$A64,'2 Ingresos'!$C$6:$C$255,$B64,'2 Ingresos'!$A$6:$A$255,Config!$B$16)-'3 Conteo Diario'!$Y65)</f>
        <v/>
      </c>
      <c r="K64" s="70">
        <f>IF(COUNT($D64:$J64)=0,"",SUM($D64:$J64))</f>
        <v/>
      </c>
      <c r="L64" s="69">
        <f>IF(COUNT($D64:$J64)=0,"",AVERAGE($D64:$J64))</f>
        <v/>
      </c>
      <c r="M64" s="35">
        <f>IF(COUNT($D64:$J64)=0,"",IFERROR(INDEX($D$4:$J$4,MATCH(MAX($D64:$J64),$D64:$J64,0)),""))</f>
        <v/>
      </c>
      <c r="N64" s="75">
        <f>IF(COUNT($D64:$J64)=0,"Sin conteos cargados",IF(MIN($D64:$J64)&lt;0,"Consumo negativo: ingreso sin registrar",IF(AND($L64&gt;0,MAX($D64:$J64)&gt;2*$L64),"Pico atipico el "&amp;$M64,"OK")))</f>
        <v/>
      </c>
    </row>
    <row r="65">
      <c r="A65" s="38">
        <f>Insumos!$A160</f>
        <v/>
      </c>
      <c r="B65" s="39">
        <f>Insumos!$B160</f>
        <v/>
      </c>
      <c r="C65" s="40">
        <f>Insumos!$E160</f>
        <v/>
      </c>
      <c r="D65" s="56">
        <f>IF('3 Conteo Diario'!$S66="","",'1 Inv Inicial'!$G160+SUMIFS('2 Ingresos'!$I$6:$I$255,'2 Ingresos'!$B$6:$B$255,$A65,'2 Ingresos'!$C$6:$C$255,$B65,'2 Ingresos'!$A$6:$A$255,Config!$B$10)-'3 Conteo Diario'!$S66)</f>
        <v/>
      </c>
      <c r="E65" s="56">
        <f>IF(OR('3 Conteo Diario'!$S66="",'3 Conteo Diario'!$T66=""),"",'3 Conteo Diario'!$S66+SUMIFS('2 Ingresos'!$I$6:$I$255,'2 Ingresos'!$B$6:$B$255,$A65,'2 Ingresos'!$C$6:$C$255,$B65,'2 Ingresos'!$A$6:$A$255,Config!$B$11)-'3 Conteo Diario'!$T66)</f>
        <v/>
      </c>
      <c r="F65" s="56">
        <f>IF(OR('3 Conteo Diario'!$T66="",'3 Conteo Diario'!$U66=""),"",'3 Conteo Diario'!$T66+SUMIFS('2 Ingresos'!$I$6:$I$255,'2 Ingresos'!$B$6:$B$255,$A65,'2 Ingresos'!$C$6:$C$255,$B65,'2 Ingresos'!$A$6:$A$255,Config!$B$12)-'3 Conteo Diario'!$U66)</f>
        <v/>
      </c>
      <c r="G65" s="56">
        <f>IF(OR('3 Conteo Diario'!$U66="",'3 Conteo Diario'!$V66=""),"",'3 Conteo Diario'!$U66+SUMIFS('2 Ingresos'!$I$6:$I$255,'2 Ingresos'!$B$6:$B$255,$A65,'2 Ingresos'!$C$6:$C$255,$B65,'2 Ingresos'!$A$6:$A$255,Config!$B$13)-'3 Conteo Diario'!$V66)</f>
        <v/>
      </c>
      <c r="H65" s="56">
        <f>IF(OR('3 Conteo Diario'!$V66="",'3 Conteo Diario'!$W66=""),"",'3 Conteo Diario'!$V66+SUMIFS('2 Ingresos'!$I$6:$I$255,'2 Ingresos'!$B$6:$B$255,$A65,'2 Ingresos'!$C$6:$C$255,$B65,'2 Ingresos'!$A$6:$A$255,Config!$B$14)-'3 Conteo Diario'!$W66)</f>
        <v/>
      </c>
      <c r="I65" s="56">
        <f>IF(OR('3 Conteo Diario'!$W66="",'3 Conteo Diario'!$X66=""),"",'3 Conteo Diario'!$W66+SUMIFS('2 Ingresos'!$I$6:$I$255,'2 Ingresos'!$B$6:$B$255,$A65,'2 Ingresos'!$C$6:$C$255,$B65,'2 Ingresos'!$A$6:$A$255,Config!$B$15)-'3 Conteo Diario'!$X66)</f>
        <v/>
      </c>
      <c r="J65" s="56">
        <f>IF(OR('3 Conteo Diario'!$X66="",'3 Conteo Diario'!$Y66=""),"",'3 Conteo Diario'!$X66+SUMIFS('2 Ingresos'!$I$6:$I$255,'2 Ingresos'!$B$6:$B$255,$A65,'2 Ingresos'!$C$6:$C$255,$B65,'2 Ingresos'!$A$6:$A$255,Config!$B$16)-'3 Conteo Diario'!$Y66)</f>
        <v/>
      </c>
      <c r="K65" s="70">
        <f>IF(COUNT($D65:$J65)=0,"",SUM($D65:$J65))</f>
        <v/>
      </c>
      <c r="L65" s="69">
        <f>IF(COUNT($D65:$J65)=0,"",AVERAGE($D65:$J65))</f>
        <v/>
      </c>
      <c r="M65" s="35">
        <f>IF(COUNT($D65:$J65)=0,"",IFERROR(INDEX($D$4:$J$4,MATCH(MAX($D65:$J65),$D65:$J65,0)),""))</f>
        <v/>
      </c>
      <c r="N65" s="75">
        <f>IF(COUNT($D65:$J65)=0,"Sin conteos cargados",IF(MIN($D65:$J65)&lt;0,"Consumo negativo: ingreso sin registrar",IF(AND($L65&gt;0,MAX($D65:$J65)&gt;2*$L65),"Pico atipico el "&amp;$M65,"OK")))</f>
        <v/>
      </c>
    </row>
    <row r="66">
      <c r="A66" s="43">
        <f>Insumos!$A161</f>
        <v/>
      </c>
      <c r="B66" s="44">
        <f>Insumos!$B161</f>
        <v/>
      </c>
      <c r="C66" s="45">
        <f>Insumos!$E161</f>
        <v/>
      </c>
      <c r="D66" s="56">
        <f>IF('3 Conteo Diario'!$S67="","",'1 Inv Inicial'!$G161+SUMIFS('2 Ingresos'!$I$6:$I$255,'2 Ingresos'!$B$6:$B$255,$A66,'2 Ingresos'!$C$6:$C$255,$B66,'2 Ingresos'!$A$6:$A$255,Config!$B$10)-'3 Conteo Diario'!$S67)</f>
        <v/>
      </c>
      <c r="E66" s="56">
        <f>IF(OR('3 Conteo Diario'!$S67="",'3 Conteo Diario'!$T67=""),"",'3 Conteo Diario'!$S67+SUMIFS('2 Ingresos'!$I$6:$I$255,'2 Ingresos'!$B$6:$B$255,$A66,'2 Ingresos'!$C$6:$C$255,$B66,'2 Ingresos'!$A$6:$A$255,Config!$B$11)-'3 Conteo Diario'!$T67)</f>
        <v/>
      </c>
      <c r="F66" s="56">
        <f>IF(OR('3 Conteo Diario'!$T67="",'3 Conteo Diario'!$U67=""),"",'3 Conteo Diario'!$T67+SUMIFS('2 Ingresos'!$I$6:$I$255,'2 Ingresos'!$B$6:$B$255,$A66,'2 Ingresos'!$C$6:$C$255,$B66,'2 Ingresos'!$A$6:$A$255,Config!$B$12)-'3 Conteo Diario'!$U67)</f>
        <v/>
      </c>
      <c r="G66" s="56">
        <f>IF(OR('3 Conteo Diario'!$U67="",'3 Conteo Diario'!$V67=""),"",'3 Conteo Diario'!$U67+SUMIFS('2 Ingresos'!$I$6:$I$255,'2 Ingresos'!$B$6:$B$255,$A66,'2 Ingresos'!$C$6:$C$255,$B66,'2 Ingresos'!$A$6:$A$255,Config!$B$13)-'3 Conteo Diario'!$V67)</f>
        <v/>
      </c>
      <c r="H66" s="56">
        <f>IF(OR('3 Conteo Diario'!$V67="",'3 Conteo Diario'!$W67=""),"",'3 Conteo Diario'!$V67+SUMIFS('2 Ingresos'!$I$6:$I$255,'2 Ingresos'!$B$6:$B$255,$A66,'2 Ingresos'!$C$6:$C$255,$B66,'2 Ingresos'!$A$6:$A$255,Config!$B$14)-'3 Conteo Diario'!$W67)</f>
        <v/>
      </c>
      <c r="I66" s="56">
        <f>IF(OR('3 Conteo Diario'!$W67="",'3 Conteo Diario'!$X67=""),"",'3 Conteo Diario'!$W67+SUMIFS('2 Ingresos'!$I$6:$I$255,'2 Ingresos'!$B$6:$B$255,$A66,'2 Ingresos'!$C$6:$C$255,$B66,'2 Ingresos'!$A$6:$A$255,Config!$B$15)-'3 Conteo Diario'!$X67)</f>
        <v/>
      </c>
      <c r="J66" s="56">
        <f>IF(OR('3 Conteo Diario'!$X67="",'3 Conteo Diario'!$Y67=""),"",'3 Conteo Diario'!$X67+SUMIFS('2 Ingresos'!$I$6:$I$255,'2 Ingresos'!$B$6:$B$255,$A66,'2 Ingresos'!$C$6:$C$255,$B66,'2 Ingresos'!$A$6:$A$255,Config!$B$16)-'3 Conteo Diario'!$Y67)</f>
        <v/>
      </c>
      <c r="K66" s="70">
        <f>IF(COUNT($D66:$J66)=0,"",SUM($D66:$J66))</f>
        <v/>
      </c>
      <c r="L66" s="69">
        <f>IF(COUNT($D66:$J66)=0,"",AVERAGE($D66:$J66))</f>
        <v/>
      </c>
      <c r="M66" s="35">
        <f>IF(COUNT($D66:$J66)=0,"",IFERROR(INDEX($D$4:$J$4,MATCH(MAX($D66:$J66),$D66:$J66,0)),""))</f>
        <v/>
      </c>
      <c r="N66" s="75">
        <f>IF(COUNT($D66:$J66)=0,"Sin conteos cargados",IF(MIN($D66:$J66)&lt;0,"Consumo negativo: ingreso sin registrar",IF(AND($L66&gt;0,MAX($D66:$J66)&gt;2*$L66),"Pico atipico el "&amp;$M66,"OK")))</f>
        <v/>
      </c>
    </row>
  </sheetData>
  <autoFilter ref="A4:N66"/>
  <mergeCells count="3">
    <mergeCell ref="A3:N3"/>
    <mergeCell ref="A2:N2"/>
    <mergeCell ref="A1:N1"/>
  </mergeCells>
  <conditionalFormatting sqref="D5:J66">
    <cfRule type="cellIs" priority="1" operator="lessThan" dxfId="2">
      <formula>0</formula>
    </cfRule>
  </conditionalFormatting>
  <conditionalFormatting sqref="N5:N66">
    <cfRule type="cellIs" priority="2" operator="equal" dxfId="4">
      <formula>"OK"</formula>
    </cfRule>
    <cfRule type="expression" priority="3" dxfId="2">
      <formula>AND($N5&lt;&gt;"",$N5&lt;&gt;"OK")</formula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15" customWidth="1" min="4" max="4"/>
    <col width="15" customWidth="1" min="5" max="5"/>
    <col width="15" customWidth="1" min="6" max="6"/>
    <col width="15" customWidth="1" min="7" max="7"/>
    <col hidden="1" width="10" customWidth="1" min="8" max="8"/>
    <col width="3" customWidth="1" min="9" max="9"/>
  </cols>
  <sheetData>
    <row r="1" ht="30" customHeight="1">
      <c r="A1" s="1" t="inlineStr">
        <is>
          <t>TABLERO DE RESULTADOS DE LA SEMANA</t>
        </is>
      </c>
    </row>
    <row r="2" ht="18" customHeight="1">
      <c r="A2" s="2" t="inlineStr">
        <is>
          <t>Se completa solo a medida que se cargan las planillas. Es la hoja para la reunion de cierre.</t>
        </is>
      </c>
    </row>
    <row r="3" ht="18" customHeight="1">
      <c r="A3" s="3" t="inlineStr">
        <is>
          <t>Los limites de tolerancia se configuran en la hoja Config (seccion 5).</t>
        </is>
      </c>
    </row>
    <row r="5" ht="22" customHeight="1">
      <c r="B5" s="4" t="inlineStr">
        <is>
          <t>1 · ESTADO DE CARGA  (antes de leer nada, esto tiene que estar completo)</t>
        </is>
      </c>
    </row>
    <row r="6" ht="20" customHeight="1">
      <c r="A6" s="6" t="inlineStr"/>
      <c r="B6" s="6" t="inlineStr">
        <is>
          <t>CONCEPTO</t>
        </is>
      </c>
      <c r="C6" s="6" t="inlineStr"/>
      <c r="D6" s="6" t="inlineStr">
        <is>
          <t>CARGADO</t>
        </is>
      </c>
      <c r="E6" s="6" t="inlineStr">
        <is>
          <t>ESPERADO</t>
        </is>
      </c>
      <c r="F6" s="6" t="inlineStr"/>
      <c r="G6" s="6" t="inlineStr"/>
      <c r="H6" s="6" t="inlineStr"/>
    </row>
    <row r="7">
      <c r="B7" s="9" t="inlineStr">
        <is>
          <t>Insumos con inventario inicial contado</t>
        </is>
      </c>
      <c r="C7" s="9" t="n"/>
      <c r="D7" s="85">
        <f>COUNTIF('1 Inv Inicial'!$E$5:$E$163,"&gt;=0")+COUNTIF('1 Inv Inicial'!$F$5:$F$163,"&gt;=0")-SUMPRODUCT(('1 Inv Inicial'!$E$5:$E$163&lt;&gt;"")*('1 Inv Inicial'!$F$5:$F$163&lt;&gt;""))</f>
        <v/>
      </c>
      <c r="E7" s="86">
        <f>159</f>
        <v/>
      </c>
      <c r="F7" s="19" t="n"/>
      <c r="G7" s="19" t="n"/>
      <c r="H7" s="19" t="n"/>
    </row>
    <row r="8">
      <c r="B8" s="20" t="inlineStr">
        <is>
          <t>Insumos con inventario final contado</t>
        </is>
      </c>
      <c r="C8" s="20" t="n"/>
      <c r="D8" s="85">
        <f>COUNTIF('6 Inv Final'!$E$5:$E$163,"&gt;=0")+COUNTIF('6 Inv Final'!$F$5:$F$163,"&gt;=0")-SUMPRODUCT(('6 Inv Final'!$E$5:$E$163&lt;&gt;"")*('6 Inv Final'!$F$5:$F$163&lt;&gt;""))</f>
        <v/>
      </c>
      <c r="E8" s="86">
        <f>159</f>
        <v/>
      </c>
      <c r="F8" s="19" t="n"/>
      <c r="G8" s="19" t="n"/>
      <c r="H8" s="19" t="n"/>
    </row>
    <row r="9">
      <c r="B9" s="9" t="inlineStr">
        <is>
          <t>Lineas de ingreso de mercaderia cargadas</t>
        </is>
      </c>
      <c r="C9" s="9" t="n"/>
      <c r="D9" s="85">
        <f>COUNTIF('2 Ingresos'!$B$6:$B$255,"&lt;&gt;")</f>
        <v/>
      </c>
      <c r="E9" s="86" t="n"/>
      <c r="F9" s="19" t="n"/>
      <c r="G9" s="19" t="n"/>
      <c r="H9" s="19" t="n"/>
    </row>
    <row r="10">
      <c r="B10" s="20" t="inlineStr">
        <is>
          <t>Lineas de factura cargadas</t>
        </is>
      </c>
      <c r="C10" s="20" t="n"/>
      <c r="D10" s="85">
        <f>COUNTIF('7 Facturas'!$D$6:$D$255,"&lt;&gt;")</f>
        <v/>
      </c>
      <c r="E10" s="86" t="n"/>
      <c r="F10" s="19" t="n"/>
      <c r="G10" s="19" t="n"/>
      <c r="H10" s="19" t="n"/>
    </row>
    <row r="11">
      <c r="B11" s="9" t="inlineStr">
        <is>
          <t>Lineas de descarte cargadas</t>
        </is>
      </c>
      <c r="C11" s="9" t="n"/>
      <c r="D11" s="85">
        <f>COUNTIF('5 Descartes'!$B$6:$B$205,"&lt;&gt;")</f>
        <v/>
      </c>
      <c r="E11" s="86" t="n"/>
      <c r="F11" s="19" t="n"/>
      <c r="G11" s="19" t="n"/>
      <c r="H11" s="19" t="n"/>
    </row>
    <row r="12">
      <c r="B12" s="20" t="inlineStr">
        <is>
          <t>Lineas de venta de Fudo mapeadas</t>
        </is>
      </c>
      <c r="C12" s="20" t="n"/>
      <c r="D12" s="85">
        <f>COUNTIF('8 Fudo Ventas'!$D$6:$D$305,"&lt;&gt;")</f>
        <v/>
      </c>
      <c r="E12" s="86" t="n"/>
      <c r="F12" s="19" t="n"/>
      <c r="G12" s="19" t="n"/>
      <c r="H12" s="19" t="n"/>
    </row>
    <row r="13">
      <c r="B13" s="9" t="inlineStr">
        <is>
          <t>Lineas de venta de Fudo SIN mapear</t>
        </is>
      </c>
      <c r="C13" s="9" t="n"/>
      <c r="D13" s="85">
        <f>COUNTIF('8 Fudo Ventas'!$E$6:$E$305,"FALTA MAPEAR")</f>
        <v/>
      </c>
      <c r="E13" s="86">
        <f>0</f>
        <v/>
      </c>
      <c r="F13" s="19" t="n"/>
      <c r="G13" s="19" t="n"/>
      <c r="H13" s="19" t="n"/>
    </row>
    <row r="14">
      <c r="B14" s="20" t="inlineStr">
        <is>
          <t>Insumos con costo cargado (para valorizar)</t>
        </is>
      </c>
      <c r="C14" s="20" t="n"/>
      <c r="D14" s="85">
        <f>COUNT(Insumos!$H$5:$H$163)</f>
        <v/>
      </c>
      <c r="E14" s="86">
        <f>159</f>
        <v/>
      </c>
      <c r="F14" s="19" t="n"/>
      <c r="G14" s="19" t="n"/>
      <c r="H14" s="19" t="n"/>
    </row>
    <row r="16" ht="22" customHeight="1">
      <c r="B16" s="4" t="inlineStr">
        <is>
          <t>2 · RESUMEN DE LA SEMANA</t>
        </is>
      </c>
    </row>
    <row r="17">
      <c r="B17" s="9" t="inlineStr">
        <is>
          <t>Consumo de insumos valorizado</t>
        </is>
      </c>
      <c r="C17" s="9" t="n"/>
      <c r="D17" s="87">
        <f>'A Consumo Insumos'!$N$164</f>
        <v/>
      </c>
      <c r="E17" s="53" t="n"/>
      <c r="F17" s="19" t="n"/>
      <c r="G17" s="19" t="n"/>
      <c r="H17" s="19" t="n"/>
    </row>
    <row r="18">
      <c r="B18" s="20" t="inlineStr">
        <is>
          <t>Total comprado segun facturas</t>
        </is>
      </c>
      <c r="C18" s="20" t="n"/>
      <c r="D18" s="87">
        <f>'7 Facturas'!$H$257</f>
        <v/>
      </c>
      <c r="E18" s="53" t="n"/>
      <c r="F18" s="19" t="n"/>
      <c r="G18" s="19" t="n"/>
      <c r="H18" s="19" t="n"/>
    </row>
    <row r="19">
      <c r="B19" s="9" t="inlineStr">
        <is>
          <t>Desvio valorizado vs Fudo (lo que no cierra)</t>
        </is>
      </c>
      <c r="C19" s="9" t="n"/>
      <c r="D19" s="87">
        <f>'A Consumo Insumos'!$O$164</f>
        <v/>
      </c>
      <c r="E19" s="53" t="n"/>
      <c r="F19" s="19" t="n"/>
      <c r="G19" s="19" t="n"/>
      <c r="H19" s="19" t="n"/>
    </row>
    <row r="20">
      <c r="B20" s="20" t="inlineStr">
        <is>
          <t>Insumos con alerta</t>
        </is>
      </c>
      <c r="C20" s="20" t="n"/>
      <c r="D20" s="88">
        <f>COUNTIFS('A Consumo Insumos'!$P$5:$P$163,"&lt;&gt;OK",'A Consumo Insumos'!$P$5:$P$163,"&lt;&gt;")</f>
        <v/>
      </c>
      <c r="E20" s="53" t="n"/>
      <c r="F20" s="19" t="n"/>
      <c r="G20" s="19" t="n"/>
      <c r="H20" s="19" t="n"/>
    </row>
    <row r="21">
      <c r="B21" s="9" t="inlineStr">
        <is>
          <t>Insumos con consumo negativo (ingreso sin registrar)</t>
        </is>
      </c>
      <c r="C21" s="9" t="n"/>
      <c r="D21" s="88">
        <f>COUNTIF('A Consumo Insumos'!$P$5:$P$163,"Consumo negativo*")</f>
        <v/>
      </c>
      <c r="E21" s="53" t="n"/>
      <c r="F21" s="19" t="n"/>
      <c r="G21" s="19" t="n"/>
      <c r="H21" s="19" t="n"/>
    </row>
    <row r="22">
      <c r="B22" s="20" t="inlineStr">
        <is>
          <t>Total elaborado (unidades)</t>
        </is>
      </c>
      <c r="C22" s="20" t="n"/>
      <c r="D22" s="88">
        <f>'B Concil Productos'!$D$227</f>
        <v/>
      </c>
      <c r="E22" s="53" t="n"/>
      <c r="F22" s="19" t="n"/>
      <c r="G22" s="19" t="n"/>
      <c r="H22" s="19" t="n"/>
    </row>
    <row r="23">
      <c r="B23" s="9" t="inlineStr">
        <is>
          <t>Total descartado declarado (unidades)</t>
        </is>
      </c>
      <c r="C23" s="9" t="n"/>
      <c r="D23" s="88">
        <f>'B Concil Productos'!$G$227</f>
        <v/>
      </c>
      <c r="E23" s="53" t="n"/>
      <c r="F23" s="19" t="n"/>
      <c r="G23" s="19" t="n"/>
      <c r="H23" s="19" t="n"/>
    </row>
    <row r="24">
      <c r="B24" s="20" t="inlineStr">
        <is>
          <t>% de descarte sobre lo elaborado</t>
        </is>
      </c>
      <c r="C24" s="20" t="n"/>
      <c r="D24" s="89">
        <f>IF('B Concil Productos'!$D$227=0,"",'B Concil Productos'!$G$227/'B Concil Productos'!$D$227)</f>
        <v/>
      </c>
      <c r="E24" s="53" t="n"/>
      <c r="F24" s="19" t="n"/>
      <c r="G24" s="19" t="n"/>
      <c r="H24" s="19" t="n"/>
    </row>
    <row r="25">
      <c r="B25" s="9" t="inlineStr">
        <is>
          <t>Consumo interno registrado en Fudo (unidades)</t>
        </is>
      </c>
      <c r="C25" s="9" t="n"/>
      <c r="D25" s="88">
        <f>'B Concil Productos'!$F$227</f>
        <v/>
      </c>
      <c r="E25" s="53" t="n"/>
      <c r="F25" s="19" t="n"/>
      <c r="G25" s="19" t="n"/>
      <c r="H25" s="19" t="n"/>
    </row>
    <row r="26">
      <c r="B26" s="20" t="inlineStr">
        <is>
          <t>Diferencia total sin explicar (unidades)</t>
        </is>
      </c>
      <c r="C26" s="20" t="n"/>
      <c r="D26" s="88">
        <f>'B Concil Productos'!$J$227</f>
        <v/>
      </c>
      <c r="E26" s="53" t="n"/>
      <c r="F26" s="19" t="n"/>
      <c r="G26" s="19" t="n"/>
      <c r="H26" s="19" t="n"/>
    </row>
    <row r="27">
      <c r="B27" s="9" t="inlineStr">
        <is>
          <t>Productos con alerta</t>
        </is>
      </c>
      <c r="C27" s="9" t="n"/>
      <c r="D27" s="88">
        <f>COUNTIFS('B Concil Productos'!$L$6:$L$226,"&lt;&gt;OK",'B Concil Productos'!$L$6:$L$226,"&lt;&gt;")</f>
        <v/>
      </c>
      <c r="E27" s="53" t="n"/>
      <c r="F27" s="19" t="n"/>
      <c r="G27" s="19" t="n"/>
      <c r="H27" s="19" t="n"/>
    </row>
    <row r="30" ht="22" customHeight="1">
      <c r="B30" s="4" t="inlineStr">
        <is>
          <t>3 · LOS 12 INSUMOS CON MAYOR DESVIO  (candidatos a faltante o mal uso)</t>
        </is>
      </c>
    </row>
    <row r="31" ht="22" customHeight="1">
      <c r="A31" s="6" t="inlineStr">
        <is>
          <t>#</t>
        </is>
      </c>
      <c r="B31" s="6" t="inlineStr">
        <is>
          <t>AREA</t>
        </is>
      </c>
      <c r="C31" s="6" t="inlineStr">
        <is>
          <t>INSUMO</t>
        </is>
      </c>
      <c r="D31" s="6" t="inlineStr">
        <is>
          <t>CONSUMO REAL</t>
        </is>
      </c>
      <c r="E31" s="6" t="inlineStr">
        <is>
          <t>DIF. VS FUDO</t>
        </is>
      </c>
      <c r="F31" s="6" t="inlineStr">
        <is>
          <t>% DESVIO</t>
        </is>
      </c>
      <c r="G31" s="6" t="inlineStr">
        <is>
          <t>DESVIO $</t>
        </is>
      </c>
      <c r="H31" s="6" t="inlineStr">
        <is>
          <t>k</t>
        </is>
      </c>
    </row>
    <row r="32">
      <c r="A32" s="90" t="n">
        <v>1</v>
      </c>
      <c r="B32" s="31">
        <f>IF($H32="","",INDEX('A Consumo Insumos'!$A$5:$A$163,MATCH($H32,'A Consumo Insumos'!$Q$5:$Q$163,0)))</f>
        <v/>
      </c>
      <c r="C32" s="17">
        <f>IF($H32="","",INDEX('A Consumo Insumos'!$B$5:$B$163,MATCH($H32,'A Consumo Insumos'!$Q$5:$Q$163,0)))</f>
        <v/>
      </c>
      <c r="D32" s="69">
        <f>IF($H32="","",INDEX('A Consumo Insumos'!$G$5:$G$163,MATCH($H32,'A Consumo Insumos'!$Q$5:$Q$163,0)))</f>
        <v/>
      </c>
      <c r="E32" s="69">
        <f>IF($H32="","",INDEX('A Consumo Insumos'!$K$5:$K$163,MATCH($H32,'A Consumo Insumos'!$Q$5:$Q$163,0)))</f>
        <v/>
      </c>
      <c r="F32" s="91">
        <f>IF($H32="","",INDEX('A Consumo Insumos'!$L$5:$L$163,MATCH($H32,'A Consumo Insumos'!$Q$5:$Q$163,0)))</f>
        <v/>
      </c>
      <c r="G32" s="73">
        <f>IF($H32="","",IFERROR(INDEX('A Consumo Insumos'!$O$5:$O$163,MATCH($H32,'A Consumo Insumos'!$Q$5:$Q$163,0)),""))</f>
        <v/>
      </c>
      <c r="H32" s="76">
        <f>IFERROR(LARGE('A Consumo Insumos'!$Q$5:$Q$163,1),"")</f>
        <v/>
      </c>
    </row>
    <row r="33">
      <c r="A33" s="92" t="n">
        <v>2</v>
      </c>
      <c r="B33" s="27">
        <f>IF($H33="","",INDEX('A Consumo Insumos'!$A$5:$A$163,MATCH($H33,'A Consumo Insumos'!$Q$5:$Q$163,0)))</f>
        <v/>
      </c>
      <c r="C33" s="11">
        <f>IF($H33="","",INDEX('A Consumo Insumos'!$B$5:$B$163,MATCH($H33,'A Consumo Insumos'!$Q$5:$Q$163,0)))</f>
        <v/>
      </c>
      <c r="D33" s="69">
        <f>IF($H33="","",INDEX('A Consumo Insumos'!$G$5:$G$163,MATCH($H33,'A Consumo Insumos'!$Q$5:$Q$163,0)))</f>
        <v/>
      </c>
      <c r="E33" s="69">
        <f>IF($H33="","",INDEX('A Consumo Insumos'!$K$5:$K$163,MATCH($H33,'A Consumo Insumos'!$Q$5:$Q$163,0)))</f>
        <v/>
      </c>
      <c r="F33" s="91">
        <f>IF($H33="","",INDEX('A Consumo Insumos'!$L$5:$L$163,MATCH($H33,'A Consumo Insumos'!$Q$5:$Q$163,0)))</f>
        <v/>
      </c>
      <c r="G33" s="73">
        <f>IF($H33="","",IFERROR(INDEX('A Consumo Insumos'!$O$5:$O$163,MATCH($H33,'A Consumo Insumos'!$Q$5:$Q$163,0)),""))</f>
        <v/>
      </c>
      <c r="H33" s="76">
        <f>IFERROR(LARGE('A Consumo Insumos'!$Q$5:$Q$163,2),"")</f>
        <v/>
      </c>
    </row>
    <row r="34">
      <c r="A34" s="90" t="n">
        <v>3</v>
      </c>
      <c r="B34" s="31">
        <f>IF($H34="","",INDEX('A Consumo Insumos'!$A$5:$A$163,MATCH($H34,'A Consumo Insumos'!$Q$5:$Q$163,0)))</f>
        <v/>
      </c>
      <c r="C34" s="17">
        <f>IF($H34="","",INDEX('A Consumo Insumos'!$B$5:$B$163,MATCH($H34,'A Consumo Insumos'!$Q$5:$Q$163,0)))</f>
        <v/>
      </c>
      <c r="D34" s="69">
        <f>IF($H34="","",INDEX('A Consumo Insumos'!$G$5:$G$163,MATCH($H34,'A Consumo Insumos'!$Q$5:$Q$163,0)))</f>
        <v/>
      </c>
      <c r="E34" s="69">
        <f>IF($H34="","",INDEX('A Consumo Insumos'!$K$5:$K$163,MATCH($H34,'A Consumo Insumos'!$Q$5:$Q$163,0)))</f>
        <v/>
      </c>
      <c r="F34" s="91">
        <f>IF($H34="","",INDEX('A Consumo Insumos'!$L$5:$L$163,MATCH($H34,'A Consumo Insumos'!$Q$5:$Q$163,0)))</f>
        <v/>
      </c>
      <c r="G34" s="73">
        <f>IF($H34="","",IFERROR(INDEX('A Consumo Insumos'!$O$5:$O$163,MATCH($H34,'A Consumo Insumos'!$Q$5:$Q$163,0)),""))</f>
        <v/>
      </c>
      <c r="H34" s="76">
        <f>IFERROR(LARGE('A Consumo Insumos'!$Q$5:$Q$163,3),"")</f>
        <v/>
      </c>
    </row>
    <row r="35">
      <c r="A35" s="92" t="n">
        <v>4</v>
      </c>
      <c r="B35" s="27">
        <f>IF($H35="","",INDEX('A Consumo Insumos'!$A$5:$A$163,MATCH($H35,'A Consumo Insumos'!$Q$5:$Q$163,0)))</f>
        <v/>
      </c>
      <c r="C35" s="11">
        <f>IF($H35="","",INDEX('A Consumo Insumos'!$B$5:$B$163,MATCH($H35,'A Consumo Insumos'!$Q$5:$Q$163,0)))</f>
        <v/>
      </c>
      <c r="D35" s="69">
        <f>IF($H35="","",INDEX('A Consumo Insumos'!$G$5:$G$163,MATCH($H35,'A Consumo Insumos'!$Q$5:$Q$163,0)))</f>
        <v/>
      </c>
      <c r="E35" s="69">
        <f>IF($H35="","",INDEX('A Consumo Insumos'!$K$5:$K$163,MATCH($H35,'A Consumo Insumos'!$Q$5:$Q$163,0)))</f>
        <v/>
      </c>
      <c r="F35" s="91">
        <f>IF($H35="","",INDEX('A Consumo Insumos'!$L$5:$L$163,MATCH($H35,'A Consumo Insumos'!$Q$5:$Q$163,0)))</f>
        <v/>
      </c>
      <c r="G35" s="73">
        <f>IF($H35="","",IFERROR(INDEX('A Consumo Insumos'!$O$5:$O$163,MATCH($H35,'A Consumo Insumos'!$Q$5:$Q$163,0)),""))</f>
        <v/>
      </c>
      <c r="H35" s="76">
        <f>IFERROR(LARGE('A Consumo Insumos'!$Q$5:$Q$163,4),"")</f>
        <v/>
      </c>
    </row>
    <row r="36">
      <c r="A36" s="90" t="n">
        <v>5</v>
      </c>
      <c r="B36" s="31">
        <f>IF($H36="","",INDEX('A Consumo Insumos'!$A$5:$A$163,MATCH($H36,'A Consumo Insumos'!$Q$5:$Q$163,0)))</f>
        <v/>
      </c>
      <c r="C36" s="17">
        <f>IF($H36="","",INDEX('A Consumo Insumos'!$B$5:$B$163,MATCH($H36,'A Consumo Insumos'!$Q$5:$Q$163,0)))</f>
        <v/>
      </c>
      <c r="D36" s="69">
        <f>IF($H36="","",INDEX('A Consumo Insumos'!$G$5:$G$163,MATCH($H36,'A Consumo Insumos'!$Q$5:$Q$163,0)))</f>
        <v/>
      </c>
      <c r="E36" s="69">
        <f>IF($H36="","",INDEX('A Consumo Insumos'!$K$5:$K$163,MATCH($H36,'A Consumo Insumos'!$Q$5:$Q$163,0)))</f>
        <v/>
      </c>
      <c r="F36" s="91">
        <f>IF($H36="","",INDEX('A Consumo Insumos'!$L$5:$L$163,MATCH($H36,'A Consumo Insumos'!$Q$5:$Q$163,0)))</f>
        <v/>
      </c>
      <c r="G36" s="73">
        <f>IF($H36="","",IFERROR(INDEX('A Consumo Insumos'!$O$5:$O$163,MATCH($H36,'A Consumo Insumos'!$Q$5:$Q$163,0)),""))</f>
        <v/>
      </c>
      <c r="H36" s="76">
        <f>IFERROR(LARGE('A Consumo Insumos'!$Q$5:$Q$163,5),"")</f>
        <v/>
      </c>
    </row>
    <row r="37">
      <c r="A37" s="92" t="n">
        <v>6</v>
      </c>
      <c r="B37" s="27">
        <f>IF($H37="","",INDEX('A Consumo Insumos'!$A$5:$A$163,MATCH($H37,'A Consumo Insumos'!$Q$5:$Q$163,0)))</f>
        <v/>
      </c>
      <c r="C37" s="11">
        <f>IF($H37="","",INDEX('A Consumo Insumos'!$B$5:$B$163,MATCH($H37,'A Consumo Insumos'!$Q$5:$Q$163,0)))</f>
        <v/>
      </c>
      <c r="D37" s="69">
        <f>IF($H37="","",INDEX('A Consumo Insumos'!$G$5:$G$163,MATCH($H37,'A Consumo Insumos'!$Q$5:$Q$163,0)))</f>
        <v/>
      </c>
      <c r="E37" s="69">
        <f>IF($H37="","",INDEX('A Consumo Insumos'!$K$5:$K$163,MATCH($H37,'A Consumo Insumos'!$Q$5:$Q$163,0)))</f>
        <v/>
      </c>
      <c r="F37" s="91">
        <f>IF($H37="","",INDEX('A Consumo Insumos'!$L$5:$L$163,MATCH($H37,'A Consumo Insumos'!$Q$5:$Q$163,0)))</f>
        <v/>
      </c>
      <c r="G37" s="73">
        <f>IF($H37="","",IFERROR(INDEX('A Consumo Insumos'!$O$5:$O$163,MATCH($H37,'A Consumo Insumos'!$Q$5:$Q$163,0)),""))</f>
        <v/>
      </c>
      <c r="H37" s="76">
        <f>IFERROR(LARGE('A Consumo Insumos'!$Q$5:$Q$163,6),"")</f>
        <v/>
      </c>
    </row>
    <row r="38">
      <c r="A38" s="90" t="n">
        <v>7</v>
      </c>
      <c r="B38" s="31">
        <f>IF($H38="","",INDEX('A Consumo Insumos'!$A$5:$A$163,MATCH($H38,'A Consumo Insumos'!$Q$5:$Q$163,0)))</f>
        <v/>
      </c>
      <c r="C38" s="17">
        <f>IF($H38="","",INDEX('A Consumo Insumos'!$B$5:$B$163,MATCH($H38,'A Consumo Insumos'!$Q$5:$Q$163,0)))</f>
        <v/>
      </c>
      <c r="D38" s="69">
        <f>IF($H38="","",INDEX('A Consumo Insumos'!$G$5:$G$163,MATCH($H38,'A Consumo Insumos'!$Q$5:$Q$163,0)))</f>
        <v/>
      </c>
      <c r="E38" s="69">
        <f>IF($H38="","",INDEX('A Consumo Insumos'!$K$5:$K$163,MATCH($H38,'A Consumo Insumos'!$Q$5:$Q$163,0)))</f>
        <v/>
      </c>
      <c r="F38" s="91">
        <f>IF($H38="","",INDEX('A Consumo Insumos'!$L$5:$L$163,MATCH($H38,'A Consumo Insumos'!$Q$5:$Q$163,0)))</f>
        <v/>
      </c>
      <c r="G38" s="73">
        <f>IF($H38="","",IFERROR(INDEX('A Consumo Insumos'!$O$5:$O$163,MATCH($H38,'A Consumo Insumos'!$Q$5:$Q$163,0)),""))</f>
        <v/>
      </c>
      <c r="H38" s="76">
        <f>IFERROR(LARGE('A Consumo Insumos'!$Q$5:$Q$163,7),"")</f>
        <v/>
      </c>
    </row>
    <row r="39">
      <c r="A39" s="92" t="n">
        <v>8</v>
      </c>
      <c r="B39" s="27">
        <f>IF($H39="","",INDEX('A Consumo Insumos'!$A$5:$A$163,MATCH($H39,'A Consumo Insumos'!$Q$5:$Q$163,0)))</f>
        <v/>
      </c>
      <c r="C39" s="11">
        <f>IF($H39="","",INDEX('A Consumo Insumos'!$B$5:$B$163,MATCH($H39,'A Consumo Insumos'!$Q$5:$Q$163,0)))</f>
        <v/>
      </c>
      <c r="D39" s="69">
        <f>IF($H39="","",INDEX('A Consumo Insumos'!$G$5:$G$163,MATCH($H39,'A Consumo Insumos'!$Q$5:$Q$163,0)))</f>
        <v/>
      </c>
      <c r="E39" s="69">
        <f>IF($H39="","",INDEX('A Consumo Insumos'!$K$5:$K$163,MATCH($H39,'A Consumo Insumos'!$Q$5:$Q$163,0)))</f>
        <v/>
      </c>
      <c r="F39" s="91">
        <f>IF($H39="","",INDEX('A Consumo Insumos'!$L$5:$L$163,MATCH($H39,'A Consumo Insumos'!$Q$5:$Q$163,0)))</f>
        <v/>
      </c>
      <c r="G39" s="73">
        <f>IF($H39="","",IFERROR(INDEX('A Consumo Insumos'!$O$5:$O$163,MATCH($H39,'A Consumo Insumos'!$Q$5:$Q$163,0)),""))</f>
        <v/>
      </c>
      <c r="H39" s="76">
        <f>IFERROR(LARGE('A Consumo Insumos'!$Q$5:$Q$163,8),"")</f>
        <v/>
      </c>
    </row>
    <row r="40">
      <c r="A40" s="90" t="n">
        <v>9</v>
      </c>
      <c r="B40" s="31">
        <f>IF($H40="","",INDEX('A Consumo Insumos'!$A$5:$A$163,MATCH($H40,'A Consumo Insumos'!$Q$5:$Q$163,0)))</f>
        <v/>
      </c>
      <c r="C40" s="17">
        <f>IF($H40="","",INDEX('A Consumo Insumos'!$B$5:$B$163,MATCH($H40,'A Consumo Insumos'!$Q$5:$Q$163,0)))</f>
        <v/>
      </c>
      <c r="D40" s="69">
        <f>IF($H40="","",INDEX('A Consumo Insumos'!$G$5:$G$163,MATCH($H40,'A Consumo Insumos'!$Q$5:$Q$163,0)))</f>
        <v/>
      </c>
      <c r="E40" s="69">
        <f>IF($H40="","",INDEX('A Consumo Insumos'!$K$5:$K$163,MATCH($H40,'A Consumo Insumos'!$Q$5:$Q$163,0)))</f>
        <v/>
      </c>
      <c r="F40" s="91">
        <f>IF($H40="","",INDEX('A Consumo Insumos'!$L$5:$L$163,MATCH($H40,'A Consumo Insumos'!$Q$5:$Q$163,0)))</f>
        <v/>
      </c>
      <c r="G40" s="73">
        <f>IF($H40="","",IFERROR(INDEX('A Consumo Insumos'!$O$5:$O$163,MATCH($H40,'A Consumo Insumos'!$Q$5:$Q$163,0)),""))</f>
        <v/>
      </c>
      <c r="H40" s="76">
        <f>IFERROR(LARGE('A Consumo Insumos'!$Q$5:$Q$163,9),"")</f>
        <v/>
      </c>
    </row>
    <row r="41">
      <c r="A41" s="92" t="n">
        <v>10</v>
      </c>
      <c r="B41" s="27">
        <f>IF($H41="","",INDEX('A Consumo Insumos'!$A$5:$A$163,MATCH($H41,'A Consumo Insumos'!$Q$5:$Q$163,0)))</f>
        <v/>
      </c>
      <c r="C41" s="11">
        <f>IF($H41="","",INDEX('A Consumo Insumos'!$B$5:$B$163,MATCH($H41,'A Consumo Insumos'!$Q$5:$Q$163,0)))</f>
        <v/>
      </c>
      <c r="D41" s="69">
        <f>IF($H41="","",INDEX('A Consumo Insumos'!$G$5:$G$163,MATCH($H41,'A Consumo Insumos'!$Q$5:$Q$163,0)))</f>
        <v/>
      </c>
      <c r="E41" s="69">
        <f>IF($H41="","",INDEX('A Consumo Insumos'!$K$5:$K$163,MATCH($H41,'A Consumo Insumos'!$Q$5:$Q$163,0)))</f>
        <v/>
      </c>
      <c r="F41" s="91">
        <f>IF($H41="","",INDEX('A Consumo Insumos'!$L$5:$L$163,MATCH($H41,'A Consumo Insumos'!$Q$5:$Q$163,0)))</f>
        <v/>
      </c>
      <c r="G41" s="73">
        <f>IF($H41="","",IFERROR(INDEX('A Consumo Insumos'!$O$5:$O$163,MATCH($H41,'A Consumo Insumos'!$Q$5:$Q$163,0)),""))</f>
        <v/>
      </c>
      <c r="H41" s="76">
        <f>IFERROR(LARGE('A Consumo Insumos'!$Q$5:$Q$163,10),"")</f>
        <v/>
      </c>
    </row>
    <row r="42">
      <c r="A42" s="90" t="n">
        <v>11</v>
      </c>
      <c r="B42" s="31">
        <f>IF($H42="","",INDEX('A Consumo Insumos'!$A$5:$A$163,MATCH($H42,'A Consumo Insumos'!$Q$5:$Q$163,0)))</f>
        <v/>
      </c>
      <c r="C42" s="17">
        <f>IF($H42="","",INDEX('A Consumo Insumos'!$B$5:$B$163,MATCH($H42,'A Consumo Insumos'!$Q$5:$Q$163,0)))</f>
        <v/>
      </c>
      <c r="D42" s="69">
        <f>IF($H42="","",INDEX('A Consumo Insumos'!$G$5:$G$163,MATCH($H42,'A Consumo Insumos'!$Q$5:$Q$163,0)))</f>
        <v/>
      </c>
      <c r="E42" s="69">
        <f>IF($H42="","",INDEX('A Consumo Insumos'!$K$5:$K$163,MATCH($H42,'A Consumo Insumos'!$Q$5:$Q$163,0)))</f>
        <v/>
      </c>
      <c r="F42" s="91">
        <f>IF($H42="","",INDEX('A Consumo Insumos'!$L$5:$L$163,MATCH($H42,'A Consumo Insumos'!$Q$5:$Q$163,0)))</f>
        <v/>
      </c>
      <c r="G42" s="73">
        <f>IF($H42="","",IFERROR(INDEX('A Consumo Insumos'!$O$5:$O$163,MATCH($H42,'A Consumo Insumos'!$Q$5:$Q$163,0)),""))</f>
        <v/>
      </c>
      <c r="H42" s="76">
        <f>IFERROR(LARGE('A Consumo Insumos'!$Q$5:$Q$163,11),"")</f>
        <v/>
      </c>
    </row>
    <row r="43">
      <c r="A43" s="92" t="n">
        <v>12</v>
      </c>
      <c r="B43" s="27">
        <f>IF($H43="","",INDEX('A Consumo Insumos'!$A$5:$A$163,MATCH($H43,'A Consumo Insumos'!$Q$5:$Q$163,0)))</f>
        <v/>
      </c>
      <c r="C43" s="11">
        <f>IF($H43="","",INDEX('A Consumo Insumos'!$B$5:$B$163,MATCH($H43,'A Consumo Insumos'!$Q$5:$Q$163,0)))</f>
        <v/>
      </c>
      <c r="D43" s="69">
        <f>IF($H43="","",INDEX('A Consumo Insumos'!$G$5:$G$163,MATCH($H43,'A Consumo Insumos'!$Q$5:$Q$163,0)))</f>
        <v/>
      </c>
      <c r="E43" s="69">
        <f>IF($H43="","",INDEX('A Consumo Insumos'!$K$5:$K$163,MATCH($H43,'A Consumo Insumos'!$Q$5:$Q$163,0)))</f>
        <v/>
      </c>
      <c r="F43" s="91">
        <f>IF($H43="","",INDEX('A Consumo Insumos'!$L$5:$L$163,MATCH($H43,'A Consumo Insumos'!$Q$5:$Q$163,0)))</f>
        <v/>
      </c>
      <c r="G43" s="73">
        <f>IF($H43="","",IFERROR(INDEX('A Consumo Insumos'!$O$5:$O$163,MATCH($H43,'A Consumo Insumos'!$Q$5:$Q$163,0)),""))</f>
        <v/>
      </c>
      <c r="H43" s="76">
        <f>IFERROR(LARGE('A Consumo Insumos'!$Q$5:$Q$163,12),"")</f>
        <v/>
      </c>
    </row>
    <row r="45" ht="22" customHeight="1">
      <c r="B45" s="4" t="inlineStr">
        <is>
          <t>4 · LOS 12 PRODUCTOS CON MAYOR DIFERENCIA SIN EXPLICAR</t>
        </is>
      </c>
    </row>
    <row r="46" ht="22" customHeight="1">
      <c r="A46" s="6" t="inlineStr">
        <is>
          <t>#</t>
        </is>
      </c>
      <c r="B46" s="6" t="inlineStr">
        <is>
          <t>AREA</t>
        </is>
      </c>
      <c r="C46" s="6" t="inlineStr">
        <is>
          <t>PRODUCTO</t>
        </is>
      </c>
      <c r="D46" s="6" t="inlineStr">
        <is>
          <t>ELABORADO</t>
        </is>
      </c>
      <c r="E46" s="6" t="inlineStr">
        <is>
          <t>DESCARTE</t>
        </is>
      </c>
      <c r="F46" s="6" t="inlineStr">
        <is>
          <t>DIF. SIN EXPLICAR</t>
        </is>
      </c>
      <c r="G46" s="6" t="inlineStr">
        <is>
          <t>% S/ELAB.</t>
        </is>
      </c>
      <c r="H46" s="6" t="inlineStr">
        <is>
          <t>k</t>
        </is>
      </c>
    </row>
    <row r="47">
      <c r="A47" s="90" t="n">
        <v>1</v>
      </c>
      <c r="B47" s="31">
        <f>IF($H47="","",INDEX('B Concil Productos'!$A$6:$A$226,MATCH($H47,'B Concil Productos'!$M$6:$M$226,0)))</f>
        <v/>
      </c>
      <c r="C47" s="17">
        <f>IF($H47="","",INDEX('B Concil Productos'!$B$6:$B$226,MATCH($H47,'B Concil Productos'!$M$6:$M$226,0)))</f>
        <v/>
      </c>
      <c r="D47" s="80">
        <f>IF($H47="","",INDEX('B Concil Productos'!$D$6:$D$226,MATCH($H47,'B Concil Productos'!$M$6:$M$226,0)))</f>
        <v/>
      </c>
      <c r="E47" s="80">
        <f>IF($H47="","",INDEX('B Concil Productos'!$G$6:$G$226,MATCH($H47,'B Concil Productos'!$M$6:$M$226,0)))</f>
        <v/>
      </c>
      <c r="F47" s="85">
        <f>IF($H47="","",INDEX('B Concil Productos'!$J$6:$J$226,MATCH($H47,'B Concil Productos'!$M$6:$M$226,0)))</f>
        <v/>
      </c>
      <c r="G47" s="91">
        <f>IF($H47="","",INDEX('B Concil Productos'!$K$6:$K$226,MATCH($H47,'B Concil Productos'!$M$6:$M$226,0)))</f>
        <v/>
      </c>
      <c r="H47" s="76">
        <f>IFERROR(LARGE('B Concil Productos'!$M$6:$M$226,1),"")</f>
        <v/>
      </c>
    </row>
    <row r="48">
      <c r="A48" s="92" t="n">
        <v>2</v>
      </c>
      <c r="B48" s="27">
        <f>IF($H48="","",INDEX('B Concil Productos'!$A$6:$A$226,MATCH($H48,'B Concil Productos'!$M$6:$M$226,0)))</f>
        <v/>
      </c>
      <c r="C48" s="11">
        <f>IF($H48="","",INDEX('B Concil Productos'!$B$6:$B$226,MATCH($H48,'B Concil Productos'!$M$6:$M$226,0)))</f>
        <v/>
      </c>
      <c r="D48" s="80">
        <f>IF($H48="","",INDEX('B Concil Productos'!$D$6:$D$226,MATCH($H48,'B Concil Productos'!$M$6:$M$226,0)))</f>
        <v/>
      </c>
      <c r="E48" s="80">
        <f>IF($H48="","",INDEX('B Concil Productos'!$G$6:$G$226,MATCH($H48,'B Concil Productos'!$M$6:$M$226,0)))</f>
        <v/>
      </c>
      <c r="F48" s="85">
        <f>IF($H48="","",INDEX('B Concil Productos'!$J$6:$J$226,MATCH($H48,'B Concil Productos'!$M$6:$M$226,0)))</f>
        <v/>
      </c>
      <c r="G48" s="91">
        <f>IF($H48="","",INDEX('B Concil Productos'!$K$6:$K$226,MATCH($H48,'B Concil Productos'!$M$6:$M$226,0)))</f>
        <v/>
      </c>
      <c r="H48" s="76">
        <f>IFERROR(LARGE('B Concil Productos'!$M$6:$M$226,2),"")</f>
        <v/>
      </c>
    </row>
    <row r="49">
      <c r="A49" s="90" t="n">
        <v>3</v>
      </c>
      <c r="B49" s="31">
        <f>IF($H49="","",INDEX('B Concil Productos'!$A$6:$A$226,MATCH($H49,'B Concil Productos'!$M$6:$M$226,0)))</f>
        <v/>
      </c>
      <c r="C49" s="17">
        <f>IF($H49="","",INDEX('B Concil Productos'!$B$6:$B$226,MATCH($H49,'B Concil Productos'!$M$6:$M$226,0)))</f>
        <v/>
      </c>
      <c r="D49" s="80">
        <f>IF($H49="","",INDEX('B Concil Productos'!$D$6:$D$226,MATCH($H49,'B Concil Productos'!$M$6:$M$226,0)))</f>
        <v/>
      </c>
      <c r="E49" s="80">
        <f>IF($H49="","",INDEX('B Concil Productos'!$G$6:$G$226,MATCH($H49,'B Concil Productos'!$M$6:$M$226,0)))</f>
        <v/>
      </c>
      <c r="F49" s="85">
        <f>IF($H49="","",INDEX('B Concil Productos'!$J$6:$J$226,MATCH($H49,'B Concil Productos'!$M$6:$M$226,0)))</f>
        <v/>
      </c>
      <c r="G49" s="91">
        <f>IF($H49="","",INDEX('B Concil Productos'!$K$6:$K$226,MATCH($H49,'B Concil Productos'!$M$6:$M$226,0)))</f>
        <v/>
      </c>
      <c r="H49" s="76">
        <f>IFERROR(LARGE('B Concil Productos'!$M$6:$M$226,3),"")</f>
        <v/>
      </c>
    </row>
    <row r="50">
      <c r="A50" s="92" t="n">
        <v>4</v>
      </c>
      <c r="B50" s="27">
        <f>IF($H50="","",INDEX('B Concil Productos'!$A$6:$A$226,MATCH($H50,'B Concil Productos'!$M$6:$M$226,0)))</f>
        <v/>
      </c>
      <c r="C50" s="11">
        <f>IF($H50="","",INDEX('B Concil Productos'!$B$6:$B$226,MATCH($H50,'B Concil Productos'!$M$6:$M$226,0)))</f>
        <v/>
      </c>
      <c r="D50" s="80">
        <f>IF($H50="","",INDEX('B Concil Productos'!$D$6:$D$226,MATCH($H50,'B Concil Productos'!$M$6:$M$226,0)))</f>
        <v/>
      </c>
      <c r="E50" s="80">
        <f>IF($H50="","",INDEX('B Concil Productos'!$G$6:$G$226,MATCH($H50,'B Concil Productos'!$M$6:$M$226,0)))</f>
        <v/>
      </c>
      <c r="F50" s="85">
        <f>IF($H50="","",INDEX('B Concil Productos'!$J$6:$J$226,MATCH($H50,'B Concil Productos'!$M$6:$M$226,0)))</f>
        <v/>
      </c>
      <c r="G50" s="91">
        <f>IF($H50="","",INDEX('B Concil Productos'!$K$6:$K$226,MATCH($H50,'B Concil Productos'!$M$6:$M$226,0)))</f>
        <v/>
      </c>
      <c r="H50" s="76">
        <f>IFERROR(LARGE('B Concil Productos'!$M$6:$M$226,4),"")</f>
        <v/>
      </c>
    </row>
    <row r="51">
      <c r="A51" s="90" t="n">
        <v>5</v>
      </c>
      <c r="B51" s="31">
        <f>IF($H51="","",INDEX('B Concil Productos'!$A$6:$A$226,MATCH($H51,'B Concil Productos'!$M$6:$M$226,0)))</f>
        <v/>
      </c>
      <c r="C51" s="17">
        <f>IF($H51="","",INDEX('B Concil Productos'!$B$6:$B$226,MATCH($H51,'B Concil Productos'!$M$6:$M$226,0)))</f>
        <v/>
      </c>
      <c r="D51" s="80">
        <f>IF($H51="","",INDEX('B Concil Productos'!$D$6:$D$226,MATCH($H51,'B Concil Productos'!$M$6:$M$226,0)))</f>
        <v/>
      </c>
      <c r="E51" s="80">
        <f>IF($H51="","",INDEX('B Concil Productos'!$G$6:$G$226,MATCH($H51,'B Concil Productos'!$M$6:$M$226,0)))</f>
        <v/>
      </c>
      <c r="F51" s="85">
        <f>IF($H51="","",INDEX('B Concil Productos'!$J$6:$J$226,MATCH($H51,'B Concil Productos'!$M$6:$M$226,0)))</f>
        <v/>
      </c>
      <c r="G51" s="91">
        <f>IF($H51="","",INDEX('B Concil Productos'!$K$6:$K$226,MATCH($H51,'B Concil Productos'!$M$6:$M$226,0)))</f>
        <v/>
      </c>
      <c r="H51" s="76">
        <f>IFERROR(LARGE('B Concil Productos'!$M$6:$M$226,5),"")</f>
        <v/>
      </c>
    </row>
    <row r="52">
      <c r="A52" s="92" t="n">
        <v>6</v>
      </c>
      <c r="B52" s="27">
        <f>IF($H52="","",INDEX('B Concil Productos'!$A$6:$A$226,MATCH($H52,'B Concil Productos'!$M$6:$M$226,0)))</f>
        <v/>
      </c>
      <c r="C52" s="11">
        <f>IF($H52="","",INDEX('B Concil Productos'!$B$6:$B$226,MATCH($H52,'B Concil Productos'!$M$6:$M$226,0)))</f>
        <v/>
      </c>
      <c r="D52" s="80">
        <f>IF($H52="","",INDEX('B Concil Productos'!$D$6:$D$226,MATCH($H52,'B Concil Productos'!$M$6:$M$226,0)))</f>
        <v/>
      </c>
      <c r="E52" s="80">
        <f>IF($H52="","",INDEX('B Concil Productos'!$G$6:$G$226,MATCH($H52,'B Concil Productos'!$M$6:$M$226,0)))</f>
        <v/>
      </c>
      <c r="F52" s="85">
        <f>IF($H52="","",INDEX('B Concil Productos'!$J$6:$J$226,MATCH($H52,'B Concil Productos'!$M$6:$M$226,0)))</f>
        <v/>
      </c>
      <c r="G52" s="91">
        <f>IF($H52="","",INDEX('B Concil Productos'!$K$6:$K$226,MATCH($H52,'B Concil Productos'!$M$6:$M$226,0)))</f>
        <v/>
      </c>
      <c r="H52" s="76">
        <f>IFERROR(LARGE('B Concil Productos'!$M$6:$M$226,6),"")</f>
        <v/>
      </c>
    </row>
    <row r="53">
      <c r="A53" s="90" t="n">
        <v>7</v>
      </c>
      <c r="B53" s="31">
        <f>IF($H53="","",INDEX('B Concil Productos'!$A$6:$A$226,MATCH($H53,'B Concil Productos'!$M$6:$M$226,0)))</f>
        <v/>
      </c>
      <c r="C53" s="17">
        <f>IF($H53="","",INDEX('B Concil Productos'!$B$6:$B$226,MATCH($H53,'B Concil Productos'!$M$6:$M$226,0)))</f>
        <v/>
      </c>
      <c r="D53" s="80">
        <f>IF($H53="","",INDEX('B Concil Productos'!$D$6:$D$226,MATCH($H53,'B Concil Productos'!$M$6:$M$226,0)))</f>
        <v/>
      </c>
      <c r="E53" s="80">
        <f>IF($H53="","",INDEX('B Concil Productos'!$G$6:$G$226,MATCH($H53,'B Concil Productos'!$M$6:$M$226,0)))</f>
        <v/>
      </c>
      <c r="F53" s="85">
        <f>IF($H53="","",INDEX('B Concil Productos'!$J$6:$J$226,MATCH($H53,'B Concil Productos'!$M$6:$M$226,0)))</f>
        <v/>
      </c>
      <c r="G53" s="91">
        <f>IF($H53="","",INDEX('B Concil Productos'!$K$6:$K$226,MATCH($H53,'B Concil Productos'!$M$6:$M$226,0)))</f>
        <v/>
      </c>
      <c r="H53" s="76">
        <f>IFERROR(LARGE('B Concil Productos'!$M$6:$M$226,7),"")</f>
        <v/>
      </c>
    </row>
    <row r="54">
      <c r="A54" s="92" t="n">
        <v>8</v>
      </c>
      <c r="B54" s="27">
        <f>IF($H54="","",INDEX('B Concil Productos'!$A$6:$A$226,MATCH($H54,'B Concil Productos'!$M$6:$M$226,0)))</f>
        <v/>
      </c>
      <c r="C54" s="11">
        <f>IF($H54="","",INDEX('B Concil Productos'!$B$6:$B$226,MATCH($H54,'B Concil Productos'!$M$6:$M$226,0)))</f>
        <v/>
      </c>
      <c r="D54" s="80">
        <f>IF($H54="","",INDEX('B Concil Productos'!$D$6:$D$226,MATCH($H54,'B Concil Productos'!$M$6:$M$226,0)))</f>
        <v/>
      </c>
      <c r="E54" s="80">
        <f>IF($H54="","",INDEX('B Concil Productos'!$G$6:$G$226,MATCH($H54,'B Concil Productos'!$M$6:$M$226,0)))</f>
        <v/>
      </c>
      <c r="F54" s="85">
        <f>IF($H54="","",INDEX('B Concil Productos'!$J$6:$J$226,MATCH($H54,'B Concil Productos'!$M$6:$M$226,0)))</f>
        <v/>
      </c>
      <c r="G54" s="91">
        <f>IF($H54="","",INDEX('B Concil Productos'!$K$6:$K$226,MATCH($H54,'B Concil Productos'!$M$6:$M$226,0)))</f>
        <v/>
      </c>
      <c r="H54" s="76">
        <f>IFERROR(LARGE('B Concil Productos'!$M$6:$M$226,8),"")</f>
        <v/>
      </c>
    </row>
    <row r="55">
      <c r="A55" s="90" t="n">
        <v>9</v>
      </c>
      <c r="B55" s="31">
        <f>IF($H55="","",INDEX('B Concil Productos'!$A$6:$A$226,MATCH($H55,'B Concil Productos'!$M$6:$M$226,0)))</f>
        <v/>
      </c>
      <c r="C55" s="17">
        <f>IF($H55="","",INDEX('B Concil Productos'!$B$6:$B$226,MATCH($H55,'B Concil Productos'!$M$6:$M$226,0)))</f>
        <v/>
      </c>
      <c r="D55" s="80">
        <f>IF($H55="","",INDEX('B Concil Productos'!$D$6:$D$226,MATCH($H55,'B Concil Productos'!$M$6:$M$226,0)))</f>
        <v/>
      </c>
      <c r="E55" s="80">
        <f>IF($H55="","",INDEX('B Concil Productos'!$G$6:$G$226,MATCH($H55,'B Concil Productos'!$M$6:$M$226,0)))</f>
        <v/>
      </c>
      <c r="F55" s="85">
        <f>IF($H55="","",INDEX('B Concil Productos'!$J$6:$J$226,MATCH($H55,'B Concil Productos'!$M$6:$M$226,0)))</f>
        <v/>
      </c>
      <c r="G55" s="91">
        <f>IF($H55="","",INDEX('B Concil Productos'!$K$6:$K$226,MATCH($H55,'B Concil Productos'!$M$6:$M$226,0)))</f>
        <v/>
      </c>
      <c r="H55" s="76">
        <f>IFERROR(LARGE('B Concil Productos'!$M$6:$M$226,9),"")</f>
        <v/>
      </c>
    </row>
    <row r="56">
      <c r="A56" s="92" t="n">
        <v>10</v>
      </c>
      <c r="B56" s="27">
        <f>IF($H56="","",INDEX('B Concil Productos'!$A$6:$A$226,MATCH($H56,'B Concil Productos'!$M$6:$M$226,0)))</f>
        <v/>
      </c>
      <c r="C56" s="11">
        <f>IF($H56="","",INDEX('B Concil Productos'!$B$6:$B$226,MATCH($H56,'B Concil Productos'!$M$6:$M$226,0)))</f>
        <v/>
      </c>
      <c r="D56" s="80">
        <f>IF($H56="","",INDEX('B Concil Productos'!$D$6:$D$226,MATCH($H56,'B Concil Productos'!$M$6:$M$226,0)))</f>
        <v/>
      </c>
      <c r="E56" s="80">
        <f>IF($H56="","",INDEX('B Concil Productos'!$G$6:$G$226,MATCH($H56,'B Concil Productos'!$M$6:$M$226,0)))</f>
        <v/>
      </c>
      <c r="F56" s="85">
        <f>IF($H56="","",INDEX('B Concil Productos'!$J$6:$J$226,MATCH($H56,'B Concil Productos'!$M$6:$M$226,0)))</f>
        <v/>
      </c>
      <c r="G56" s="91">
        <f>IF($H56="","",INDEX('B Concil Productos'!$K$6:$K$226,MATCH($H56,'B Concil Productos'!$M$6:$M$226,0)))</f>
        <v/>
      </c>
      <c r="H56" s="76">
        <f>IFERROR(LARGE('B Concil Productos'!$M$6:$M$226,10),"")</f>
        <v/>
      </c>
    </row>
    <row r="57">
      <c r="A57" s="90" t="n">
        <v>11</v>
      </c>
      <c r="B57" s="31">
        <f>IF($H57="","",INDEX('B Concil Productos'!$A$6:$A$226,MATCH($H57,'B Concil Productos'!$M$6:$M$226,0)))</f>
        <v/>
      </c>
      <c r="C57" s="17">
        <f>IF($H57="","",INDEX('B Concil Productos'!$B$6:$B$226,MATCH($H57,'B Concil Productos'!$M$6:$M$226,0)))</f>
        <v/>
      </c>
      <c r="D57" s="80">
        <f>IF($H57="","",INDEX('B Concil Productos'!$D$6:$D$226,MATCH($H57,'B Concil Productos'!$M$6:$M$226,0)))</f>
        <v/>
      </c>
      <c r="E57" s="80">
        <f>IF($H57="","",INDEX('B Concil Productos'!$G$6:$G$226,MATCH($H57,'B Concil Productos'!$M$6:$M$226,0)))</f>
        <v/>
      </c>
      <c r="F57" s="85">
        <f>IF($H57="","",INDEX('B Concil Productos'!$J$6:$J$226,MATCH($H57,'B Concil Productos'!$M$6:$M$226,0)))</f>
        <v/>
      </c>
      <c r="G57" s="91">
        <f>IF($H57="","",INDEX('B Concil Productos'!$K$6:$K$226,MATCH($H57,'B Concil Productos'!$M$6:$M$226,0)))</f>
        <v/>
      </c>
      <c r="H57" s="76">
        <f>IFERROR(LARGE('B Concil Productos'!$M$6:$M$226,11),"")</f>
        <v/>
      </c>
    </row>
    <row r="58">
      <c r="A58" s="92" t="n">
        <v>12</v>
      </c>
      <c r="B58" s="27">
        <f>IF($H58="","",INDEX('B Concil Productos'!$A$6:$A$226,MATCH($H58,'B Concil Productos'!$M$6:$M$226,0)))</f>
        <v/>
      </c>
      <c r="C58" s="11">
        <f>IF($H58="","",INDEX('B Concil Productos'!$B$6:$B$226,MATCH($H58,'B Concil Productos'!$M$6:$M$226,0)))</f>
        <v/>
      </c>
      <c r="D58" s="80">
        <f>IF($H58="","",INDEX('B Concil Productos'!$D$6:$D$226,MATCH($H58,'B Concil Productos'!$M$6:$M$226,0)))</f>
        <v/>
      </c>
      <c r="E58" s="80">
        <f>IF($H58="","",INDEX('B Concil Productos'!$G$6:$G$226,MATCH($H58,'B Concil Productos'!$M$6:$M$226,0)))</f>
        <v/>
      </c>
      <c r="F58" s="85">
        <f>IF($H58="","",INDEX('B Concil Productos'!$J$6:$J$226,MATCH($H58,'B Concil Productos'!$M$6:$M$226,0)))</f>
        <v/>
      </c>
      <c r="G58" s="91">
        <f>IF($H58="","",INDEX('B Concil Productos'!$K$6:$K$226,MATCH($H58,'B Concil Productos'!$M$6:$M$226,0)))</f>
        <v/>
      </c>
      <c r="H58" s="76">
        <f>IFERROR(LARGE('B Concil Productos'!$M$6:$M$226,12),"")</f>
        <v/>
      </c>
    </row>
    <row r="60" ht="22" customHeight="1">
      <c r="B60" s="4" t="inlineStr">
        <is>
          <t>5 · DESCARTES POR MOTIVO  (por que se tira)</t>
        </is>
      </c>
    </row>
    <row r="61" ht="20" customHeight="1">
      <c r="A61" s="6" t="inlineStr"/>
      <c r="B61" s="6" t="inlineStr">
        <is>
          <t>MOTIVO</t>
        </is>
      </c>
      <c r="C61" s="6" t="inlineStr"/>
      <c r="D61" s="6" t="inlineStr">
        <is>
          <t>CANTIDAD</t>
        </is>
      </c>
      <c r="E61" s="6" t="inlineStr">
        <is>
          <t>LINEAS</t>
        </is>
      </c>
      <c r="F61" s="6" t="inlineStr"/>
      <c r="G61" s="6" t="inlineStr"/>
      <c r="H61" s="6" t="inlineStr"/>
    </row>
    <row r="62">
      <c r="B62" s="9" t="inlineStr">
        <is>
          <t>Quemado / mal cocido</t>
        </is>
      </c>
      <c r="C62" s="9" t="n"/>
      <c r="D62" s="93">
        <f>SUMIF('5 Descartes'!$F$6:$F$205,$B62,'5 Descartes'!$D$6:$D$205)</f>
        <v/>
      </c>
      <c r="E62" s="80">
        <f>COUNTIF('5 Descartes'!$F$6:$F$205,$B62)</f>
        <v/>
      </c>
      <c r="F62" s="19" t="n"/>
      <c r="G62" s="19" t="n"/>
      <c r="H62" s="19" t="n"/>
    </row>
    <row r="63">
      <c r="B63" s="20" t="inlineStr">
        <is>
          <t>Mal armado / defectuoso</t>
        </is>
      </c>
      <c r="C63" s="20" t="n"/>
      <c r="D63" s="93">
        <f>SUMIF('5 Descartes'!$F$6:$F$205,$B63,'5 Descartes'!$D$6:$D$205)</f>
        <v/>
      </c>
      <c r="E63" s="80">
        <f>COUNTIF('5 Descartes'!$F$6:$F$205,$B63)</f>
        <v/>
      </c>
      <c r="F63" s="19" t="n"/>
      <c r="G63" s="19" t="n"/>
      <c r="H63" s="19" t="n"/>
    </row>
    <row r="64">
      <c r="B64" s="9" t="inlineStr">
        <is>
          <t>Vencido / pasado</t>
        </is>
      </c>
      <c r="C64" s="9" t="n"/>
      <c r="D64" s="93">
        <f>SUMIF('5 Descartes'!$F$6:$F$205,$B64,'5 Descartes'!$D$6:$D$205)</f>
        <v/>
      </c>
      <c r="E64" s="80">
        <f>COUNTIF('5 Descartes'!$F$6:$F$205,$B64)</f>
        <v/>
      </c>
      <c r="F64" s="19" t="n"/>
      <c r="G64" s="19" t="n"/>
      <c r="H64" s="19" t="n"/>
    </row>
    <row r="65">
      <c r="B65" s="20" t="inlineStr">
        <is>
          <t>Caido / roto</t>
        </is>
      </c>
      <c r="C65" s="20" t="n"/>
      <c r="D65" s="93">
        <f>SUMIF('5 Descartes'!$F$6:$F$205,$B65,'5 Descartes'!$D$6:$D$205)</f>
        <v/>
      </c>
      <c r="E65" s="80">
        <f>COUNTIF('5 Descartes'!$F$6:$F$205,$B65)</f>
        <v/>
      </c>
      <c r="F65" s="19" t="n"/>
      <c r="G65" s="19" t="n"/>
      <c r="H65" s="19" t="n"/>
    </row>
    <row r="66">
      <c r="B66" s="9" t="inlineStr">
        <is>
          <t>Sobrante no vendido</t>
        </is>
      </c>
      <c r="C66" s="9" t="n"/>
      <c r="D66" s="93">
        <f>SUMIF('5 Descartes'!$F$6:$F$205,$B66,'5 Descartes'!$D$6:$D$205)</f>
        <v/>
      </c>
      <c r="E66" s="80">
        <f>COUNTIF('5 Descartes'!$F$6:$F$205,$B66)</f>
        <v/>
      </c>
      <c r="F66" s="19" t="n"/>
      <c r="G66" s="19" t="n"/>
      <c r="H66" s="19" t="n"/>
    </row>
    <row r="67">
      <c r="B67" s="20" t="inlineStr">
        <is>
          <t>Prueba / degustacion</t>
        </is>
      </c>
      <c r="C67" s="20" t="n"/>
      <c r="D67" s="93">
        <f>SUMIF('5 Descartes'!$F$6:$F$205,$B67,'5 Descartes'!$D$6:$D$205)</f>
        <v/>
      </c>
      <c r="E67" s="80">
        <f>COUNTIF('5 Descartes'!$F$6:$F$205,$B67)</f>
        <v/>
      </c>
      <c r="F67" s="19" t="n"/>
      <c r="G67" s="19" t="n"/>
      <c r="H67" s="19" t="n"/>
    </row>
    <row r="68">
      <c r="B68" s="9" t="inlineStr">
        <is>
          <t>Consumo del personal</t>
        </is>
      </c>
      <c r="C68" s="9" t="n"/>
      <c r="D68" s="93">
        <f>SUMIF('5 Descartes'!$F$6:$F$205,$B68,'5 Descartes'!$D$6:$D$205)</f>
        <v/>
      </c>
      <c r="E68" s="80">
        <f>COUNTIF('5 Descartes'!$F$6:$F$205,$B68)</f>
        <v/>
      </c>
      <c r="F68" s="19" t="n"/>
      <c r="G68" s="19" t="n"/>
      <c r="H68" s="19" t="n"/>
    </row>
    <row r="69">
      <c r="B69" s="20" t="inlineStr">
        <is>
          <t>Devolucion de local</t>
        </is>
      </c>
      <c r="C69" s="20" t="n"/>
      <c r="D69" s="93">
        <f>SUMIF('5 Descartes'!$F$6:$F$205,$B69,'5 Descartes'!$D$6:$D$205)</f>
        <v/>
      </c>
      <c r="E69" s="80">
        <f>COUNTIF('5 Descartes'!$F$6:$F$205,$B69)</f>
        <v/>
      </c>
      <c r="F69" s="19" t="n"/>
      <c r="G69" s="19" t="n"/>
      <c r="H69" s="19" t="n"/>
    </row>
    <row r="70">
      <c r="B70" s="9" t="inlineStr">
        <is>
          <t>Otro</t>
        </is>
      </c>
      <c r="C70" s="9" t="n"/>
      <c r="D70" s="93">
        <f>SUMIF('5 Descartes'!$F$6:$F$205,$B70,'5 Descartes'!$D$6:$D$205)</f>
        <v/>
      </c>
      <c r="E70" s="80">
        <f>COUNTIF('5 Descartes'!$F$6:$F$205,$B70)</f>
        <v/>
      </c>
      <c r="F70" s="19" t="n"/>
      <c r="G70" s="19" t="n"/>
      <c r="H70" s="19" t="n"/>
    </row>
    <row r="72" ht="22" customHeight="1">
      <c r="B72" s="4" t="inlineStr">
        <is>
          <t>6 · DESCARTES Y ALERTAS POR AREA</t>
        </is>
      </c>
    </row>
    <row r="73" ht="30" customHeight="1">
      <c r="A73" s="6" t="inlineStr"/>
      <c r="B73" s="6" t="inlineStr">
        <is>
          <t>AREA</t>
        </is>
      </c>
      <c r="C73" s="6" t="inlineStr"/>
      <c r="D73" s="6" t="inlineStr">
        <is>
          <t>DESCARTE
(cantidad)</t>
        </is>
      </c>
      <c r="E73" s="6" t="inlineStr">
        <is>
          <t>LINEAS DE
DESCARTE</t>
        </is>
      </c>
      <c r="F73" s="6" t="inlineStr">
        <is>
          <t>INSUMOS
CON ALERTA</t>
        </is>
      </c>
      <c r="G73" s="6" t="inlineStr">
        <is>
          <t>PRODUCTOS
CON ALERTA</t>
        </is>
      </c>
      <c r="H73" s="6" t="inlineStr"/>
    </row>
    <row r="74">
      <c r="B74" s="11" t="inlineStr">
        <is>
          <t>Panadería</t>
        </is>
      </c>
      <c r="C74" s="9" t="n"/>
      <c r="D74" s="93">
        <f>SUMIF('5 Descartes'!$B$6:$B$205,$B74,'5 Descartes'!$D$6:$D$205)</f>
        <v/>
      </c>
      <c r="E74" s="80">
        <f>COUNTIF('5 Descartes'!$B$6:$B$205,$B74)</f>
        <v/>
      </c>
      <c r="F74" s="80">
        <f>COUNTIFS('A Consumo Insumos'!$A$5:$A$163,$B74,'A Consumo Insumos'!$P$5:$P$163,"&lt;&gt;OK",'A Consumo Insumos'!$P$5:$P$163,"&lt;&gt;")</f>
        <v/>
      </c>
      <c r="G74" s="80">
        <f>COUNTIFS('B Concil Productos'!$A$6:$A$226,$B74,'B Concil Productos'!$L$6:$L$226,"&lt;&gt;OK",'B Concil Productos'!$L$6:$L$226,"&lt;&gt;")</f>
        <v/>
      </c>
      <c r="H74" s="19" t="n"/>
    </row>
    <row r="75">
      <c r="B75" s="17" t="inlineStr">
        <is>
          <t>Pastelería</t>
        </is>
      </c>
      <c r="C75" s="20" t="n"/>
      <c r="D75" s="93">
        <f>SUMIF('5 Descartes'!$B$6:$B$205,$B75,'5 Descartes'!$D$6:$D$205)</f>
        <v/>
      </c>
      <c r="E75" s="80">
        <f>COUNTIF('5 Descartes'!$B$6:$B$205,$B75)</f>
        <v/>
      </c>
      <c r="F75" s="80">
        <f>COUNTIFS('A Consumo Insumos'!$A$5:$A$163,$B75,'A Consumo Insumos'!$P$5:$P$163,"&lt;&gt;OK",'A Consumo Insumos'!$P$5:$P$163,"&lt;&gt;")</f>
        <v/>
      </c>
      <c r="G75" s="80">
        <f>COUNTIFS('B Concil Productos'!$A$6:$A$226,$B75,'B Concil Productos'!$L$6:$L$226,"&lt;&gt;OK",'B Concil Productos'!$L$6:$L$226,"&lt;&gt;")</f>
        <v/>
      </c>
      <c r="H75" s="19" t="n"/>
    </row>
    <row r="76">
      <c r="B76" s="11" t="inlineStr">
        <is>
          <t>Especialidades</t>
        </is>
      </c>
      <c r="C76" s="9" t="n"/>
      <c r="D76" s="93">
        <f>SUMIF('5 Descartes'!$B$6:$B$205,$B76,'5 Descartes'!$D$6:$D$205)</f>
        <v/>
      </c>
      <c r="E76" s="80">
        <f>COUNTIF('5 Descartes'!$B$6:$B$205,$B76)</f>
        <v/>
      </c>
      <c r="F76" s="80">
        <f>COUNTIFS('A Consumo Insumos'!$A$5:$A$163,$B76,'A Consumo Insumos'!$P$5:$P$163,"&lt;&gt;OK",'A Consumo Insumos'!$P$5:$P$163,"&lt;&gt;")</f>
        <v/>
      </c>
      <c r="G76" s="80">
        <f>COUNTIFS('B Concil Productos'!$A$6:$A$226,$B76,'B Concil Productos'!$L$6:$L$226,"&lt;&gt;OK",'B Concil Productos'!$L$6:$L$226,"&lt;&gt;")</f>
        <v/>
      </c>
      <c r="H76" s="19" t="n"/>
    </row>
    <row r="77">
      <c r="B77" s="17" t="inlineStr">
        <is>
          <t>Facturería</t>
        </is>
      </c>
      <c r="C77" s="20" t="n"/>
      <c r="D77" s="93">
        <f>SUMIF('5 Descartes'!$B$6:$B$205,$B77,'5 Descartes'!$D$6:$D$205)</f>
        <v/>
      </c>
      <c r="E77" s="80">
        <f>COUNTIF('5 Descartes'!$B$6:$B$205,$B77)</f>
        <v/>
      </c>
      <c r="F77" s="80">
        <f>COUNTIFS('A Consumo Insumos'!$A$5:$A$163,$B77,'A Consumo Insumos'!$P$5:$P$163,"&lt;&gt;OK",'A Consumo Insumos'!$P$5:$P$163,"&lt;&gt;")</f>
        <v/>
      </c>
      <c r="G77" s="80">
        <f>COUNTIFS('B Concil Productos'!$A$6:$A$226,$B77,'B Concil Productos'!$L$6:$L$226,"&lt;&gt;OK",'B Concil Productos'!$L$6:$L$226,"&lt;&gt;")</f>
        <v/>
      </c>
      <c r="H77" s="19" t="n"/>
    </row>
    <row r="78">
      <c r="B78" s="11" t="inlineStr">
        <is>
          <t>Sandwiches</t>
        </is>
      </c>
      <c r="C78" s="9" t="n"/>
      <c r="D78" s="93">
        <f>SUMIF('5 Descartes'!$B$6:$B$205,$B78,'5 Descartes'!$D$6:$D$205)</f>
        <v/>
      </c>
      <c r="E78" s="80">
        <f>COUNTIF('5 Descartes'!$B$6:$B$205,$B78)</f>
        <v/>
      </c>
      <c r="F78" s="80">
        <f>COUNTIFS('A Consumo Insumos'!$A$5:$A$163,$B78,'A Consumo Insumos'!$P$5:$P$163,"&lt;&gt;OK",'A Consumo Insumos'!$P$5:$P$163,"&lt;&gt;")</f>
        <v/>
      </c>
      <c r="G78" s="80">
        <f>COUNTIFS('B Concil Productos'!$A$6:$A$226,$B78,'B Concil Productos'!$L$6:$L$226,"&lt;&gt;OK",'B Concil Productos'!$L$6:$L$226,"&lt;&gt;")</f>
        <v/>
      </c>
      <c r="H78" s="19" t="n"/>
    </row>
    <row r="79">
      <c r="B79" s="17" t="inlineStr">
        <is>
          <t>Cocina San Luis</t>
        </is>
      </c>
      <c r="C79" s="20" t="n"/>
      <c r="D79" s="93">
        <f>SUMIF('5 Descartes'!$B$6:$B$205,$B79,'5 Descartes'!$D$6:$D$205)</f>
        <v/>
      </c>
      <c r="E79" s="80">
        <f>COUNTIF('5 Descartes'!$B$6:$B$205,$B79)</f>
        <v/>
      </c>
      <c r="F79" s="80">
        <f>COUNTIFS('A Consumo Insumos'!$A$5:$A$163,$B79,'A Consumo Insumos'!$P$5:$P$163,"&lt;&gt;OK",'A Consumo Insumos'!$P$5:$P$163,"&lt;&gt;")</f>
        <v/>
      </c>
      <c r="G79" s="80">
        <f>COUNTIFS('B Concil Productos'!$A$6:$A$226,$B79,'B Concil Productos'!$L$6:$L$226,"&lt;&gt;OK",'B Concil Productos'!$L$6:$L$226,"&lt;&gt;")</f>
        <v/>
      </c>
      <c r="H79" s="19" t="n"/>
    </row>
  </sheetData>
  <mergeCells count="54">
    <mergeCell ref="D20:E20"/>
    <mergeCell ref="B62:C62"/>
    <mergeCell ref="B7:C7"/>
    <mergeCell ref="B25:C25"/>
    <mergeCell ref="D19:E19"/>
    <mergeCell ref="B22:C22"/>
    <mergeCell ref="B30:H30"/>
    <mergeCell ref="B66:C66"/>
    <mergeCell ref="D22:E22"/>
    <mergeCell ref="A1:H1"/>
    <mergeCell ref="B18:C18"/>
    <mergeCell ref="B27:C27"/>
    <mergeCell ref="B5:H5"/>
    <mergeCell ref="B45:H45"/>
    <mergeCell ref="B12:C12"/>
    <mergeCell ref="D21:E21"/>
    <mergeCell ref="B77:C77"/>
    <mergeCell ref="B70:C70"/>
    <mergeCell ref="B21:C21"/>
    <mergeCell ref="B11:C11"/>
    <mergeCell ref="D27:E27"/>
    <mergeCell ref="B67:C67"/>
    <mergeCell ref="B23:C23"/>
    <mergeCell ref="B14:C14"/>
    <mergeCell ref="B16:H16"/>
    <mergeCell ref="B17:C17"/>
    <mergeCell ref="B72:H72"/>
    <mergeCell ref="B8:C8"/>
    <mergeCell ref="D17:E17"/>
    <mergeCell ref="B13:C13"/>
    <mergeCell ref="B69:C69"/>
    <mergeCell ref="A3:H3"/>
    <mergeCell ref="B78:C78"/>
    <mergeCell ref="B19:C19"/>
    <mergeCell ref="A2:H2"/>
    <mergeCell ref="B10:C10"/>
    <mergeCell ref="D18:E18"/>
    <mergeCell ref="B9:C9"/>
    <mergeCell ref="B60:H60"/>
    <mergeCell ref="B65:C65"/>
    <mergeCell ref="D25:E25"/>
    <mergeCell ref="B74:C74"/>
    <mergeCell ref="B24:C24"/>
    <mergeCell ref="B68:C68"/>
    <mergeCell ref="B64:C64"/>
    <mergeCell ref="D24:E24"/>
    <mergeCell ref="B20:C20"/>
    <mergeCell ref="B76:C76"/>
    <mergeCell ref="D23:E23"/>
    <mergeCell ref="B63:C63"/>
    <mergeCell ref="B26:C26"/>
    <mergeCell ref="B79:C79"/>
    <mergeCell ref="D26:E26"/>
    <mergeCell ref="B75:C75"/>
  </mergeCells>
  <printOptions horizontalCentered="1"/>
  <pageMargins left="0.3" right="0.3" top="0.4" bottom="0.4" header="0.5" footer="0.5"/>
  <pageSetup orientation="portrait" paperSize="9" fitToHeight="0" fitToWidth="1"/>
  <headerFooter>
    <oddHeader/>
    <oddFooter>&amp;L&amp;8 Candela - Control de Stock Semanal&amp;R&amp;8 Pag. &amp;P de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AREAS</t>
        </is>
      </c>
      <c r="B1" s="94" t="inlineStr">
        <is>
          <t>INSUMOS (unicos)</t>
        </is>
      </c>
      <c r="C1" s="94" t="inlineStr">
        <is>
          <t>MOTIVOS</t>
        </is>
      </c>
      <c r="D1" s="94" t="inlineStr">
        <is>
          <t>UNIDADES</t>
        </is>
      </c>
      <c r="E1" s="94" t="inlineStr">
        <is>
          <t>PRODUCTOS (unicos)</t>
        </is>
      </c>
      <c r="F1" s="94" t="inlineStr">
        <is>
          <t>TIPO CONSUMO</t>
        </is>
      </c>
    </row>
    <row r="2">
      <c r="A2" t="inlineStr">
        <is>
          <t>Panadería</t>
        </is>
      </c>
      <c r="B2" t="inlineStr">
        <is>
          <t>Aceite de girasol</t>
        </is>
      </c>
      <c r="C2" t="inlineStr">
        <is>
          <t>Quemado / mal cocido</t>
        </is>
      </c>
      <c r="D2" t="inlineStr">
        <is>
          <t>kg</t>
        </is>
      </c>
      <c r="E2" t="inlineStr">
        <is>
          <t>Alemana</t>
        </is>
      </c>
      <c r="F2" t="inlineStr">
        <is>
          <t>Consumo del personal</t>
        </is>
      </c>
    </row>
    <row r="3">
      <c r="A3" t="inlineStr">
        <is>
          <t>Pastelería</t>
        </is>
      </c>
      <c r="B3" t="inlineStr">
        <is>
          <t>Aceite de oliva</t>
        </is>
      </c>
      <c r="C3" t="inlineStr">
        <is>
          <t>Mal armado / defectuoso</t>
        </is>
      </c>
      <c r="D3" t="inlineStr">
        <is>
          <t>u</t>
        </is>
      </c>
      <c r="E3" t="inlineStr">
        <is>
          <t>Alfajores choco blanco</t>
        </is>
      </c>
      <c r="F3" t="inlineStr">
        <is>
          <t>Cortesia</t>
        </is>
      </c>
    </row>
    <row r="4">
      <c r="A4" t="inlineStr">
        <is>
          <t>Especialidades</t>
        </is>
      </c>
      <c r="B4" t="inlineStr">
        <is>
          <t>Aditivo</t>
        </is>
      </c>
      <c r="C4" t="inlineStr">
        <is>
          <t>Vencido / pasado</t>
        </is>
      </c>
      <c r="D4" t="inlineStr">
        <is>
          <t>L</t>
        </is>
      </c>
      <c r="E4" t="inlineStr">
        <is>
          <t>Alfajores choco negro</t>
        </is>
      </c>
      <c r="F4" t="inlineStr">
        <is>
          <t>Prueba / degustacion</t>
        </is>
      </c>
    </row>
    <row r="5">
      <c r="A5" t="inlineStr">
        <is>
          <t>Facturería</t>
        </is>
      </c>
      <c r="B5" t="inlineStr">
        <is>
          <t>Albahaca</t>
        </is>
      </c>
      <c r="C5" t="inlineStr">
        <is>
          <t>Caido / roto</t>
        </is>
      </c>
      <c r="D5" t="inlineStr">
        <is>
          <t>caja</t>
        </is>
      </c>
      <c r="E5" t="inlineStr">
        <is>
          <t>Alfajores choco negro grande</t>
        </is>
      </c>
      <c r="F5" t="inlineStr">
        <is>
          <t>Merma</t>
        </is>
      </c>
    </row>
    <row r="6">
      <c r="A6" t="inlineStr">
        <is>
          <t>Sandwiches</t>
        </is>
      </c>
      <c r="B6" t="inlineStr">
        <is>
          <t>Albahaca hidropónica</t>
        </is>
      </c>
      <c r="C6" t="inlineStr">
        <is>
          <t>Sobrante no vendido</t>
        </is>
      </c>
      <c r="D6" t="inlineStr">
        <is>
          <t>docena</t>
        </is>
      </c>
      <c r="E6" t="inlineStr">
        <is>
          <t>Alfajores impalpable</t>
        </is>
      </c>
      <c r="F6" t="inlineStr">
        <is>
          <t>Otro</t>
        </is>
      </c>
    </row>
    <row r="7">
      <c r="A7" t="inlineStr">
        <is>
          <t>Cocina San Luis</t>
        </is>
      </c>
      <c r="B7" t="inlineStr">
        <is>
          <t>Almendras</t>
        </is>
      </c>
      <c r="C7" t="inlineStr">
        <is>
          <t>Prueba / degustacion</t>
        </is>
      </c>
      <c r="D7" t="inlineStr">
        <is>
          <t>bandeja</t>
        </is>
      </c>
      <c r="E7" t="inlineStr">
        <is>
          <t>Bagel</t>
        </is>
      </c>
    </row>
    <row r="8">
      <c r="B8" t="inlineStr">
        <is>
          <t>Almidón de maiz</t>
        </is>
      </c>
      <c r="C8" t="inlineStr">
        <is>
          <t>Consumo del personal</t>
        </is>
      </c>
      <c r="E8" t="inlineStr">
        <is>
          <t>Baguette de jamón cocido, queso, lechuga y tomate</t>
        </is>
      </c>
    </row>
    <row r="9">
      <c r="B9" t="inlineStr">
        <is>
          <t>Ananá</t>
        </is>
      </c>
      <c r="C9" t="inlineStr">
        <is>
          <t>Devolucion de local</t>
        </is>
      </c>
      <c r="E9" t="inlineStr">
        <is>
          <t>Baguette de salame y queso</t>
        </is>
      </c>
    </row>
    <row r="10">
      <c r="B10" t="inlineStr">
        <is>
          <t>Arandanos congelados</t>
        </is>
      </c>
      <c r="C10" t="inlineStr">
        <is>
          <t>Otro</t>
        </is>
      </c>
      <c r="E10" t="inlineStr">
        <is>
          <t>Bariloche</t>
        </is>
      </c>
    </row>
    <row r="11">
      <c r="B11" t="inlineStr">
        <is>
          <t>Arándanos</t>
        </is>
      </c>
      <c r="E11" t="inlineStr">
        <is>
          <t>Bizcochos</t>
        </is>
      </c>
    </row>
    <row r="12">
      <c r="B12" t="inlineStr">
        <is>
          <t>Arándanos x caja</t>
        </is>
      </c>
      <c r="E12" t="inlineStr">
        <is>
          <t>Bizcochos de margarina</t>
        </is>
      </c>
    </row>
    <row r="13">
      <c r="B13" t="inlineStr">
        <is>
          <t>Avena</t>
        </is>
      </c>
      <c r="E13" t="inlineStr">
        <is>
          <t>Bizcochos redondos</t>
        </is>
      </c>
    </row>
    <row r="14">
      <c r="B14" t="inlineStr">
        <is>
          <t>Azucar</t>
        </is>
      </c>
      <c r="E14" t="inlineStr">
        <is>
          <t>Bollitos B/N</t>
        </is>
      </c>
    </row>
    <row r="15">
      <c r="B15" t="inlineStr">
        <is>
          <t>Azucar impalpable</t>
        </is>
      </c>
      <c r="E15" t="inlineStr">
        <is>
          <t>Bollos grandes</t>
        </is>
      </c>
    </row>
    <row r="16">
      <c r="B16" t="inlineStr">
        <is>
          <t>Banana x unidad</t>
        </is>
      </c>
      <c r="E16" t="inlineStr">
        <is>
          <t>Boulévant</t>
        </is>
      </c>
    </row>
    <row r="17">
      <c r="B17" t="inlineStr">
        <is>
          <t>Baño alpino</t>
        </is>
      </c>
      <c r="E17" t="inlineStr">
        <is>
          <t>Budín x kg naranja y amapola</t>
        </is>
      </c>
    </row>
    <row r="18">
      <c r="B18" t="inlineStr">
        <is>
          <t>Baño lodiser semiamargo</t>
        </is>
      </c>
      <c r="E18" t="inlineStr">
        <is>
          <t>Budín x kg nuez y dulce</t>
        </is>
      </c>
    </row>
    <row r="19">
      <c r="B19" t="inlineStr">
        <is>
          <t>Berlina</t>
        </is>
      </c>
      <c r="E19" t="inlineStr">
        <is>
          <t>Budín x unidad chico</t>
        </is>
      </c>
    </row>
    <row r="20">
      <c r="B20" t="inlineStr">
        <is>
          <t>Bicarbonato de amonio</t>
        </is>
      </c>
      <c r="E20" t="inlineStr">
        <is>
          <t>Cabsha</t>
        </is>
      </c>
    </row>
    <row r="21">
      <c r="B21" t="inlineStr">
        <is>
          <t>Bicarbonato de sodio</t>
        </is>
      </c>
      <c r="E21" t="inlineStr">
        <is>
          <t>Carasucias</t>
        </is>
      </c>
    </row>
    <row r="22">
      <c r="B22" t="inlineStr">
        <is>
          <t>Cacao</t>
        </is>
      </c>
      <c r="E22" t="inlineStr">
        <is>
          <t>Caseras</t>
        </is>
      </c>
    </row>
    <row r="23">
      <c r="B23" t="inlineStr">
        <is>
          <t>Canela en polvo</t>
        </is>
      </c>
      <c r="E23" t="inlineStr">
        <is>
          <t>Caseritas</t>
        </is>
      </c>
    </row>
    <row r="24">
      <c r="B24" t="inlineStr">
        <is>
          <t>Cebolla morada</t>
        </is>
      </c>
      <c r="E24" t="inlineStr">
        <is>
          <t>Cañoncitos</t>
        </is>
      </c>
    </row>
    <row r="25">
      <c r="B25" t="inlineStr">
        <is>
          <t>Chocolate chip</t>
        </is>
      </c>
      <c r="E25" t="inlineStr">
        <is>
          <t>Chatas</t>
        </is>
      </c>
    </row>
    <row r="26">
      <c r="B26" t="inlineStr">
        <is>
          <t>Chocolate gotas</t>
        </is>
      </c>
      <c r="E26" t="inlineStr">
        <is>
          <t>Cheesecake NY cocido</t>
        </is>
      </c>
    </row>
    <row r="27">
      <c r="B27" t="inlineStr">
        <is>
          <t>Chocolate moldeo</t>
        </is>
      </c>
      <c r="E27" t="inlineStr">
        <is>
          <t>Cheesecake frutos rojos</t>
        </is>
      </c>
    </row>
    <row r="28">
      <c r="B28" t="inlineStr">
        <is>
          <t>Ciruela x kg</t>
        </is>
      </c>
      <c r="E28" t="inlineStr">
        <is>
          <t>Cheesecake maracuyá</t>
        </is>
      </c>
    </row>
    <row r="29">
      <c r="B29" t="inlineStr">
        <is>
          <t>Coco rallado</t>
        </is>
      </c>
      <c r="E29" t="inlineStr">
        <is>
          <t>Chipa</t>
        </is>
      </c>
    </row>
    <row r="30">
      <c r="B30" t="inlineStr">
        <is>
          <t>Confites mini</t>
        </is>
      </c>
      <c r="E30" t="inlineStr">
        <is>
          <t>Chipa crudo bandeja x30</t>
        </is>
      </c>
    </row>
    <row r="31">
      <c r="B31" t="inlineStr">
        <is>
          <t>Crema Vegetal</t>
        </is>
      </c>
      <c r="E31" t="inlineStr">
        <is>
          <t>Chips p/sandwich</t>
        </is>
      </c>
    </row>
    <row r="32">
      <c r="B32" t="inlineStr">
        <is>
          <t>Crema de leche</t>
        </is>
      </c>
      <c r="E32" t="inlineStr">
        <is>
          <t>Chocotorta</t>
        </is>
      </c>
    </row>
    <row r="33">
      <c r="B33" t="inlineStr">
        <is>
          <t>Crocante de mani</t>
        </is>
      </c>
      <c r="E33" t="inlineStr">
        <is>
          <t>Churros rellenos x unidad</t>
        </is>
      </c>
    </row>
    <row r="34">
      <c r="B34" t="inlineStr">
        <is>
          <t>Detergente</t>
        </is>
      </c>
      <c r="E34" t="inlineStr">
        <is>
          <t>Churros x unidad</t>
        </is>
      </c>
    </row>
    <row r="35">
      <c r="B35" t="inlineStr">
        <is>
          <t>Dulce de leche repostero</t>
        </is>
      </c>
      <c r="E35" t="inlineStr">
        <is>
          <t>Ciabatta de Lomito ahumado, muzzarella y rúcula con oliva</t>
        </is>
      </c>
    </row>
    <row r="36">
      <c r="B36" t="inlineStr">
        <is>
          <t>Dulce de membrillo</t>
        </is>
      </c>
      <c r="E36" t="inlineStr">
        <is>
          <t>Ciabatta de Muzzarella, provolone, albahaca y cherrys confitados</t>
        </is>
      </c>
    </row>
    <row r="37">
      <c r="B37" t="inlineStr">
        <is>
          <t>Durazno</t>
        </is>
      </c>
      <c r="E37" t="inlineStr">
        <is>
          <t>Conitos</t>
        </is>
      </c>
    </row>
    <row r="38">
      <c r="B38" t="inlineStr">
        <is>
          <t>Durazno al natural</t>
        </is>
      </c>
      <c r="E38" t="inlineStr">
        <is>
          <t>Cookies chips choco</t>
        </is>
      </c>
    </row>
    <row r="39">
      <c r="B39" t="inlineStr">
        <is>
          <t>Esencia de vainilla</t>
        </is>
      </c>
      <c r="E39" t="inlineStr">
        <is>
          <t>Cremona</t>
        </is>
      </c>
    </row>
    <row r="40">
      <c r="B40" t="inlineStr">
        <is>
          <t>Fecula</t>
        </is>
      </c>
      <c r="E40" t="inlineStr">
        <is>
          <t>Croissant</t>
        </is>
      </c>
    </row>
    <row r="41">
      <c r="B41" t="inlineStr">
        <is>
          <t>Fondant</t>
        </is>
      </c>
      <c r="E41" t="inlineStr">
        <is>
          <t>Cupcake</t>
        </is>
      </c>
    </row>
    <row r="42">
      <c r="B42" t="inlineStr">
        <is>
          <t>Fruta abrillantada</t>
        </is>
      </c>
      <c r="E42" t="inlineStr">
        <is>
          <t>Delicia con chocolates</t>
        </is>
      </c>
    </row>
    <row r="43">
      <c r="B43" t="inlineStr">
        <is>
          <t>Frutilla</t>
        </is>
      </c>
      <c r="E43" t="inlineStr">
        <is>
          <t>Delicia con frutas</t>
        </is>
      </c>
    </row>
    <row r="44">
      <c r="B44" t="inlineStr">
        <is>
          <t>Frutilla x kg</t>
        </is>
      </c>
      <c r="E44" t="inlineStr">
        <is>
          <t>Donas</t>
        </is>
      </c>
    </row>
    <row r="45">
      <c r="B45" t="inlineStr">
        <is>
          <t>Frutillas</t>
        </is>
      </c>
      <c r="E45" t="inlineStr">
        <is>
          <t>Facturas c/crema</t>
        </is>
      </c>
    </row>
    <row r="46">
      <c r="B46" t="inlineStr">
        <is>
          <t>Frutos del bosque</t>
        </is>
      </c>
      <c r="E46" t="inlineStr">
        <is>
          <t>Facturas c/crema y DDL</t>
        </is>
      </c>
    </row>
    <row r="47">
      <c r="B47" t="inlineStr">
        <is>
          <t>Galletas chocolinas</t>
        </is>
      </c>
      <c r="E47" t="inlineStr">
        <is>
          <t>Facturas c/crema y membr.</t>
        </is>
      </c>
    </row>
    <row r="48">
      <c r="B48" t="inlineStr">
        <is>
          <t>Galletas oreo</t>
        </is>
      </c>
      <c r="E48" t="inlineStr">
        <is>
          <t>Figazzas</t>
        </is>
      </c>
    </row>
    <row r="49">
      <c r="B49" t="inlineStr">
        <is>
          <t>Grasa</t>
        </is>
      </c>
      <c r="E49" t="inlineStr">
        <is>
          <t>Focaccia</t>
        </is>
      </c>
    </row>
    <row r="50">
      <c r="B50" t="inlineStr">
        <is>
          <t>Harina 000 x25kg</t>
        </is>
      </c>
      <c r="E50" t="inlineStr">
        <is>
          <t>Galletas de agua</t>
        </is>
      </c>
    </row>
    <row r="51">
      <c r="B51" t="inlineStr">
        <is>
          <t>Harina 0000 x25kg</t>
        </is>
      </c>
      <c r="E51" t="inlineStr">
        <is>
          <t>Galletas de agua semillas</t>
        </is>
      </c>
    </row>
    <row r="52">
      <c r="B52" t="inlineStr">
        <is>
          <t>Huevos</t>
        </is>
      </c>
      <c r="E52" t="inlineStr">
        <is>
          <t>Lemon Pie</t>
        </is>
      </c>
    </row>
    <row r="53">
      <c r="B53" t="inlineStr">
        <is>
          <t>Jamon cocido</t>
        </is>
      </c>
      <c r="E53" t="inlineStr">
        <is>
          <t>Libritos</t>
        </is>
      </c>
    </row>
    <row r="54">
      <c r="B54" t="inlineStr">
        <is>
          <t>Jamón cocido paladini</t>
        </is>
      </c>
      <c r="E54" t="inlineStr">
        <is>
          <t>Maicenas chicas</t>
        </is>
      </c>
    </row>
    <row r="55">
      <c r="B55" t="inlineStr">
        <is>
          <t>Jengibre x unidad</t>
        </is>
      </c>
      <c r="E55" t="inlineStr">
        <is>
          <t>Maicenas grandes</t>
        </is>
      </c>
    </row>
    <row r="56">
      <c r="B56" t="inlineStr">
        <is>
          <t>Kiwi</t>
        </is>
      </c>
      <c r="E56" t="inlineStr">
        <is>
          <t>Marquise</t>
        </is>
      </c>
    </row>
    <row r="57">
      <c r="B57" t="inlineStr">
        <is>
          <t>Kiwi x kg</t>
        </is>
      </c>
      <c r="E57" t="inlineStr">
        <is>
          <t>Medialunas</t>
        </is>
      </c>
    </row>
    <row r="58">
      <c r="B58" t="inlineStr">
        <is>
          <t>Lavandina</t>
        </is>
      </c>
      <c r="E58" t="inlineStr">
        <is>
          <t>Medialunas crudas x16</t>
        </is>
      </c>
    </row>
    <row r="59">
      <c r="B59" t="inlineStr">
        <is>
          <t>Leche entera</t>
        </is>
      </c>
      <c r="E59" t="inlineStr">
        <is>
          <t>Medialunas saladas</t>
        </is>
      </c>
    </row>
    <row r="60">
      <c r="B60" t="inlineStr">
        <is>
          <t>Lechuga crespa</t>
        </is>
      </c>
      <c r="E60" t="inlineStr">
        <is>
          <t>Miga de Ternera y tomate</t>
        </is>
      </c>
    </row>
    <row r="61">
      <c r="B61" t="inlineStr">
        <is>
          <t>Lechuga hidropónica</t>
        </is>
      </c>
      <c r="E61" t="inlineStr">
        <is>
          <t>Miga de cantimpalo y queso</t>
        </is>
      </c>
    </row>
    <row r="62">
      <c r="B62" t="inlineStr">
        <is>
          <t>Levadura</t>
        </is>
      </c>
      <c r="E62" t="inlineStr">
        <is>
          <t>Miga de crudo y queso</t>
        </is>
      </c>
    </row>
    <row r="63">
      <c r="B63" t="inlineStr">
        <is>
          <t>Limón</t>
        </is>
      </c>
      <c r="E63" t="inlineStr">
        <is>
          <t>Miga de jamón cocido y queso</t>
        </is>
      </c>
    </row>
    <row r="64">
      <c r="B64" t="inlineStr">
        <is>
          <t>Lomo ahumado feteado</t>
        </is>
      </c>
      <c r="E64" t="inlineStr">
        <is>
          <t>Miga de ternera y huevo</t>
        </is>
      </c>
    </row>
    <row r="65">
      <c r="B65" t="inlineStr">
        <is>
          <t>Manteca</t>
        </is>
      </c>
      <c r="E65" t="inlineStr">
        <is>
          <t>Milhojas c/chocolate</t>
        </is>
      </c>
    </row>
    <row r="66">
      <c r="B66" t="inlineStr">
        <is>
          <t>Margarina hojaldre</t>
        </is>
      </c>
      <c r="E66" t="inlineStr">
        <is>
          <t>Milhojas c/fondant</t>
        </is>
      </c>
    </row>
    <row r="67">
      <c r="B67" t="inlineStr">
        <is>
          <t>Margarina masa</t>
        </is>
      </c>
      <c r="E67" t="inlineStr">
        <is>
          <t>Mini Baguette</t>
        </is>
      </c>
    </row>
    <row r="68">
      <c r="B68" t="inlineStr">
        <is>
          <t>Mayonesa</t>
        </is>
      </c>
      <c r="E68" t="inlineStr">
        <is>
          <t>Mini Cabsha</t>
        </is>
      </c>
    </row>
    <row r="69">
      <c r="B69" t="inlineStr">
        <is>
          <t>Mejorador</t>
        </is>
      </c>
      <c r="E69" t="inlineStr">
        <is>
          <t>Mini Lemon Pie</t>
        </is>
      </c>
    </row>
    <row r="70">
      <c r="B70" t="inlineStr">
        <is>
          <t>Menta</t>
        </is>
      </c>
      <c r="E70" t="inlineStr">
        <is>
          <t>Mini Turrón Salteño</t>
        </is>
      </c>
    </row>
    <row r="71">
      <c r="B71" t="inlineStr">
        <is>
          <t>Mermelada durazno</t>
        </is>
      </c>
      <c r="E71" t="inlineStr">
        <is>
          <t>Minifacturas</t>
        </is>
      </c>
    </row>
    <row r="72">
      <c r="B72" t="inlineStr">
        <is>
          <t>Mermelada membrillo</t>
        </is>
      </c>
      <c r="E72" t="inlineStr">
        <is>
          <t>Minitarta frutal</t>
        </is>
      </c>
    </row>
    <row r="73">
      <c r="B73" t="inlineStr">
        <is>
          <t>Miel de abeja</t>
        </is>
      </c>
      <c r="E73" t="inlineStr">
        <is>
          <t>Miñon</t>
        </is>
      </c>
    </row>
    <row r="74">
      <c r="B74" t="inlineStr">
        <is>
          <t>Mix de frutos rojos</t>
        </is>
      </c>
      <c r="E74" t="inlineStr">
        <is>
          <t>Nutella</t>
        </is>
      </c>
    </row>
    <row r="75">
      <c r="B75" t="inlineStr">
        <is>
          <t>Mix de semillas</t>
        </is>
      </c>
      <c r="E75" t="inlineStr">
        <is>
          <t>Oreo</t>
        </is>
      </c>
    </row>
    <row r="76">
      <c r="B76" t="inlineStr">
        <is>
          <t>Naranja</t>
        </is>
      </c>
      <c r="E76" t="inlineStr">
        <is>
          <t>Palmeritas</t>
        </is>
      </c>
    </row>
    <row r="77">
      <c r="B77" t="inlineStr">
        <is>
          <t>Nueces</t>
        </is>
      </c>
      <c r="E77" t="inlineStr">
        <is>
          <t>Pan de Viena</t>
        </is>
      </c>
    </row>
    <row r="78">
      <c r="B78" t="inlineStr">
        <is>
          <t>Nutella</t>
        </is>
      </c>
      <c r="E78" t="inlineStr">
        <is>
          <t>Pan de hamburguesa x6</t>
        </is>
      </c>
    </row>
    <row r="79">
      <c r="B79" t="inlineStr">
        <is>
          <t>Oregano</t>
        </is>
      </c>
      <c r="E79" t="inlineStr">
        <is>
          <t>Pan de leche</t>
        </is>
      </c>
    </row>
    <row r="80">
      <c r="B80" t="inlineStr">
        <is>
          <t>Otentic</t>
        </is>
      </c>
      <c r="E80" t="inlineStr">
        <is>
          <t>Pan de papa grande</t>
        </is>
      </c>
    </row>
    <row r="81">
      <c r="B81" t="inlineStr">
        <is>
          <t>Palta x kg</t>
        </is>
      </c>
      <c r="E81" t="inlineStr">
        <is>
          <t>Pan de papa x4</t>
        </is>
      </c>
    </row>
    <row r="82">
      <c r="B82" t="inlineStr">
        <is>
          <t>Panceta ahumada feteada</t>
        </is>
      </c>
      <c r="E82" t="inlineStr">
        <is>
          <t>Pan dulce</t>
        </is>
      </c>
    </row>
    <row r="83">
      <c r="B83" t="inlineStr">
        <is>
          <t>Panes blandos</t>
        </is>
      </c>
      <c r="E83" t="inlineStr">
        <is>
          <t>Pan lactal blanco</t>
        </is>
      </c>
    </row>
    <row r="84">
      <c r="B84" t="inlineStr">
        <is>
          <t>Panes granos andinos</t>
        </is>
      </c>
      <c r="E84" t="inlineStr">
        <is>
          <t>Pan lactal granos andinos</t>
        </is>
      </c>
    </row>
    <row r="85">
      <c r="B85" t="inlineStr">
        <is>
          <t>Panes multicereal</t>
        </is>
      </c>
      <c r="E85" t="inlineStr">
        <is>
          <t>Pan lactal multicereal</t>
        </is>
      </c>
    </row>
    <row r="86">
      <c r="B86" t="inlineStr">
        <is>
          <t>Panes salvado</t>
        </is>
      </c>
      <c r="E86" t="inlineStr">
        <is>
          <t>Pan lactal salvado</t>
        </is>
      </c>
    </row>
    <row r="87">
      <c r="B87" t="inlineStr">
        <is>
          <t>Pistachos</t>
        </is>
      </c>
      <c r="E87" t="inlineStr">
        <is>
          <t>Pan saborizado</t>
        </is>
      </c>
    </row>
    <row r="88">
      <c r="B88" t="inlineStr">
        <is>
          <t>Polvo para hornear</t>
        </is>
      </c>
      <c r="E88" t="inlineStr">
        <is>
          <t>Pan tostadas blanco</t>
        </is>
      </c>
    </row>
    <row r="89">
      <c r="B89" t="inlineStr">
        <is>
          <t>Pomelo</t>
        </is>
      </c>
      <c r="E89" t="inlineStr">
        <is>
          <t>Pan tostadas granos andinos</t>
        </is>
      </c>
    </row>
    <row r="90">
      <c r="B90" t="inlineStr">
        <is>
          <t>Premezcla muffin</t>
        </is>
      </c>
      <c r="E90" t="inlineStr">
        <is>
          <t>Pan tostadas multicereal</t>
        </is>
      </c>
    </row>
    <row r="91">
      <c r="B91" t="inlineStr">
        <is>
          <t>Premezcla pan de papa</t>
        </is>
      </c>
      <c r="E91" t="inlineStr">
        <is>
          <t>Pan tostadas salvado</t>
        </is>
      </c>
    </row>
    <row r="92">
      <c r="B92" t="inlineStr">
        <is>
          <t>Premezcla pan de queso</t>
        </is>
      </c>
      <c r="E92" t="inlineStr">
        <is>
          <t>Pasta frola de cayote</t>
        </is>
      </c>
    </row>
    <row r="93">
      <c r="B93" t="inlineStr">
        <is>
          <t>Propionato de calcio</t>
        </is>
      </c>
      <c r="E93" t="inlineStr">
        <is>
          <t>Pasta frola membrillo</t>
        </is>
      </c>
    </row>
    <row r="94">
      <c r="B94" t="inlineStr">
        <is>
          <t>Queso cheddar fetas</t>
        </is>
      </c>
      <c r="E94" t="inlineStr">
        <is>
          <t>Pepitas</t>
        </is>
      </c>
    </row>
    <row r="95">
      <c r="B95" t="inlineStr">
        <is>
          <t>Queso crema</t>
        </is>
      </c>
      <c r="E95" t="inlineStr">
        <is>
          <t>Pizzeta de copetín</t>
        </is>
      </c>
    </row>
    <row r="96">
      <c r="B96" t="inlineStr">
        <is>
          <t>Queso crema s/sabor</t>
        </is>
      </c>
      <c r="E96" t="inlineStr">
        <is>
          <t>Pizzetas x4</t>
        </is>
      </c>
    </row>
    <row r="97">
      <c r="B97" t="inlineStr">
        <is>
          <t>Queso cremoso</t>
        </is>
      </c>
      <c r="E97" t="inlineStr">
        <is>
          <t>Plancha de hojaldre x kg</t>
        </is>
      </c>
    </row>
    <row r="98">
      <c r="B98" t="inlineStr">
        <is>
          <t>Queso de máquina barra</t>
        </is>
      </c>
      <c r="E98" t="inlineStr">
        <is>
          <t>Porción Alemana</t>
        </is>
      </c>
    </row>
    <row r="99">
      <c r="B99" t="inlineStr">
        <is>
          <t>Queso parmesano rallo</t>
        </is>
      </c>
      <c r="E99" t="inlineStr">
        <is>
          <t>Porción Bariloche</t>
        </is>
      </c>
    </row>
    <row r="100">
      <c r="B100" t="inlineStr">
        <is>
          <t>Queso roquefort</t>
        </is>
      </c>
      <c r="E100" t="inlineStr">
        <is>
          <t>Porción Brownie c/chocolates</t>
        </is>
      </c>
    </row>
    <row r="101">
      <c r="B101" t="inlineStr">
        <is>
          <t>Queso sardo</t>
        </is>
      </c>
      <c r="E101" t="inlineStr">
        <is>
          <t>Porción Brownie c/fruta</t>
        </is>
      </c>
    </row>
    <row r="102">
      <c r="B102" t="inlineStr">
        <is>
          <t>Queso tybo</t>
        </is>
      </c>
      <c r="E102" t="inlineStr">
        <is>
          <t>Porción Carrot Cake</t>
        </is>
      </c>
    </row>
    <row r="103">
      <c r="B103" t="inlineStr">
        <is>
          <t>Romero</t>
        </is>
      </c>
      <c r="E103" t="inlineStr">
        <is>
          <t>Porción Cheesecake frutos rojos</t>
        </is>
      </c>
    </row>
    <row r="104">
      <c r="B104" t="inlineStr">
        <is>
          <t>Rúcula</t>
        </is>
      </c>
      <c r="E104" t="inlineStr">
        <is>
          <t>Porción Cheesecake maracuyá</t>
        </is>
      </c>
    </row>
    <row r="105">
      <c r="B105" t="inlineStr">
        <is>
          <t>Rúcula hidropónica</t>
        </is>
      </c>
      <c r="E105" t="inlineStr">
        <is>
          <t>Porción Oreo</t>
        </is>
      </c>
    </row>
    <row r="106">
      <c r="B106" t="inlineStr">
        <is>
          <t>Sal</t>
        </is>
      </c>
      <c r="E106" t="inlineStr">
        <is>
          <t>Porción Pistachos</t>
        </is>
      </c>
    </row>
    <row r="107">
      <c r="B107" t="inlineStr">
        <is>
          <t>Salame milán</t>
        </is>
      </c>
      <c r="E107" t="inlineStr">
        <is>
          <t>Porción Red Velvet</t>
        </is>
      </c>
    </row>
    <row r="108">
      <c r="B108" t="inlineStr">
        <is>
          <t>Salchicha viena f/larga</t>
        </is>
      </c>
      <c r="E108" t="inlineStr">
        <is>
          <t>Porción Selva Negra</t>
        </is>
      </c>
    </row>
    <row r="109">
      <c r="B109" t="inlineStr">
        <is>
          <t>Salvado de trigo</t>
        </is>
      </c>
      <c r="E109" t="inlineStr">
        <is>
          <t>Porción Tiramisú</t>
        </is>
      </c>
    </row>
    <row r="110">
      <c r="B110" t="inlineStr">
        <is>
          <t>Satin carrot</t>
        </is>
      </c>
      <c r="E110" t="inlineStr">
        <is>
          <t>Porción Tres Leches</t>
        </is>
      </c>
    </row>
    <row r="111">
      <c r="B111" t="inlineStr">
        <is>
          <t>Semillas de amapola</t>
        </is>
      </c>
      <c r="E111" t="inlineStr">
        <is>
          <t>Pre-pizzas</t>
        </is>
      </c>
    </row>
    <row r="112">
      <c r="B112" t="inlineStr">
        <is>
          <t>Semillas de sesamo</t>
        </is>
      </c>
      <c r="E112" t="inlineStr">
        <is>
          <t>Rogel</t>
        </is>
      </c>
    </row>
    <row r="113">
      <c r="B113" t="inlineStr">
        <is>
          <t>Spekkel</t>
        </is>
      </c>
      <c r="E113" t="inlineStr">
        <is>
          <t>Roll de canela</t>
        </is>
      </c>
    </row>
    <row r="114">
      <c r="B114" t="inlineStr">
        <is>
          <t>Tegral brownie</t>
        </is>
      </c>
      <c r="E114" t="inlineStr">
        <is>
          <t>Sacramento jamón y queso</t>
        </is>
      </c>
    </row>
    <row r="115">
      <c r="B115" t="inlineStr">
        <is>
          <t>Tomate Cherry x kg</t>
        </is>
      </c>
      <c r="E115" t="inlineStr">
        <is>
          <t>Sacramentos</t>
        </is>
      </c>
    </row>
    <row r="116">
      <c r="B116" t="inlineStr">
        <is>
          <t>Tomate x kg</t>
        </is>
      </c>
      <c r="E116" t="inlineStr">
        <is>
          <t>Salvado</t>
        </is>
      </c>
    </row>
    <row r="117">
      <c r="B117" t="inlineStr">
        <is>
          <t>Tomates</t>
        </is>
      </c>
      <c r="E117" t="inlineStr">
        <is>
          <t>Scones con fruta</t>
        </is>
      </c>
    </row>
    <row r="118">
      <c r="B118" t="inlineStr">
        <is>
          <t>Tomates cherry</t>
        </is>
      </c>
      <c r="E118" t="inlineStr">
        <is>
          <t>Scones sin fruta</t>
        </is>
      </c>
    </row>
    <row r="119">
      <c r="B119" t="inlineStr">
        <is>
          <t>Tomates cherrys</t>
        </is>
      </c>
      <c r="E119" t="inlineStr">
        <is>
          <t>Selva Negra</t>
        </is>
      </c>
    </row>
    <row r="120">
      <c r="B120" t="inlineStr">
        <is>
          <t>Variegato Maracuya</t>
        </is>
      </c>
      <c r="E120" t="inlineStr">
        <is>
          <t>Spekell</t>
        </is>
      </c>
    </row>
    <row r="121">
      <c r="E121" t="inlineStr">
        <is>
          <t>Strudel</t>
        </is>
      </c>
    </row>
    <row r="122">
      <c r="E122" t="inlineStr">
        <is>
          <t>TT Bizcochos</t>
        </is>
      </c>
    </row>
    <row r="123">
      <c r="E123" t="inlineStr">
        <is>
          <t>TT Bollitos blancos</t>
        </is>
      </c>
    </row>
    <row r="124">
      <c r="E124" t="inlineStr">
        <is>
          <t>TT Bollitos negros</t>
        </is>
      </c>
    </row>
    <row r="125">
      <c r="E125" t="inlineStr">
        <is>
          <t>TT Caseras</t>
        </is>
      </c>
    </row>
    <row r="126">
      <c r="E126" t="inlineStr">
        <is>
          <t>TT Caseritas</t>
        </is>
      </c>
    </row>
    <row r="127">
      <c r="E127" t="inlineStr">
        <is>
          <t>TT Chatas</t>
        </is>
      </c>
    </row>
    <row r="128">
      <c r="E128" t="inlineStr">
        <is>
          <t>TT Facturas</t>
        </is>
      </c>
    </row>
    <row r="129">
      <c r="E129" t="inlineStr">
        <is>
          <t>TT Miñon</t>
        </is>
      </c>
    </row>
    <row r="130">
      <c r="E130" t="inlineStr">
        <is>
          <t>TT Salvado</t>
        </is>
      </c>
    </row>
    <row r="131">
      <c r="E131" t="inlineStr">
        <is>
          <t>TT Tortillas</t>
        </is>
      </c>
    </row>
    <row r="132">
      <c r="E132" t="inlineStr">
        <is>
          <t>Tarta frutal</t>
        </is>
      </c>
    </row>
    <row r="133">
      <c r="E133" t="inlineStr">
        <is>
          <t>Tiramisú</t>
        </is>
      </c>
    </row>
    <row r="134">
      <c r="E134" t="inlineStr">
        <is>
          <t>Torta de duraznos</t>
        </is>
      </c>
    </row>
    <row r="135">
      <c r="E135" t="inlineStr">
        <is>
          <t>Torta de hojaldre</t>
        </is>
      </c>
    </row>
    <row r="136">
      <c r="E136" t="inlineStr">
        <is>
          <t>Torta x porción</t>
        </is>
      </c>
    </row>
    <row r="137">
      <c r="E137" t="inlineStr">
        <is>
          <t>Tortillas</t>
        </is>
      </c>
    </row>
    <row r="138">
      <c r="E138" t="inlineStr">
        <is>
          <t>Tortillon</t>
        </is>
      </c>
    </row>
    <row r="139">
      <c r="E139" t="inlineStr">
        <is>
          <t>Tres Leches</t>
        </is>
      </c>
    </row>
    <row r="140">
      <c r="E140" t="inlineStr">
        <is>
          <t>Turrón Salteño</t>
        </is>
      </c>
    </row>
    <row r="141">
      <c r="E141" t="inlineStr">
        <is>
          <t>Vigilantes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Candela</dc:creator>
  <dc:title>Control de Stock Semanal - Candela Cafe &amp; Patisserie</dc:title>
  <dcterms:created xsi:type="dcterms:W3CDTF">2026-08-21T16:21:54Z</dcterms:created>
  <dcterms:modified xsi:type="dcterms:W3CDTF">2026-08-21T16:21:56Z</dcterms:modified>
</cp:coreProperties>
</file>